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ós graduação 56 a 70 anos" sheetId="1" r:id="rId4"/>
    <sheet state="visible" name="Pós graduação 46 a 55 anos" sheetId="2" r:id="rId5"/>
    <sheet state="visible" name="Pós graduação 39 a 45 anos" sheetId="3" r:id="rId6"/>
    <sheet state="visible" name="Pós graduação 32 a 38 anos" sheetId="4" r:id="rId7"/>
    <sheet state="visible" name="Pós graduação 25 a 31 anos" sheetId="5" r:id="rId8"/>
    <sheet state="visible" name="Pós graduação 18 a 24 anos" sheetId="6" r:id="rId9"/>
    <sheet state="visible" name="Ens. Superior 56 a 70 anos" sheetId="7" r:id="rId10"/>
    <sheet state="visible" name="Ens. Superior 46 a 55 anos" sheetId="8" r:id="rId11"/>
    <sheet state="visible" name="Ens. Superior 39 a 45 anos" sheetId="9" r:id="rId12"/>
    <sheet state="visible" name="Ens. Superior 32 a 38 anos" sheetId="10" r:id="rId13"/>
    <sheet state="visible" name="Ens. Superior 25 a 31 anos" sheetId="11" r:id="rId14"/>
    <sheet state="visible" name="Ens. Superior 18 a 24 anos" sheetId="12" r:id="rId15"/>
    <sheet state="visible" name="Ens. Médio 56 a 70 anos" sheetId="13" r:id="rId16"/>
    <sheet state="visible" name="Ens. Médio 46 a 55 anos" sheetId="14" r:id="rId17"/>
    <sheet state="visible" name="Ens. Médio 39 a 45 anos" sheetId="15" r:id="rId18"/>
    <sheet state="visible" name="Ens. Médio 32 a 38 anos" sheetId="16" r:id="rId19"/>
    <sheet state="visible" name="Ens. Médio 25 a 31 anos" sheetId="17" r:id="rId20"/>
    <sheet state="visible" name="Ens. Médio 18 a 24 anos" sheetId="18" r:id="rId21"/>
    <sheet state="visible" name="Página3" sheetId="19" r:id="rId22"/>
    <sheet state="visible" name="56 a 70 anos" sheetId="20" r:id="rId23"/>
    <sheet state="visible" name="46 a 55 anos" sheetId="21" r:id="rId24"/>
    <sheet state="visible" name="39 a 45 anos" sheetId="22" r:id="rId25"/>
    <sheet state="visible" name="32 a 38 anos" sheetId="23" r:id="rId26"/>
    <sheet state="visible" name="25 a 31 anos" sheetId="24" r:id="rId27"/>
    <sheet state="visible" name="18 a 24 anos" sheetId="25" r:id="rId28"/>
  </sheets>
  <definedNames/>
  <calcPr/>
  <extLst>
    <ext uri="GoogleSheetsCustomDataVersion2">
      <go:sheetsCustomData xmlns:go="http://customooxmlschemas.google.com/" r:id="rId29" roundtripDataChecksum="tvJs81OPIGqLrEBHoLMSHiqjm5OExFg+akIfUUZK2FY="/>
    </ext>
  </extLst>
</workbook>
</file>

<file path=xl/sharedStrings.xml><?xml version="1.0" encoding="utf-8"?>
<sst xmlns="http://schemas.openxmlformats.org/spreadsheetml/2006/main" count="3514" uniqueCount="117">
  <si>
    <t>Com que frequência você passa por cada um desses problemas? Por favor, marque a opção que descreve melhor seu comportamento nos últimos 6 meses. [Procrastino ou adio fazer as coisas até o último minuto.]</t>
  </si>
  <si>
    <t>Seção 1 - Gerenciamento de tempo</t>
  </si>
  <si>
    <t>Com que frequência você passa por cada um desses problemas? Por favor, marque a opção que descreve melhor seu comportamento nos últimos 6 meses. [Tenho pouca noção de tempo.]</t>
  </si>
  <si>
    <t>Seção 2 - Organização/Resolução de problemas</t>
  </si>
  <si>
    <t>Com que frequência você passa por cada um desses problemas? Por favor, marque a opção que descreve melhor seu comportamento nos últimos 6 meses. [Desperdiço ou administro mal o meu tempo.]</t>
  </si>
  <si>
    <t>Seção 3 - Autocontrole</t>
  </si>
  <si>
    <t>Com que frequência você passa por cada um desses problemas? Por favor, marque a opção que descreve melhor seu comportamento nos últimos 6 meses. [Sou despreparado para trabalhos ou tarefas a mim atribuídas.]</t>
  </si>
  <si>
    <t>Seção 4 - Motivação</t>
  </si>
  <si>
    <t>Com que frequência você passa por cada um desses problemas? Por favor, marque a opção que descreve melhor seu comportamento nos últimos 6 meses. [Não cumpro os prazos das tarefas.]</t>
  </si>
  <si>
    <t>Seção 5 - Regulação emocional</t>
  </si>
  <si>
    <t>Com que frequência você passa por cada um desses problemas? Por favor, marque a opção que descreve melhor seu comportamento nos últimos 6 meses. [Tenho problemas para planejar com antecedência ou para me preparar para eventos  futuros.]</t>
  </si>
  <si>
    <t>Indice FE-TDAH:</t>
  </si>
  <si>
    <t>Com que frequência você passa por cada um desses problemas? Por favor, marque a opção que descreve melhor seu comportamento nos últimos 6 meses. [Esqueço de fazer coisas que deveria fazer.]</t>
  </si>
  <si>
    <t>Total:</t>
  </si>
  <si>
    <t>Com que frequência você passa por cada um desses problemas? Por favor, marque a opção que descreve melhor seu comportamento nos últimos 6 meses. [Parece que eu não consigo cumpr ir as metas que estabeleço para mim mesmo.]</t>
  </si>
  <si>
    <t xml:space="preserve">Sintomas </t>
  </si>
  <si>
    <t>Com que frequência você passa por cada um desses problemas? Por favor, marque a opção que descreve melhor seu comportamento nos últimos 6 meses. [Me atraso para o trabalho ou compromissos agendados.]</t>
  </si>
  <si>
    <t>PERCENTIL</t>
  </si>
  <si>
    <t>Signíficância clínica mínima</t>
  </si>
  <si>
    <t>Limítrofe</t>
  </si>
  <si>
    <t>Deficiência leve</t>
  </si>
  <si>
    <t>Deficiência moderada</t>
  </si>
  <si>
    <t>Deficiência severa</t>
  </si>
  <si>
    <t>Com que frequência você passa por cada um desses problemas? Por favor, marque a opção que descreve melhor seu comportamento nos últimos 6 meses. [Parece que eu não consigo manter em mente coisas das quais preciso me lembrar de fazer.]</t>
  </si>
  <si>
    <t>Com que frequência você passa por cada um desses problemas? Por favor, marque a opção que descreve melhor seu comportamento nos últimos 6 meses. [Parece que eu não consigo finalizar as coisas, a menos que tenham um prazo final imediato.]</t>
  </si>
  <si>
    <t>Com que frequência você passa por cada um desses problemas? Por favor, marque a opção que descreve melhor seu comportamento nos últimos 6 meses. [Tenho dificuldade em julgar quanto tempo irei gastar para fazer algo ou para ira algum  lugar.]</t>
  </si>
  <si>
    <t>Com que frequência você passa por cada um desses problemas? Por favor, marque a opção que descreve melhor seu comportamento nos últimos 6 meses. [Tenho dificuldades em me motivar para começar a trabalhar.]</t>
  </si>
  <si>
    <t>Com que frequência você passa por cada um desses problemas? Por favor, marque a opção que descreve melhor seu comportamento nos últimos 6 meses. [Tenho dificuldade para me motivar a continuar com o meu trabalho e terminá-lo.]</t>
  </si>
  <si>
    <t>Com que frequência você passa por cada um desses problemas? Por favor, marque a opção que descreve melhor seu comportamento nos últimos 6 meses. [Fico desmotivado para me preparar com antecedência para coisas que devo fazer.]</t>
  </si>
  <si>
    <t>Com que frequência você passa por cada um desses problemas? Por favor, marque a opção que descreve melhor seu comportamento nos últimos 6 meses. [Tenho problemas em completar uma atividade antes de iniciar uma nova.]</t>
  </si>
  <si>
    <t>Com que frequência você passa por cada um desses problemas? Por favor, marque a opção que descreve melhor seu comportamento nos últimos 6 meses. [Tenho dificuldades em fazer aquilo que eu digo a mim mesmo para fazer.]</t>
  </si>
  <si>
    <t>Com que frequência você passa por cada um desses problemas? Por favor, marque a opção que descreve melhor seu comportamento nos últimos 6 meses. [Tenho dificuldades em cumprir as promessas ou compromissos que eu possa ter assumido com outras pessoas.]</t>
  </si>
  <si>
    <t>Com que frequência você passa por cada um desses problemas? Por favor, marque a opção que descreve melhor seu comportamento nos últimos 6 meses. [Tenho falta de auto-disciplina.]</t>
  </si>
  <si>
    <t>Com que frequência você passa por cada um desses problemas? Por favor, marque a opção que descreve melhor seu comportamento nos últimos 6 meses. [Tenho dificuldades em me organizar ou em fazer meu trabalho de acordo com sua prioridade ou importância; não consigo “priorizar” bem.]</t>
  </si>
  <si>
    <t>Com que frequência você passa por cada um desses problemas? Por favor, marque a opção que descreve melhor seu comportamento nos últimos 6 meses. [Acho difícil começar ou continuar a fazer coisas que preciso terminar.]</t>
  </si>
  <si>
    <t>Com que frequência você passa por cada um desses problemas? Por favor, marque a opção que descreve melhor seu comportamento nos últimos 6 meses. [Parece que eu não consigo antecipar o futuro tanto ou tão bem quanto os outros.]</t>
  </si>
  <si>
    <t>Com que frequência você passa por cada um desses problemas? Por favor, marque a opção que descreve melhor seu comportamento nos últimos 6 meses. [Parece que eu não consigo me lembrar do que ouvi ou li anteriormente.]</t>
  </si>
  <si>
    <t>Com que frequência você passa por cada um desses problemas? Por favor, marque a opção que descreve melhor seu comportamento nos últimos 6 meses. [Tenho dificuldades em organizar meus pensamentos.]</t>
  </si>
  <si>
    <t>Com que frequência você passa por cada um desses problemas? Por favor, marque a opção que descreve melhor seu comportamento nos últimos 6 meses. [Ouando me apresentam coisas complicadas de se fazer, eu não consigo manter as  informações na cabeça para fazer igual ou fazer corretamente.]</t>
  </si>
  <si>
    <t>Com que frequência você passa por cada um desses problemas? Por favor, marque a opção que descreve melhor seu comportamento nos últimos 6 meses. [Tenho problemas quando preciso avaliar várias opções para fazer as coisas e ponderar as  suas consequências]</t>
  </si>
  <si>
    <t>Com que frequência você passa por cada um desses problemas? Por favor, marque a opção que descreve melhor seu comportamento nos últimos 6 meses. [Tenho dificuldades para dizer o que eu quero dizer.]</t>
  </si>
  <si>
    <t>Com que frequência você passa por cada um desses problemas? Por favor, marque a opção que descreve melhor seu comportamento nos últimos 6 meses. [Sou incapaz de criar ou inventar tantas soluçôes para problemas quanto os outros.]</t>
  </si>
  <si>
    <t>Com que frequência você passa por cada um desses problemas? Por favor, marque a opção que descreve melhor seu comportamento nos últimos 6 meses. [As palavras parecem me faltar quando quero explicar alguma coisa para os outros.]</t>
  </si>
  <si>
    <t>Com que frequência você passa por cada um desses problemas? Por favor, marque a opção que descreve melhor seu comportamento nos últimos 6 meses. [Tenho dificuldade em expressar meus pensamentos por escrito tão bem ou tão rapidamente quanto os outros.]</t>
  </si>
  <si>
    <t>Com que frequência você passa por cada um desses problemas? Por favor, marque a opção que descreve melhor seu comportamento nos últimos 6 meses. [Sinto que não sou tão criativo ou inventivo quanto os outros com o mesmo nível de i nteligência.]</t>
  </si>
  <si>
    <t>Com que frequência você passa por cada um desses problemas? Por favor, marque a opção que descreve melhor seu comportamento nos últimos 6 meses. [Quando tento cumprir metas ou compromissos, não me acho capaz de pensar em tantas maneiras de fazer as coisas como os outros.]</t>
  </si>
  <si>
    <t>Com que frequência você passa por cada um desses problemas? Por favor, marque a opção que descreve melhor seu comportamento nos últimos 6 meses. [Tenho dificuldade em aprender atividades novas e complexas tão bem como os outros.]</t>
  </si>
  <si>
    <t>Com que frequência você passa por cada um desses problemas? Por favor, marque a opção que descreve melhor seu comportamento nos últimos 6 meses. [Tenho dificuldades em explicar as coisas na ordem ou sequência apropriada.]</t>
  </si>
  <si>
    <t>Com que frequência você passa por cada um desses problemas? Por favor, marque a opção que descreve melhor seu comportamento nos últimos 6 meses. [Não consigo concluir minhas explicações tão rapidamente como os outros.]</t>
  </si>
  <si>
    <t>Com que frequência você passa por cada um desses problemas? Por favor, marque a opção que descreve melhor seu comportamento nos últimos 6 meses. [Tenho dificuldades em fazer as coisas na ordem ou sequência apropriada]</t>
  </si>
  <si>
    <t>f1</t>
  </si>
  <si>
    <t>f2</t>
  </si>
  <si>
    <t>f3</t>
  </si>
  <si>
    <t>f4</t>
  </si>
  <si>
    <t>f5</t>
  </si>
  <si>
    <t>indice fe</t>
  </si>
  <si>
    <t>escore total</t>
  </si>
  <si>
    <t>SINTOMAS</t>
  </si>
  <si>
    <t>Com que frequência você passa por cada um desses problemas? Por favor, marque a opção que descreve melhor seu comportamento nos últimos 6 meses. [Sou incapaz de pensar e reagir  rapidamente ou de modo tão eficiente quanto outras  pessoas quando ocorrem eventos inesperados.]</t>
  </si>
  <si>
    <t>Com que frequência você passa por cada um desses problemas? Por favor, marque a opção que descreve melhor seu comportamento nos últimos 6 meses. [Eu sou mais lento do que outros para resolver problemas que encontro no meu dia a dia.]</t>
  </si>
  <si>
    <t>Com que frequência você passa por cada um desses problemas? Por favor, marque a opção que descreve melhor seu comportamento nos últimos 6 meses. [Fico facilmente distraído por pensamentos irrelevantes quando eu tenho que me concentrar em algo.]</t>
  </si>
  <si>
    <t>SEM SIGNIFICÂNCIA CLINICA</t>
  </si>
  <si>
    <t>Com que frequência você passa por cada um desses problemas? Por favor, marque a opção que descreve melhor seu comportamento nos últimos 6 meses. [Sou incapaz de entender o que leio tão bem quanto eu deveria. Tenho que reler o material para entender seu significado.]</t>
  </si>
  <si>
    <t>Com que frequência você passa por cada um desses problemas? Por favor, marque a opção que descreve melhor seu comportamento nos últimos 6 meses. [Não consigo focar minha atenção em tarefas ou no trabalho tão bem quanto os outros.]</t>
  </si>
  <si>
    <t>SIGNIFICÂNCIA CLINICA MINIMA</t>
  </si>
  <si>
    <t>Com que frequência você passa por cada um desses problemas? Por favor, marque a opção que descreve melhor seu comportamento nos últimos 6 meses. [Fico facilmente confuso.]</t>
  </si>
  <si>
    <t>Com que frequência você passa por cada um desses problemas? Por favor, marque a opção que descreve melhor seu comportamento nos últimos 6 meses. [Não consigo manter a minha concentração na leitura, em formulários. em palestras ou no trabalho.]</t>
  </si>
  <si>
    <t>Com que frequência você passa por cada um desses problemas? Por favor, marque a opção que descreve melhor seu comportamento nos últimos 6 meses. [Acho difícil focar no que é importante diante do que não é importante quando estou  fazendo alguma coisa.]</t>
  </si>
  <si>
    <t>Com que frequência você passa por cada um desses problemas? Por favor, marque a opção que descreve melhor seu comportamento nos últimos 6 meses. [Parece que eu não consigo processar informaçôes de modo tão rápido ou preciso quanto  os outros.]</t>
  </si>
  <si>
    <t>Com que frequência você passa por cada um desses problemas? Por favor, marque a opção que descreve melhor seu comportamento nos últimos 6 meses. [Acho difícil tolerar esperas: impaciente.]</t>
  </si>
  <si>
    <t>Com que frequência você passa por cada um desses problemas? Por favor, marque a opção que descreve melhor seu comportamento nos últimos 6 meses. [Tomo decisões impulsivamente.]</t>
  </si>
  <si>
    <t>Com que frequência você passa por cada um desses problemas? Por favor, marque a opção que descreve melhor seu comportamento nos últimos 6 meses. [Sou incapaz de inibir minhas reações ou respostas a situações ou aos outros.]</t>
  </si>
  <si>
    <t>Com que frequência você passa por cada um desses problemas? Por favor, marque a opção que descreve melhor seu comportamento nos últimos 6 meses. [Tenho dificuIdade em parar minhas atividades ou comportamento quando deveria.]</t>
  </si>
  <si>
    <t>Com que frequência você passa por cada um desses problemas? Por favor, marque a opção que descreve melhor seu comportamento nos últimos 6 meses. [Tenho dificuldade em mudar meu comportamento quando me falam sobre os meus erros.]</t>
  </si>
  <si>
    <t>LIMITROFE</t>
  </si>
  <si>
    <t>Com que frequência você passa por cada um desses problemas? Por favor, marque a opção que descreve melhor seu comportamento nos últimos 6 meses. [Faço comentários impulsivos para os outros.]</t>
  </si>
  <si>
    <t>Com que frequência você passa por cada um desses problemas? Por favor, marque a opção que descreve melhor seu comportamento nos últimos 6 meses. [Sou propenso a fazer coisas sem considerar as consequências.]</t>
  </si>
  <si>
    <t>Com que frequência você passa por cada um desses problemas? Por favor, marque a opção que descreve melhor seu comportamento nos últimos 6 meses. [Mudo meus planos no último minuto por um capricho ou impulso de último minuto.]</t>
  </si>
  <si>
    <t>Com que frequência você passa por cada um desses problemas? Por favor, marque a opção que descreve melhor seu comportamento nos últimos 6 meses. [Não levo em consideração fatos relevantes do passado ou experiências passadas antes de  responder às situações (Eu ajo sem pensar).]</t>
  </si>
  <si>
    <t>Com que frequência você passa por cada um desses problemas? Por favor, marque a opção que descreve melhor seu comportamento nos últimos 6 meses. [Não tenho consciência das coisas que eu falo ou faço.]</t>
  </si>
  <si>
    <t>Com que frequência você passa por cada um desses problemas? Por favor, marque a opção que descreve melhor seu comportamento nos últimos 6 meses. [Tenho dificuldade em ser objetivo com as coisas que mexem comigo.]</t>
  </si>
  <si>
    <t>Com que frequência você passa por cada um desses problemas? Por favor, marque a opção que descreve melhor seu comportamento nos últimos 6 meses. [Acho difícil assumir as perspectivas de outras pessoas sobre um problema ou uma situação.]</t>
  </si>
  <si>
    <t>Com que frequência você passa por cada um desses problemas? Por favor, marque a opção que descreve melhor seu comportamento nos últimos 6 meses. [Não penso nem falo as coisas comigo mesmo antes de fazer algo.]</t>
  </si>
  <si>
    <t>DEFICIÊNCIA LEVE</t>
  </si>
  <si>
    <t>Com que frequência você passa por cada um desses problemas? Por favor, marque a opção que descreve melhor seu comportamento nos últimos 6 meses. [Tenho dificuldade para seguir as regras em uma situação.]</t>
  </si>
  <si>
    <t>Com que frequência você passa por cada um desses problemas? Por favor, marque a opção que descreve melhor seu comportamento nos últimos 6 meses. [Tenho tendência a dirigir mais rápido que os outros (velocidade excessiva)]</t>
  </si>
  <si>
    <t>Com que frequência você passa por cada um desses problemas? Por favor, marque a opção que descreve melhor seu comportamento nos últimos 6 meses. [Não tolero muito bem situacões frustrantes.]</t>
  </si>
  <si>
    <t>DEFICIÊNCIA MODERADA</t>
  </si>
  <si>
    <t>Com que frequência você passa por cada um desses problemas? Por favor, marque a opção que descreve melhor seu comportamento nos últimos 6 meses. [Não consigo inibir minhas emoções tão bem quanto os outros]</t>
  </si>
  <si>
    <t>Com que frequência você passa por cada um desses problemas? Por favor, marque a opção que descreve melhor seu comportamento nos últimos 6 meses. [Não olho para frente e não penso sobre quais serão os resultados futuros antes de fazer alguma coisa (Não faço previsões) ]</t>
  </si>
  <si>
    <t>Com que frequência você passa por cada um desses problemas? Por favor, marque a opção que descreve melhor seu comportamento nos últimos 6 meses. [Eu me envolvo em atividades de risco mais do que os outros estão propensos a fazer.]</t>
  </si>
  <si>
    <t>DEFICIÊNCIA SEVERA</t>
  </si>
  <si>
    <t>Com que frequência você passa por cada um desses problemas? Por favor, marque a opção que descreve melhor seu comportamento nos últimos 6 meses. [Tenho tendência a pular partes do trabalho e não faço tudo o que devo fazer.]</t>
  </si>
  <si>
    <t>Com que frequência você passa por cada um desses problemas? Por favor, marque a opção que descreve melhor seu comportamento nos últimos 6 meses. [Sou propenso a abandonar um trabalho mais cedo se ele é chato ou se tenho outras coisas para fazer.]</t>
  </si>
  <si>
    <t>Com que frequência você passa por cada um desses problemas? Por favor, marque a opção que descreve melhor seu comportamento nos últimos 6 meses. [Não me esforço tanto no meu trabalho como eu deveria ou tanto quanto os outros são capazes.]</t>
  </si>
  <si>
    <t>Com que frequência você passa por cada um desses problemas? Por favor, marque a opção que descreve melhor seu comportamento nos últimos 6 meses. [Os outros me dizem que sou preguiçoso ou desmotivado.]</t>
  </si>
  <si>
    <t>Com que frequência você passa por cada um desses problemas? Por favor, marque a opção que descreve melhor seu comportamento nos últimos 6 meses. [Tenho que depender de outros para me ajudar a terminar meu trabalho.]</t>
  </si>
  <si>
    <t>Com que frequência você passa por cada um desses problemas? Por favor, marque a opção que descreve melhor seu comportamento nos últimos 6 meses. [As coisas devem ter uma recompensa imediata para  mim ou não consigo terminá-las.]</t>
  </si>
  <si>
    <t>Com que frequência você passa por cada um desses problemas? Por favor, marque a opção que descreve melhor seu comportamento nos últimos 6 meses. [Tenho dificuldades de resistir em fazer algo divertido ou mais interessante quando deveria estar trabalhando.]</t>
  </si>
  <si>
    <t>Com que frequência você passa por cada um desses problemas? Por favor, marque a opção que descreve melhor seu comportamento nos últimos 6 meses. [O meu desempenho no trabalho não tem consistência na quantidade e na qualidade.]</t>
  </si>
  <si>
    <t>Com que frequência você passa por cada um desses problemas? Por favor, marque a opção que descreve melhor seu comportamento nos últimos 6 meses. [Sou incapaz de trabalhar tão bem quanto os outros sem supervisão ou instruções frequentes.]</t>
  </si>
  <si>
    <t>Com que frequência você passa por cada um desses problemas? Por favor, marque a opção que descreve melhor seu comportamento nos últimos 6 meses. [Eu nao tenho a força de vontade ou determinação que os outros parecem ter.]</t>
  </si>
  <si>
    <t>Com que frequência você passa por cada um desses problemas? Por favor, marque a opção que descreve melhor seu comportamento nos últimos 6 meses. [Eu não sou capaz de trabalhar em busca de recompensas em longo rpazo ou postergadas assim como os outros.]</t>
  </si>
  <si>
    <t>Com que frequência você passa por cada um desses problemas? Por favor, marque a opção que descreve melhor seu comportamento nos últimos 6 meses. [Eu não consigo resistir em fazer coisas que levam a ganhos imediatos, mesmo quando elas não são boas para mim em longo prazo.]</t>
  </si>
  <si>
    <t>Com que frequência você passa por cada um desses problemas? Por favor, marque a opção que descreve melhor seu comportamento nos últimos 6 meses. [Fico com raiva ou chateado rapidamente.]</t>
  </si>
  <si>
    <t>Com que frequência você passa por cada um desses problemas? Por favor, marque a opção que descreve melhor seu comportamento nos últimos 6 meses. [Tenho reações emocionais exageradas.]</t>
  </si>
  <si>
    <t>Com que frequência você passa por cada um desses problemas? Por favor, marque a opção que descreve melhor seu comportamento nos últimos 6 meses. [Fico excitado com facilidade.]</t>
  </si>
  <si>
    <t>Com que frequência você passa por cada um desses problemas? Por favor, marque a opção que descreve melhor seu comportamento nos últimos 6 meses. [Sou incapaz de inibir demonstrações emocionais negativas ou positivas.]</t>
  </si>
  <si>
    <t>Com que frequência você passa por cada um desses problemas? Por favor, marque a opção que descreve melhor seu comportamento nos últimos 6 meses. [Tenho dificuldade em me acalmar uma vez que estou emocionalmente descontrolado.]</t>
  </si>
  <si>
    <t>Com que frequência você passa por cada um desses problemas? Por favor, marque a opção que descreve melhor seu comportamento nos últimos 6 meses. [Parece que não consigo retomar o controle emocional e ficar mais racional depois que eu estou emocionalmente afetado.]</t>
  </si>
  <si>
    <t>Com que frequência você passa por cada um desses problemas? Por favor, marque a opção que descreve melhor seu comportamento nos últimos 6 meses. [Parece que não consigo me distrair ou afastar do que está me perturbando emocionalmente, para ajudar a me acalmar. Não consigo redirecionar minha mente para as coisas mais positivas.]</t>
  </si>
  <si>
    <t>Com que frequência você passa por cada um desses problemas? Por favor, marque a opção que descreve melhor seu comportamento nos últimos 6 meses. [Sou incapaz de controlar as minhas emoções para atingir as minhas metas com sucesso ou me dar bem com os outros.84]</t>
  </si>
  <si>
    <t>Com que frequência você passa por cada um desses problemas? Por favor, marque a opção que descreve melhor seu comportamento nos últimos 6 meses. [Permaneço emotivo ou chateado por mais tempo que os outros.]</t>
  </si>
  <si>
    <t>Com que frequência você passa por cada um desses problemas? Por favor, marque a opção que descreve melhor seu comportamento nos últimos 6 meses. [Achodifícil me afastar de encontros emocionalmente desgastantes com os outros ou sair de situações nas quais fiquei muito afetado emocionalmente.]</t>
  </si>
  <si>
    <t>Com que frequência você passa por cada um desses problemas? Por favor, marque a opção que descreve melhor seu comportamento nos últimos 6 meses. [Eu não consigo redirecionar minhas emoções para formas ou soluções mais positivas quando fico chateado.]</t>
  </si>
  <si>
    <t>Com que frequência você passa por cada um desses problemas? Por favor, marque a opção que descreve melhor seu comportamento nos últimos 6 meses. [Eu não sou capaz de avaliar de forma mais objetiva uma situação emocionalmente perturbadora.]</t>
  </si>
  <si>
    <t>Com que frequência você passa por cada um desses problemas? Por favor, marque a opção que descreve melhor seu comportamento nos últimos 6 meses. [Não consigo ver o lado positivo de fatos negativos quando sinto emoções fortes.]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</si>
</sst>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theme="0"/>
      <name val="Arial"/>
    </font>
    <font>
      <sz val="10.0"/>
      <color rgb="FFFF0000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Font="1"/>
    <xf borderId="0" fillId="0" fontId="4" numFmtId="0" xfId="0" applyFont="1"/>
    <xf borderId="2" fillId="2" fontId="3" numFmtId="0" xfId="0" applyBorder="1" applyFill="1" applyFont="1"/>
    <xf borderId="2" fillId="2" fontId="1" numFmtId="0" xfId="0" applyBorder="1" applyFont="1"/>
    <xf borderId="2" fillId="2" fontId="2" numFmtId="0" xfId="0" applyBorder="1" applyFont="1"/>
    <xf borderId="1" fillId="0" fontId="4" numFmtId="0" xfId="0" applyBorder="1" applyFont="1"/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56 a 70 anos'!$D$10:$D$16</c:f>
            </c:strRef>
          </c:cat>
          <c:val>
            <c:numRef>
              <c:f>'Pós graduação 56 a 70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56 a 70 anos'!$D$10:$D$16</c:f>
            </c:strRef>
          </c:cat>
          <c:val>
            <c:numRef>
              <c:f>'Pós graduação 56 a 70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56 a 70 anos'!$D$10:$D$16</c:f>
            </c:strRef>
          </c:cat>
          <c:val>
            <c:numRef>
              <c:f>'Pós graduação 56 a 70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56 a 70 anos'!$D$10:$D$16</c:f>
            </c:strRef>
          </c:cat>
          <c:val>
            <c:numRef>
              <c:f>'Pós graduação 56 a 70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56 a 70 anos'!$D$10:$D$16</c:f>
            </c:strRef>
          </c:cat>
          <c:val>
            <c:numRef>
              <c:f>'Pós graduação 56 a 70 anos'!$F$10:$F$17</c:f>
              <c:numCache/>
            </c:numRef>
          </c:val>
        </c:ser>
        <c:axId val="210225852"/>
        <c:axId val="14567110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'Pós graduação 56 a 70 anos'!$D$10:$D$16</c:f>
            </c:strRef>
          </c:cat>
          <c:val>
            <c:numRef>
              <c:f>'Pós graduação 56 a 70 anos'!$E$10:$E$17</c:f>
              <c:numCache/>
            </c:numRef>
          </c:val>
        </c:ser>
        <c:axId val="210225852"/>
        <c:axId val="14567110"/>
      </c:barChart>
      <c:catAx>
        <c:axId val="210225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67110"/>
      </c:catAx>
      <c:valAx>
        <c:axId val="1456711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25852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46 a 55 anos'!$D$10:$D$16</c:f>
            </c:strRef>
          </c:cat>
          <c:val>
            <c:numRef>
              <c:f>'Pós graduação 46 a 55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46 a 55 anos'!$D$10:$D$16</c:f>
            </c:strRef>
          </c:cat>
          <c:val>
            <c:numRef>
              <c:f>'Pós graduação 46 a 55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46 a 55 anos'!$D$10:$D$16</c:f>
            </c:strRef>
          </c:cat>
          <c:val>
            <c:numRef>
              <c:f>'Pós graduação 46 a 55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46 a 55 anos'!$D$10:$D$16</c:f>
            </c:strRef>
          </c:cat>
          <c:val>
            <c:numRef>
              <c:f>'Pós graduação 46 a 55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46 a 55 anos'!$D$10:$D$16</c:f>
            </c:strRef>
          </c:cat>
          <c:val>
            <c:numRef>
              <c:f>'Pós graduação 46 a 55 anos'!$F$10:$F$17</c:f>
              <c:numCache/>
            </c:numRef>
          </c:val>
        </c:ser>
        <c:axId val="2059772150"/>
        <c:axId val="2098647372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'Pós graduação 46 a 55 anos'!$D$10:$D$16</c:f>
            </c:strRef>
          </c:cat>
          <c:val>
            <c:numRef>
              <c:f>'Pós graduação 46 a 55 anos'!$E$10:$E$17</c:f>
              <c:numCache/>
            </c:numRef>
          </c:val>
        </c:ser>
        <c:axId val="2059772150"/>
        <c:axId val="2098647372"/>
      </c:barChart>
      <c:catAx>
        <c:axId val="2059772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8647372"/>
      </c:catAx>
      <c:valAx>
        <c:axId val="209864737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772150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39 a 45 anos'!$D$10:$D$16</c:f>
            </c:strRef>
          </c:cat>
          <c:val>
            <c:numRef>
              <c:f>'Pós graduação 39 a 45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39 a 45 anos'!$D$10:$D$16</c:f>
            </c:strRef>
          </c:cat>
          <c:val>
            <c:numRef>
              <c:f>'Pós graduação 39 a 45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39 a 45 anos'!$D$10:$D$16</c:f>
            </c:strRef>
          </c:cat>
          <c:val>
            <c:numRef>
              <c:f>'Pós graduação 39 a 45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39 a 45 anos'!$D$10:$D$16</c:f>
            </c:strRef>
          </c:cat>
          <c:val>
            <c:numRef>
              <c:f>'Pós graduação 39 a 45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39 a 45 anos'!$D$10:$D$16</c:f>
            </c:strRef>
          </c:cat>
          <c:val>
            <c:numRef>
              <c:f>'Pós graduação 39 a 45 anos'!$F$10:$F$17</c:f>
              <c:numCache/>
            </c:numRef>
          </c:val>
        </c:ser>
        <c:axId val="349525598"/>
        <c:axId val="1517300797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'Pós graduação 39 a 45 anos'!$D$10:$D$16</c:f>
            </c:strRef>
          </c:cat>
          <c:val>
            <c:numRef>
              <c:f>'Pós graduação 39 a 45 anos'!$E$10:$E$17</c:f>
              <c:numCache/>
            </c:numRef>
          </c:val>
        </c:ser>
        <c:axId val="349525598"/>
        <c:axId val="1517300797"/>
      </c:barChart>
      <c:catAx>
        <c:axId val="349525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7300797"/>
      </c:catAx>
      <c:valAx>
        <c:axId val="1517300797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525598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32 a 38 anos'!$D$10:$D$16</c:f>
            </c:strRef>
          </c:cat>
          <c:val>
            <c:numRef>
              <c:f>'Pós graduação 32 a 38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32 a 38 anos'!$D$10:$D$16</c:f>
            </c:strRef>
          </c:cat>
          <c:val>
            <c:numRef>
              <c:f>'Pós graduação 32 a 38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32 a 38 anos'!$D$10:$D$16</c:f>
            </c:strRef>
          </c:cat>
          <c:val>
            <c:numRef>
              <c:f>'Pós graduação 32 a 38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32 a 38 anos'!$D$10:$D$16</c:f>
            </c:strRef>
          </c:cat>
          <c:val>
            <c:numRef>
              <c:f>'Pós graduação 32 a 38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32 a 38 anos'!$D$10:$D$16</c:f>
            </c:strRef>
          </c:cat>
          <c:val>
            <c:numRef>
              <c:f>'Pós graduação 32 a 38 anos'!$F$10:$F$17</c:f>
              <c:numCache/>
            </c:numRef>
          </c:val>
        </c:ser>
        <c:axId val="425966403"/>
        <c:axId val="1387329055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'Pós graduação 32 a 38 anos'!$D$10:$D$16</c:f>
            </c:strRef>
          </c:cat>
          <c:val>
            <c:numRef>
              <c:f>'Pós graduação 32 a 38 anos'!$E$10:$E$17</c:f>
              <c:numCache/>
            </c:numRef>
          </c:val>
        </c:ser>
        <c:axId val="425966403"/>
        <c:axId val="1387329055"/>
      </c:barChart>
      <c:catAx>
        <c:axId val="425966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7329055"/>
      </c:catAx>
      <c:valAx>
        <c:axId val="138732905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966403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25 a 31 anos'!$D$10:$D$16</c:f>
            </c:strRef>
          </c:cat>
          <c:val>
            <c:numRef>
              <c:f>'Pós graduação 25 a 31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25 a 31 anos'!$D$10:$D$16</c:f>
            </c:strRef>
          </c:cat>
          <c:val>
            <c:numRef>
              <c:f>'Pós graduação 25 a 31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25 a 31 anos'!$D$10:$D$16</c:f>
            </c:strRef>
          </c:cat>
          <c:val>
            <c:numRef>
              <c:f>'Pós graduação 25 a 31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25 a 31 anos'!$D$10:$D$16</c:f>
            </c:strRef>
          </c:cat>
          <c:val>
            <c:numRef>
              <c:f>'Pós graduação 25 a 31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25 a 31 anos'!$D$10:$D$16</c:f>
            </c:strRef>
          </c:cat>
          <c:val>
            <c:numRef>
              <c:f>'Pós graduação 25 a 31 anos'!$F$10:$F$17</c:f>
              <c:numCache/>
            </c:numRef>
          </c:val>
        </c:ser>
        <c:axId val="2018724873"/>
        <c:axId val="298511007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'Pós graduação 25 a 31 anos'!$D$10:$D$16</c:f>
            </c:strRef>
          </c:cat>
          <c:val>
            <c:numRef>
              <c:f>'Pós graduação 25 a 31 anos'!$E$10:$E$17</c:f>
              <c:numCache/>
            </c:numRef>
          </c:val>
        </c:ser>
        <c:axId val="2018724873"/>
        <c:axId val="298511007"/>
      </c:barChart>
      <c:catAx>
        <c:axId val="2018724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8511007"/>
      </c:catAx>
      <c:valAx>
        <c:axId val="298511007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724873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18 a 24 anos'!$D$10:$D$16</c:f>
            </c:strRef>
          </c:cat>
          <c:val>
            <c:numRef>
              <c:f>'Pós graduação 18 a 24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18 a 24 anos'!$D$10:$D$16</c:f>
            </c:strRef>
          </c:cat>
          <c:val>
            <c:numRef>
              <c:f>'Pós graduação 18 a 24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18 a 24 anos'!$D$10:$D$16</c:f>
            </c:strRef>
          </c:cat>
          <c:val>
            <c:numRef>
              <c:f>'Pós graduação 18 a 24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18 a 24 anos'!$D$10:$D$16</c:f>
            </c:strRef>
          </c:cat>
          <c:val>
            <c:numRef>
              <c:f>'Pós graduação 18 a 24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'Pós graduação 18 a 24 anos'!$D$10:$D$16</c:f>
            </c:strRef>
          </c:cat>
          <c:val>
            <c:numRef>
              <c:f>'Pós graduação 18 a 24 anos'!$F$10:$F$17</c:f>
              <c:numCache/>
            </c:numRef>
          </c:val>
        </c:ser>
        <c:axId val="376722733"/>
        <c:axId val="1367008633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'Pós graduação 18 a 24 anos'!$D$10:$D$16</c:f>
            </c:strRef>
          </c:cat>
          <c:val>
            <c:numRef>
              <c:f>'Pós graduação 18 a 24 anos'!$E$10:$E$17</c:f>
              <c:numCache/>
            </c:numRef>
          </c:val>
        </c:ser>
        <c:axId val="376722733"/>
        <c:axId val="1367008633"/>
      </c:barChart>
      <c:catAx>
        <c:axId val="376722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7008633"/>
      </c:catAx>
      <c:valAx>
        <c:axId val="136700863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722733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56 a 70 anos'!$D$10:$D$16</c:f>
            </c:strRef>
          </c:cat>
          <c:val>
            <c:numRef>
              <c:f>'Ens. Superior 56 a 70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56 a 70 anos'!$D$10:$D$16</c:f>
            </c:strRef>
          </c:cat>
          <c:val>
            <c:numRef>
              <c:f>'Ens. Superior 56 a 70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56 a 70 anos'!$D$10:$D$16</c:f>
            </c:strRef>
          </c:cat>
          <c:val>
            <c:numRef>
              <c:f>'Ens. Superior 56 a 70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56 a 70 anos'!$D$10:$D$16</c:f>
            </c:strRef>
          </c:cat>
          <c:val>
            <c:numRef>
              <c:f>'Ens. Superior 56 a 70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56 a 70 anos'!$D$10:$D$16</c:f>
            </c:strRef>
          </c:cat>
          <c:val>
            <c:numRef>
              <c:f>'Ens. Superior 56 a 70 anos'!$F$10:$F$17</c:f>
              <c:numCache/>
            </c:numRef>
          </c:val>
        </c:ser>
        <c:axId val="1773921314"/>
        <c:axId val="1350070836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Superior 56 a 70 anos'!$D$10:$D$16</c:f>
            </c:strRef>
          </c:cat>
          <c:val>
            <c:numRef>
              <c:f>'Ens. Superior 56 a 70 anos'!$E$10:$E$17</c:f>
              <c:numCache/>
            </c:numRef>
          </c:val>
        </c:ser>
        <c:axId val="1773921314"/>
        <c:axId val="1350070836"/>
      </c:barChart>
      <c:catAx>
        <c:axId val="1773921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0070836"/>
      </c:catAx>
      <c:valAx>
        <c:axId val="135007083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921314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46 a 55 anos'!$D$10:$D$16</c:f>
            </c:strRef>
          </c:cat>
          <c:val>
            <c:numRef>
              <c:f>'Ens. Superior 46 a 55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46 a 55 anos'!$D$10:$D$16</c:f>
            </c:strRef>
          </c:cat>
          <c:val>
            <c:numRef>
              <c:f>'Ens. Superior 46 a 55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46 a 55 anos'!$D$10:$D$16</c:f>
            </c:strRef>
          </c:cat>
          <c:val>
            <c:numRef>
              <c:f>'Ens. Superior 46 a 55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46 a 55 anos'!$D$10:$D$16</c:f>
            </c:strRef>
          </c:cat>
          <c:val>
            <c:numRef>
              <c:f>'Ens. Superior 46 a 55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46 a 55 anos'!$D$10:$D$16</c:f>
            </c:strRef>
          </c:cat>
          <c:val>
            <c:numRef>
              <c:f>'Ens. Superior 46 a 55 anos'!$F$10:$F$17</c:f>
              <c:numCache/>
            </c:numRef>
          </c:val>
        </c:ser>
        <c:axId val="1074668338"/>
        <c:axId val="1262338750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Superior 46 a 55 anos'!$D$10:$D$16</c:f>
            </c:strRef>
          </c:cat>
          <c:val>
            <c:numRef>
              <c:f>'Ens. Superior 46 a 55 anos'!$E$10:$E$17</c:f>
              <c:numCache/>
            </c:numRef>
          </c:val>
        </c:ser>
        <c:axId val="1074668338"/>
        <c:axId val="1262338750"/>
      </c:barChart>
      <c:catAx>
        <c:axId val="1074668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2338750"/>
      </c:catAx>
      <c:valAx>
        <c:axId val="126233875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668338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39 a 45 anos'!$D$10:$D$16</c:f>
            </c:strRef>
          </c:cat>
          <c:val>
            <c:numRef>
              <c:f>'Ens. Superior 39 a 45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39 a 45 anos'!$D$10:$D$16</c:f>
            </c:strRef>
          </c:cat>
          <c:val>
            <c:numRef>
              <c:f>'Ens. Superior 39 a 45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39 a 45 anos'!$D$10:$D$16</c:f>
            </c:strRef>
          </c:cat>
          <c:val>
            <c:numRef>
              <c:f>'Ens. Superior 39 a 45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39 a 45 anos'!$D$10:$D$16</c:f>
            </c:strRef>
          </c:cat>
          <c:val>
            <c:numRef>
              <c:f>'Ens. Superior 39 a 45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39 a 45 anos'!$D$10:$D$16</c:f>
            </c:strRef>
          </c:cat>
          <c:val>
            <c:numRef>
              <c:f>'Ens. Superior 39 a 45 anos'!$F$10:$F$17</c:f>
              <c:numCache/>
            </c:numRef>
          </c:val>
        </c:ser>
        <c:axId val="1522934621"/>
        <c:axId val="375411786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Superior 39 a 45 anos'!$D$10:$D$16</c:f>
            </c:strRef>
          </c:cat>
          <c:val>
            <c:numRef>
              <c:f>'Ens. Superior 39 a 45 anos'!$E$10:$E$17</c:f>
              <c:numCache/>
            </c:numRef>
          </c:val>
        </c:ser>
        <c:axId val="1522934621"/>
        <c:axId val="375411786"/>
      </c:barChart>
      <c:catAx>
        <c:axId val="1522934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5411786"/>
      </c:catAx>
      <c:valAx>
        <c:axId val="37541178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934621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32 a 38 anos'!$D$10:$D$16</c:f>
            </c:strRef>
          </c:cat>
          <c:val>
            <c:numRef>
              <c:f>'Ens. Superior 32 a 38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32 a 38 anos'!$D$10:$D$16</c:f>
            </c:strRef>
          </c:cat>
          <c:val>
            <c:numRef>
              <c:f>'Ens. Superior 32 a 38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32 a 38 anos'!$D$10:$D$16</c:f>
            </c:strRef>
          </c:cat>
          <c:val>
            <c:numRef>
              <c:f>'Ens. Superior 32 a 38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32 a 38 anos'!$D$10:$D$16</c:f>
            </c:strRef>
          </c:cat>
          <c:val>
            <c:numRef>
              <c:f>'Ens. Superior 32 a 38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32 a 38 anos'!$D$10:$D$16</c:f>
            </c:strRef>
          </c:cat>
          <c:val>
            <c:numRef>
              <c:f>'Ens. Superior 32 a 38 anos'!$F$10:$F$17</c:f>
              <c:numCache/>
            </c:numRef>
          </c:val>
        </c:ser>
        <c:axId val="1947548550"/>
        <c:axId val="1567720940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Superior 32 a 38 anos'!$D$10:$D$16</c:f>
            </c:strRef>
          </c:cat>
          <c:val>
            <c:numRef>
              <c:f>'Ens. Superior 32 a 38 anos'!$E$10:$E$17</c:f>
              <c:numCache/>
            </c:numRef>
          </c:val>
        </c:ser>
        <c:axId val="1947548550"/>
        <c:axId val="1567720940"/>
      </c:barChart>
      <c:catAx>
        <c:axId val="1947548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7720940"/>
      </c:catAx>
      <c:valAx>
        <c:axId val="156772094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548550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25 a 31 anos'!$D$10:$D$16</c:f>
            </c:strRef>
          </c:cat>
          <c:val>
            <c:numRef>
              <c:f>'Ens. Superior 25 a 31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25 a 31 anos'!$D$10:$D$16</c:f>
            </c:strRef>
          </c:cat>
          <c:val>
            <c:numRef>
              <c:f>'Ens. Superior 25 a 31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25 a 31 anos'!$D$10:$D$16</c:f>
            </c:strRef>
          </c:cat>
          <c:val>
            <c:numRef>
              <c:f>'Ens. Superior 25 a 31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25 a 31 anos'!$D$10:$D$16</c:f>
            </c:strRef>
          </c:cat>
          <c:val>
            <c:numRef>
              <c:f>'Ens. Superior 25 a 31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25 a 31 anos'!$D$10:$D$16</c:f>
            </c:strRef>
          </c:cat>
          <c:val>
            <c:numRef>
              <c:f>'Ens. Superior 25 a 31 anos'!$F$10:$F$17</c:f>
              <c:numCache/>
            </c:numRef>
          </c:val>
        </c:ser>
        <c:axId val="635048892"/>
        <c:axId val="1902347016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Superior 25 a 31 anos'!$D$10:$D$16</c:f>
            </c:strRef>
          </c:cat>
          <c:val>
            <c:numRef>
              <c:f>'Ens. Superior 25 a 31 anos'!$E$10:$E$17</c:f>
              <c:numCache/>
            </c:numRef>
          </c:val>
        </c:ser>
        <c:axId val="635048892"/>
        <c:axId val="1902347016"/>
      </c:barChart>
      <c:catAx>
        <c:axId val="635048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2347016"/>
      </c:catAx>
      <c:valAx>
        <c:axId val="190234701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048892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18 a 24 anos'!$D$10:$D$16</c:f>
            </c:strRef>
          </c:cat>
          <c:val>
            <c:numRef>
              <c:f>'Ens. Superior 18 a 24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18 a 24 anos'!$D$10:$D$16</c:f>
            </c:strRef>
          </c:cat>
          <c:val>
            <c:numRef>
              <c:f>'Ens. Superior 18 a 24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18 a 24 anos'!$D$10:$D$16</c:f>
            </c:strRef>
          </c:cat>
          <c:val>
            <c:numRef>
              <c:f>'Ens. Superior 18 a 24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18 a 24 anos'!$D$10:$D$16</c:f>
            </c:strRef>
          </c:cat>
          <c:val>
            <c:numRef>
              <c:f>'Ens. Superior 18 a 24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Superior 18 a 24 anos'!$D$10:$D$16</c:f>
            </c:strRef>
          </c:cat>
          <c:val>
            <c:numRef>
              <c:f>'Ens. Superior 18 a 24 anos'!$F$10:$F$17</c:f>
              <c:numCache/>
            </c:numRef>
          </c:val>
        </c:ser>
        <c:axId val="184902867"/>
        <c:axId val="1682935011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Superior 18 a 24 anos'!$D$10:$D$16</c:f>
            </c:strRef>
          </c:cat>
          <c:val>
            <c:numRef>
              <c:f>'Ens. Superior 18 a 24 anos'!$E$10:$E$17</c:f>
              <c:numCache/>
            </c:numRef>
          </c:val>
        </c:ser>
        <c:axId val="184902867"/>
        <c:axId val="1682935011"/>
      </c:barChart>
      <c:catAx>
        <c:axId val="184902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2935011"/>
      </c:catAx>
      <c:valAx>
        <c:axId val="168293501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02867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56 a 70 anos'!$D$10:$D$16</c:f>
            </c:strRef>
          </c:cat>
          <c:val>
            <c:numRef>
              <c:f>'Ens. Médio 56 a 70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56 a 70 anos'!$D$10:$D$16</c:f>
            </c:strRef>
          </c:cat>
          <c:val>
            <c:numRef>
              <c:f>'Ens. Médio 56 a 70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56 a 70 anos'!$D$10:$D$16</c:f>
            </c:strRef>
          </c:cat>
          <c:val>
            <c:numRef>
              <c:f>'Ens. Médio 56 a 70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56 a 70 anos'!$D$10:$D$16</c:f>
            </c:strRef>
          </c:cat>
          <c:val>
            <c:numRef>
              <c:f>'Ens. Médio 56 a 70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56 a 70 anos'!$D$10:$D$16</c:f>
            </c:strRef>
          </c:cat>
          <c:val>
            <c:numRef>
              <c:f>'Ens. Médio 56 a 70 anos'!$F$10:$F$17</c:f>
              <c:numCache/>
            </c:numRef>
          </c:val>
        </c:ser>
        <c:axId val="1117578958"/>
        <c:axId val="1885582783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Médio 56 a 70 anos'!$D$10:$D$16</c:f>
            </c:strRef>
          </c:cat>
          <c:val>
            <c:numRef>
              <c:f>'Ens. Médio 56 a 70 anos'!$E$10:$E$17</c:f>
              <c:numCache/>
            </c:numRef>
          </c:val>
        </c:ser>
        <c:axId val="1117578958"/>
        <c:axId val="1885582783"/>
      </c:barChart>
      <c:catAx>
        <c:axId val="1117578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5582783"/>
      </c:catAx>
      <c:valAx>
        <c:axId val="188558278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578958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46 a 55 anos'!$D$10:$D$16</c:f>
            </c:strRef>
          </c:cat>
          <c:val>
            <c:numRef>
              <c:f>'Ens. Médio 46 a 55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46 a 55 anos'!$D$10:$D$16</c:f>
            </c:strRef>
          </c:cat>
          <c:val>
            <c:numRef>
              <c:f>'Ens. Médio 46 a 55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46 a 55 anos'!$D$10:$D$16</c:f>
            </c:strRef>
          </c:cat>
          <c:val>
            <c:numRef>
              <c:f>'Ens. Médio 46 a 55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46 a 55 anos'!$D$10:$D$16</c:f>
            </c:strRef>
          </c:cat>
          <c:val>
            <c:numRef>
              <c:f>'Ens. Médio 46 a 55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46 a 55 anos'!$D$10:$D$16</c:f>
            </c:strRef>
          </c:cat>
          <c:val>
            <c:numRef>
              <c:f>'Ens. Médio 46 a 55 anos'!$F$10:$F$17</c:f>
              <c:numCache/>
            </c:numRef>
          </c:val>
        </c:ser>
        <c:axId val="2043612180"/>
        <c:axId val="2058223086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Médio 46 a 55 anos'!$D$10:$D$16</c:f>
            </c:strRef>
          </c:cat>
          <c:val>
            <c:numRef>
              <c:f>'Ens. Médio 46 a 55 anos'!$E$10:$E$17</c:f>
              <c:numCache/>
            </c:numRef>
          </c:val>
        </c:ser>
        <c:axId val="2043612180"/>
        <c:axId val="2058223086"/>
      </c:barChart>
      <c:catAx>
        <c:axId val="2043612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8223086"/>
      </c:catAx>
      <c:valAx>
        <c:axId val="205822308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612180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39 a 45 anos'!$D$10:$D$16</c:f>
            </c:strRef>
          </c:cat>
          <c:val>
            <c:numRef>
              <c:f>'Ens. Médio 39 a 45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39 a 45 anos'!$D$10:$D$16</c:f>
            </c:strRef>
          </c:cat>
          <c:val>
            <c:numRef>
              <c:f>'Ens. Médio 39 a 45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39 a 45 anos'!$D$10:$D$16</c:f>
            </c:strRef>
          </c:cat>
          <c:val>
            <c:numRef>
              <c:f>'Ens. Médio 39 a 45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39 a 45 anos'!$D$10:$D$16</c:f>
            </c:strRef>
          </c:cat>
          <c:val>
            <c:numRef>
              <c:f>'Ens. Médio 39 a 45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39 a 45 anos'!$D$10:$D$16</c:f>
            </c:strRef>
          </c:cat>
          <c:val>
            <c:numRef>
              <c:f>'Ens. Médio 39 a 45 anos'!$F$10:$F$17</c:f>
              <c:numCache/>
            </c:numRef>
          </c:val>
        </c:ser>
        <c:axId val="1561154406"/>
        <c:axId val="1336513672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Médio 39 a 45 anos'!$D$10:$D$16</c:f>
            </c:strRef>
          </c:cat>
          <c:val>
            <c:numRef>
              <c:f>'Ens. Médio 39 a 45 anos'!$E$10:$E$17</c:f>
              <c:numCache/>
            </c:numRef>
          </c:val>
        </c:ser>
        <c:axId val="1561154406"/>
        <c:axId val="1336513672"/>
      </c:barChart>
      <c:catAx>
        <c:axId val="1561154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6513672"/>
      </c:catAx>
      <c:valAx>
        <c:axId val="133651367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154406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32 a 38 anos'!$D$10:$D$16</c:f>
            </c:strRef>
          </c:cat>
          <c:val>
            <c:numRef>
              <c:f>'Ens. Médio 32 a 38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32 a 38 anos'!$D$10:$D$16</c:f>
            </c:strRef>
          </c:cat>
          <c:val>
            <c:numRef>
              <c:f>'Ens. Médio 32 a 38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32 a 38 anos'!$D$10:$D$16</c:f>
            </c:strRef>
          </c:cat>
          <c:val>
            <c:numRef>
              <c:f>'Ens. Médio 32 a 38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32 a 38 anos'!$D$10:$D$16</c:f>
            </c:strRef>
          </c:cat>
          <c:val>
            <c:numRef>
              <c:f>'Ens. Médio 32 a 38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32 a 38 anos'!$D$10:$D$16</c:f>
            </c:strRef>
          </c:cat>
          <c:val>
            <c:numRef>
              <c:f>'Ens. Médio 32 a 38 anos'!$F$10:$F$17</c:f>
              <c:numCache/>
            </c:numRef>
          </c:val>
        </c:ser>
        <c:axId val="2013069515"/>
        <c:axId val="643091049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Médio 32 a 38 anos'!$D$10:$D$16</c:f>
            </c:strRef>
          </c:cat>
          <c:val>
            <c:numRef>
              <c:f>'Ens. Médio 32 a 38 anos'!$E$10:$E$17</c:f>
              <c:numCache/>
            </c:numRef>
          </c:val>
        </c:ser>
        <c:axId val="2013069515"/>
        <c:axId val="643091049"/>
      </c:barChart>
      <c:catAx>
        <c:axId val="2013069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3091049"/>
      </c:catAx>
      <c:valAx>
        <c:axId val="64309104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069515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25 a 31 anos'!$D$10:$D$16</c:f>
            </c:strRef>
          </c:cat>
          <c:val>
            <c:numRef>
              <c:f>'Ens. Médio 25 a 31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25 a 31 anos'!$D$10:$D$16</c:f>
            </c:strRef>
          </c:cat>
          <c:val>
            <c:numRef>
              <c:f>'Ens. Médio 25 a 31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25 a 31 anos'!$D$10:$D$16</c:f>
            </c:strRef>
          </c:cat>
          <c:val>
            <c:numRef>
              <c:f>'Ens. Médio 25 a 31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25 a 31 anos'!$D$10:$D$16</c:f>
            </c:strRef>
          </c:cat>
          <c:val>
            <c:numRef>
              <c:f>'Ens. Médio 25 a 31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25 a 31 anos'!$D$10:$D$16</c:f>
            </c:strRef>
          </c:cat>
          <c:val>
            <c:numRef>
              <c:f>'Ens. Médio 25 a 31 anos'!$F$10:$F$17</c:f>
              <c:numCache/>
            </c:numRef>
          </c:val>
        </c:ser>
        <c:axId val="540862950"/>
        <c:axId val="1258762446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Médio 25 a 31 anos'!$D$10:$D$16</c:f>
            </c:strRef>
          </c:cat>
          <c:val>
            <c:numRef>
              <c:f>'Ens. Médio 25 a 31 anos'!$E$10:$E$17</c:f>
              <c:numCache/>
            </c:numRef>
          </c:val>
        </c:ser>
        <c:axId val="540862950"/>
        <c:axId val="1258762446"/>
      </c:barChart>
      <c:catAx>
        <c:axId val="540862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8762446"/>
      </c:catAx>
      <c:valAx>
        <c:axId val="125876244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862950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18 a 24 anos'!$D$10:$D$16</c:f>
            </c:strRef>
          </c:cat>
          <c:val>
            <c:numRef>
              <c:f>'Ens. Médio 18 a 24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18 a 24 anos'!$D$10:$D$16</c:f>
            </c:strRef>
          </c:cat>
          <c:val>
            <c:numRef>
              <c:f>'Ens. Médio 18 a 24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18 a 24 anos'!$D$10:$D$16</c:f>
            </c:strRef>
          </c:cat>
          <c:val>
            <c:numRef>
              <c:f>'Ens. Médio 18 a 24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18 a 24 anos'!$D$10:$D$16</c:f>
            </c:strRef>
          </c:cat>
          <c:val>
            <c:numRef>
              <c:f>'Ens. Médio 18 a 24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'Ens. Médio 18 a 24 anos'!$D$10:$D$16</c:f>
            </c:strRef>
          </c:cat>
          <c:val>
            <c:numRef>
              <c:f>'Ens. Médio 18 a 24 anos'!$F$10:$F$17</c:f>
              <c:numCache/>
            </c:numRef>
          </c:val>
        </c:ser>
        <c:axId val="1212934798"/>
        <c:axId val="1875746015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'Ens. Médio 18 a 24 anos'!$D$10:$D$16</c:f>
            </c:strRef>
          </c:cat>
          <c:val>
            <c:numRef>
              <c:f>'Ens. Médio 18 a 24 anos'!$E$10:$E$17</c:f>
              <c:numCache/>
            </c:numRef>
          </c:val>
        </c:ser>
        <c:axId val="1212934798"/>
        <c:axId val="1875746015"/>
      </c:barChart>
      <c:catAx>
        <c:axId val="1212934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5746015"/>
      </c:catAx>
      <c:valAx>
        <c:axId val="187574601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934798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'56 a 70 anos'!$D$10:$D$16</c:f>
            </c:strRef>
          </c:cat>
          <c:val>
            <c:numRef>
              <c:f>'56 a 70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'56 a 70 anos'!$D$10:$D$16</c:f>
            </c:strRef>
          </c:cat>
          <c:val>
            <c:numRef>
              <c:f>'56 a 70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'56 a 70 anos'!$D$10:$D$16</c:f>
            </c:strRef>
          </c:cat>
          <c:val>
            <c:numRef>
              <c:f>'56 a 70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'56 a 70 anos'!$D$10:$D$16</c:f>
            </c:strRef>
          </c:cat>
          <c:val>
            <c:numRef>
              <c:f>'56 a 70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'56 a 70 anos'!$D$10:$D$16</c:f>
            </c:strRef>
          </c:cat>
          <c:val>
            <c:numRef>
              <c:f>'56 a 70 anos'!$F$10:$F$17</c:f>
              <c:numCache/>
            </c:numRef>
          </c:val>
        </c:ser>
        <c:axId val="1177010019"/>
        <c:axId val="2003219763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'56 a 70 anos'!$D$10:$D$16</c:f>
            </c:strRef>
          </c:cat>
          <c:val>
            <c:numRef>
              <c:f>'56 a 70 anos'!$E$10:$E$17</c:f>
              <c:numCache/>
            </c:numRef>
          </c:val>
        </c:ser>
        <c:axId val="1177010019"/>
        <c:axId val="2003219763"/>
      </c:barChart>
      <c:catAx>
        <c:axId val="1177010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3219763"/>
      </c:catAx>
      <c:valAx>
        <c:axId val="200321976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010019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'46 a 55 anos'!$D$10:$D$16</c:f>
            </c:strRef>
          </c:cat>
          <c:val>
            <c:numRef>
              <c:f>'46 a 55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'46 a 55 anos'!$D$10:$D$16</c:f>
            </c:strRef>
          </c:cat>
          <c:val>
            <c:numRef>
              <c:f>'46 a 55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'46 a 55 anos'!$D$10:$D$16</c:f>
            </c:strRef>
          </c:cat>
          <c:val>
            <c:numRef>
              <c:f>'46 a 55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'46 a 55 anos'!$D$10:$D$16</c:f>
            </c:strRef>
          </c:cat>
          <c:val>
            <c:numRef>
              <c:f>'46 a 55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'46 a 55 anos'!$D$10:$D$16</c:f>
            </c:strRef>
          </c:cat>
          <c:val>
            <c:numRef>
              <c:f>'46 a 55 anos'!$F$10:$F$17</c:f>
              <c:numCache/>
            </c:numRef>
          </c:val>
        </c:ser>
        <c:axId val="222411845"/>
        <c:axId val="1669622330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'46 a 55 anos'!$D$10:$D$16</c:f>
            </c:strRef>
          </c:cat>
          <c:val>
            <c:numRef>
              <c:f>'46 a 55 anos'!$E$10:$E$17</c:f>
              <c:numCache/>
            </c:numRef>
          </c:val>
        </c:ser>
        <c:axId val="222411845"/>
        <c:axId val="1669622330"/>
      </c:barChart>
      <c:catAx>
        <c:axId val="222411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9622330"/>
      </c:catAx>
      <c:valAx>
        <c:axId val="166962233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411845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'39 a 45 anos'!$D$10:$D$16</c:f>
            </c:strRef>
          </c:cat>
          <c:val>
            <c:numRef>
              <c:f>'39 a 45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'39 a 45 anos'!$D$10:$D$16</c:f>
            </c:strRef>
          </c:cat>
          <c:val>
            <c:numRef>
              <c:f>'39 a 45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'39 a 45 anos'!$D$10:$D$16</c:f>
            </c:strRef>
          </c:cat>
          <c:val>
            <c:numRef>
              <c:f>'39 a 45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'39 a 45 anos'!$D$10:$D$16</c:f>
            </c:strRef>
          </c:cat>
          <c:val>
            <c:numRef>
              <c:f>'39 a 45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'39 a 45 anos'!$D$10:$D$16</c:f>
            </c:strRef>
          </c:cat>
          <c:val>
            <c:numRef>
              <c:f>'39 a 45 anos'!$F$10:$F$17</c:f>
              <c:numCache/>
            </c:numRef>
          </c:val>
        </c:ser>
        <c:axId val="791138186"/>
        <c:axId val="1785267741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'39 a 45 anos'!$D$10:$D$16</c:f>
            </c:strRef>
          </c:cat>
          <c:val>
            <c:numRef>
              <c:f>'39 a 45 anos'!$E$10:$E$17</c:f>
              <c:numCache/>
            </c:numRef>
          </c:val>
        </c:ser>
        <c:axId val="791138186"/>
        <c:axId val="1785267741"/>
      </c:barChart>
      <c:catAx>
        <c:axId val="791138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5267741"/>
      </c:catAx>
      <c:valAx>
        <c:axId val="178526774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138186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'32 a 38 anos'!$D$10:$D$16</c:f>
            </c:strRef>
          </c:cat>
          <c:val>
            <c:numRef>
              <c:f>'32 a 38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'32 a 38 anos'!$D$10:$D$16</c:f>
            </c:strRef>
          </c:cat>
          <c:val>
            <c:numRef>
              <c:f>'32 a 38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'32 a 38 anos'!$D$10:$D$16</c:f>
            </c:strRef>
          </c:cat>
          <c:val>
            <c:numRef>
              <c:f>'32 a 38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'32 a 38 anos'!$D$10:$D$16</c:f>
            </c:strRef>
          </c:cat>
          <c:val>
            <c:numRef>
              <c:f>'32 a 38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'32 a 38 anos'!$D$10:$D$16</c:f>
            </c:strRef>
          </c:cat>
          <c:val>
            <c:numRef>
              <c:f>'32 a 38 anos'!$F$10:$F$17</c:f>
              <c:numCache/>
            </c:numRef>
          </c:val>
        </c:ser>
        <c:axId val="2106464314"/>
        <c:axId val="613381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'32 a 38 anos'!$D$10:$D$16</c:f>
            </c:strRef>
          </c:cat>
          <c:val>
            <c:numRef>
              <c:f>'32 a 38 anos'!$E$10:$E$17</c:f>
              <c:numCache/>
            </c:numRef>
          </c:val>
        </c:ser>
        <c:axId val="2106464314"/>
        <c:axId val="613381"/>
      </c:barChart>
      <c:catAx>
        <c:axId val="2106464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3381"/>
      </c:catAx>
      <c:valAx>
        <c:axId val="61338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464314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'25 a 31 anos'!$D$10:$D$16</c:f>
            </c:strRef>
          </c:cat>
          <c:val>
            <c:numRef>
              <c:f>'25 a 31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'25 a 31 anos'!$D$10:$D$16</c:f>
            </c:strRef>
          </c:cat>
          <c:val>
            <c:numRef>
              <c:f>'25 a 31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'25 a 31 anos'!$D$10:$D$16</c:f>
            </c:strRef>
          </c:cat>
          <c:val>
            <c:numRef>
              <c:f>'25 a 31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'25 a 31 anos'!$D$10:$D$16</c:f>
            </c:strRef>
          </c:cat>
          <c:val>
            <c:numRef>
              <c:f>'25 a 31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'25 a 31 anos'!$D$10:$D$16</c:f>
            </c:strRef>
          </c:cat>
          <c:val>
            <c:numRef>
              <c:f>'25 a 31 anos'!$F$10:$F$17</c:f>
              <c:numCache/>
            </c:numRef>
          </c:val>
        </c:ser>
        <c:axId val="627974488"/>
        <c:axId val="524398041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'25 a 31 anos'!$D$10:$D$16</c:f>
            </c:strRef>
          </c:cat>
          <c:val>
            <c:numRef>
              <c:f>'25 a 31 anos'!$E$10:$E$17</c:f>
              <c:numCache/>
            </c:numRef>
          </c:val>
        </c:ser>
        <c:axId val="627974488"/>
        <c:axId val="524398041"/>
      </c:barChart>
      <c:catAx>
        <c:axId val="627974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4398041"/>
      </c:catAx>
      <c:valAx>
        <c:axId val="52439804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974488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BDEFS - LF</a:t>
            </a:r>
          </a:p>
        </c:rich>
      </c:tx>
      <c:overlay val="0"/>
    </c:title>
    <c:plotArea>
      <c:layout/>
      <c:areaChart>
        <c:ser>
          <c:idx val="0"/>
          <c:order val="0"/>
          <c:tx>
            <c:v>Deficiência severa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'18 a 24 anos'!$D$10:$D$16</c:f>
            </c:strRef>
          </c:cat>
          <c:val>
            <c:numRef>
              <c:f>'18 a 24 anos'!$J$10:$J$17</c:f>
              <c:numCache/>
            </c:numRef>
          </c:val>
        </c:ser>
        <c:ser>
          <c:idx val="1"/>
          <c:order val="1"/>
          <c:tx>
            <c:v>Deficiência moderada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'18 a 24 anos'!$D$10:$D$16</c:f>
            </c:strRef>
          </c:cat>
          <c:val>
            <c:numRef>
              <c:f>'18 a 24 anos'!$I$10:$I$17</c:f>
              <c:numCache/>
            </c:numRef>
          </c:val>
        </c:ser>
        <c:ser>
          <c:idx val="2"/>
          <c:order val="2"/>
          <c:tx>
            <c:v>Deficiência leve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'18 a 24 anos'!$D$10:$D$16</c:f>
            </c:strRef>
          </c:cat>
          <c:val>
            <c:numRef>
              <c:f>'18 a 24 anos'!$H$10:$H$17</c:f>
              <c:numCache/>
            </c:numRef>
          </c:val>
        </c:ser>
        <c:ser>
          <c:idx val="3"/>
          <c:order val="3"/>
          <c:tx>
            <c:v>Limítrofe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'18 a 24 anos'!$D$10:$D$16</c:f>
            </c:strRef>
          </c:cat>
          <c:val>
            <c:numRef>
              <c:f>'18 a 24 anos'!$G$10:$G$17</c:f>
              <c:numCache/>
            </c:numRef>
          </c:val>
        </c:ser>
        <c:ser>
          <c:idx val="4"/>
          <c:order val="4"/>
          <c:tx>
            <c:v>Signíficância clínica mínima</c:v>
          </c:tx>
          <c:spPr>
            <a:solidFill>
              <a:schemeClr val="accent5">
                <a:alpha val="30000"/>
              </a:schemeClr>
            </a:solidFill>
            <a:ln cmpd="sng" w="9525">
              <a:solidFill>
                <a:schemeClr val="accent5"/>
              </a:solidFill>
            </a:ln>
          </c:spPr>
          <c:cat>
            <c:strRef>
              <c:f>'18 a 24 anos'!$D$10:$D$16</c:f>
            </c:strRef>
          </c:cat>
          <c:val>
            <c:numRef>
              <c:f>'18 a 24 anos'!$F$10:$F$17</c:f>
              <c:numCache/>
            </c:numRef>
          </c:val>
        </c:ser>
        <c:axId val="2113133098"/>
        <c:axId val="11965133"/>
      </c:areaChart>
      <c:barChart>
        <c:barDir val="col"/>
        <c:ser>
          <c:idx val="5"/>
          <c:order val="5"/>
          <c:tx>
            <c:v>PERCENTIL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'18 a 24 anos'!$D$10:$D$16</c:f>
            </c:strRef>
          </c:cat>
          <c:val>
            <c:numRef>
              <c:f>'18 a 24 anos'!$E$10:$E$17</c:f>
              <c:numCache/>
            </c:numRef>
          </c:val>
        </c:ser>
        <c:axId val="2113133098"/>
        <c:axId val="11965133"/>
      </c:barChart>
      <c:catAx>
        <c:axId val="2113133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5133"/>
      </c:catAx>
      <c:valAx>
        <c:axId val="1196513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133098"/>
        <c:majorUnit val="1.0"/>
      </c:valAx>
    </c:plotArea>
    <c:legend>
      <c:legendPos val="t"/>
      <c:layout>
        <c:manualLayout>
          <c:xMode val="edge"/>
          <c:yMode val="edge"/>
          <c:x val="0.18822834645669292"/>
          <c:y val="0.0785609397944199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28575</xdr:rowOff>
    </xdr:from>
    <xdr:ext cx="7858125" cy="3724275"/>
    <xdr:graphicFrame>
      <xdr:nvGraphicFramePr>
        <xdr:cNvPr id="107919246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207695269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86824855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213804651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72480734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34436901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174905741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24540812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898131382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51230301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17097404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2014568526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133350</xdr:rowOff>
    </xdr:from>
    <xdr:ext cx="7915275" cy="3724275"/>
    <xdr:graphicFrame>
      <xdr:nvGraphicFramePr>
        <xdr:cNvPr id="380628095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98967397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299814460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1614320698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194018575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98894268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1342355421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1825720725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7858125" cy="3724275"/>
    <xdr:graphicFrame>
      <xdr:nvGraphicFramePr>
        <xdr:cNvPr id="1491843088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10925175" cy="5019675"/>
    <xdr:graphicFrame>
      <xdr:nvGraphicFramePr>
        <xdr:cNvPr id="6495286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10925175" cy="5019675"/>
    <xdr:graphicFrame>
      <xdr:nvGraphicFramePr>
        <xdr:cNvPr id="54252988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76200</xdr:rowOff>
    </xdr:from>
    <xdr:ext cx="10925175" cy="5019675"/>
    <xdr:graphicFrame>
      <xdr:nvGraphicFramePr>
        <xdr:cNvPr id="2076355390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31" width="8.63"/>
  </cols>
  <sheetData>
    <row r="1" ht="12.75" customHeight="1">
      <c r="A1" s="1" t="s">
        <v>0</v>
      </c>
      <c r="B1" s="2">
        <v>4.0</v>
      </c>
      <c r="D1" s="3" t="s">
        <v>1</v>
      </c>
      <c r="E1" s="4">
        <v>55.0</v>
      </c>
    </row>
    <row r="2" ht="12.75" customHeight="1">
      <c r="A2" s="1" t="s">
        <v>2</v>
      </c>
      <c r="B2" s="2">
        <v>1.0</v>
      </c>
      <c r="D2" s="3" t="s">
        <v>3</v>
      </c>
      <c r="E2" s="4">
        <v>55.0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4">
        <v>41.0</v>
      </c>
      <c r="G3" s="7"/>
      <c r="H3" s="7">
        <f>COUNTIF(B1:B89,"3")</f>
        <v>40</v>
      </c>
      <c r="I3" s="7"/>
      <c r="J3" s="6"/>
    </row>
    <row r="4" ht="12.75" customHeight="1">
      <c r="A4" s="1" t="s">
        <v>6</v>
      </c>
      <c r="B4" s="2">
        <v>3.0</v>
      </c>
      <c r="D4" s="3" t="s">
        <v>7</v>
      </c>
      <c r="E4" s="4">
        <v>19.0</v>
      </c>
      <c r="G4" s="7"/>
      <c r="H4" s="7">
        <f>COUNTIF(B1:B89,"4")</f>
        <v>13</v>
      </c>
      <c r="I4" s="7"/>
      <c r="J4" s="6"/>
    </row>
    <row r="5" ht="12.75" customHeight="1">
      <c r="A5" s="1" t="s">
        <v>8</v>
      </c>
      <c r="B5" s="2">
        <v>1.0</v>
      </c>
      <c r="D5" s="3" t="s">
        <v>9</v>
      </c>
      <c r="E5" s="4">
        <v>21.0</v>
      </c>
      <c r="G5" s="7"/>
      <c r="H5" s="7">
        <f>SUM(H3:H4)</f>
        <v>53</v>
      </c>
      <c r="I5" s="7"/>
      <c r="J5" s="6"/>
    </row>
    <row r="6" ht="12.75" customHeight="1">
      <c r="A6" s="1" t="s">
        <v>10</v>
      </c>
      <c r="B6" s="2">
        <v>1.0</v>
      </c>
      <c r="D6" s="3" t="s">
        <v>11</v>
      </c>
      <c r="E6" s="4">
        <v>28.0</v>
      </c>
      <c r="G6" s="6"/>
      <c r="H6" s="6"/>
      <c r="I6" s="6"/>
      <c r="J6" s="6"/>
    </row>
    <row r="7" ht="12.75" customHeight="1">
      <c r="A7" s="1" t="s">
        <v>12</v>
      </c>
      <c r="B7" s="2">
        <v>2.0</v>
      </c>
      <c r="D7" s="3" t="s">
        <v>13</v>
      </c>
      <c r="E7" s="4">
        <v>191.0</v>
      </c>
    </row>
    <row r="8" ht="12.75" customHeight="1">
      <c r="A8" s="1" t="s">
        <v>14</v>
      </c>
      <c r="B8" s="1">
        <v>4.0</v>
      </c>
      <c r="D8" s="3" t="s">
        <v>15</v>
      </c>
      <c r="E8" s="4">
        <v>60.0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1.0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2.0</v>
      </c>
      <c r="D10" s="3" t="s">
        <v>1</v>
      </c>
      <c r="E10" s="3">
        <f>VLOOKUP(E1,H36:P57,9,1)</f>
        <v>95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2.0</v>
      </c>
      <c r="D11" s="3" t="s">
        <v>3</v>
      </c>
      <c r="E11" s="3">
        <f>VLOOKUP(E2,I37:P57,8,1)</f>
        <v>90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2.0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4.0</v>
      </c>
      <c r="D13" s="3" t="s">
        <v>7</v>
      </c>
      <c r="E13" s="3">
        <f>VLOOKUP(E4,K37:P57,6,1)</f>
        <v>90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3.0</v>
      </c>
      <c r="D14" s="3" t="s">
        <v>9</v>
      </c>
      <c r="E14" s="3">
        <f>VLOOKUP(E5,L37:P57,5,1)</f>
        <v>70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1.0</v>
      </c>
      <c r="D15" s="3" t="s">
        <v>11</v>
      </c>
      <c r="E15" s="3">
        <f>VLOOKUP(E6,M37:P57,4,1)</f>
        <v>99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3.0</v>
      </c>
      <c r="D16" s="3" t="s">
        <v>13</v>
      </c>
      <c r="E16" s="3">
        <f>VLOOKUP(E7,N37:P57,3,1)</f>
        <v>90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4.0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3.0</v>
      </c>
    </row>
    <row r="21" ht="12.75" customHeight="1">
      <c r="A21" s="1" t="s">
        <v>34</v>
      </c>
      <c r="B21" s="2">
        <v>3.0</v>
      </c>
      <c r="D21" s="3" t="s">
        <v>1</v>
      </c>
      <c r="E21" s="3" t="str">
        <f>VLOOKUP(E10,D39:E64,2,1)</f>
        <v>DEFICIÊNCIA LEVE</v>
      </c>
    </row>
    <row r="22" ht="12.75" customHeight="1">
      <c r="A22" s="1" t="s">
        <v>35</v>
      </c>
      <c r="B22" s="2">
        <v>2.0</v>
      </c>
      <c r="D22" s="3" t="s">
        <v>3</v>
      </c>
      <c r="E22" s="3" t="str">
        <f>VLOOKUP(E11,D39:E64,2,1)</f>
        <v>LIMITROFE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SEVERA</v>
      </c>
    </row>
    <row r="24" ht="12.75" customHeight="1">
      <c r="A24" s="1" t="s">
        <v>37</v>
      </c>
      <c r="B24" s="1">
        <v>4.0</v>
      </c>
      <c r="D24" s="3" t="s">
        <v>7</v>
      </c>
      <c r="E24" s="3" t="str">
        <f>VLOOKUP(E13,D39:E64,2,1)</f>
        <v>LIMITROFE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2">
        <v>3.0</v>
      </c>
      <c r="D26" s="3" t="s">
        <v>11</v>
      </c>
      <c r="E26" s="3" t="str">
        <f>VLOOKUP(E15,D39:E64,2,1)</f>
        <v>DEFICIÊNCIA SEVERA</v>
      </c>
    </row>
    <row r="27" ht="12.75" customHeight="1">
      <c r="A27" s="1" t="s">
        <v>40</v>
      </c>
      <c r="B27" s="2">
        <v>3.0</v>
      </c>
      <c r="D27" s="3" t="s">
        <v>13</v>
      </c>
      <c r="E27" s="3" t="str">
        <f>VLOOKUP(E16,D39:E64,2,1)</f>
        <v>LIMITROFE</v>
      </c>
    </row>
    <row r="28" ht="12.75" customHeight="1">
      <c r="A28" s="1" t="s">
        <v>41</v>
      </c>
      <c r="B28" s="2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2">
        <v>3.0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2">
        <v>2.0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1">
        <v>4.0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2.75" customHeight="1">
      <c r="A32" s="1" t="s">
        <v>45</v>
      </c>
      <c r="B32" s="2">
        <v>3.0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2.75" customHeight="1">
      <c r="A33" s="1" t="s">
        <v>46</v>
      </c>
      <c r="B33" s="2">
        <v>3.0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2.75" customHeight="1">
      <c r="A34" s="1" t="s">
        <v>47</v>
      </c>
      <c r="B34" s="2">
        <v>3.0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2.75" customHeight="1">
      <c r="A35" s="1" t="s">
        <v>48</v>
      </c>
      <c r="B35" s="2">
        <v>3.0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.75" customHeight="1">
      <c r="A36" s="1" t="s">
        <v>49</v>
      </c>
      <c r="B36" s="2">
        <v>3.0</v>
      </c>
      <c r="C36" s="1"/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2.75" customHeight="1">
      <c r="A37" s="1" t="s">
        <v>58</v>
      </c>
      <c r="B37" s="2">
        <v>3.0</v>
      </c>
      <c r="C37" s="1"/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2.75" customHeight="1">
      <c r="A38" s="1" t="s">
        <v>59</v>
      </c>
      <c r="B38" s="2">
        <v>3.0</v>
      </c>
      <c r="C38" s="1"/>
      <c r="D38" s="5"/>
      <c r="E38" s="5"/>
      <c r="F38" s="5"/>
      <c r="G38" s="5"/>
      <c r="H38" s="5">
        <v>21.0</v>
      </c>
      <c r="I38" s="5">
        <v>24.0</v>
      </c>
      <c r="J38" s="5">
        <v>21.0</v>
      </c>
      <c r="K38" s="5">
        <v>12.0</v>
      </c>
      <c r="L38" s="5">
        <v>13.0</v>
      </c>
      <c r="M38" s="5">
        <v>11.0</v>
      </c>
      <c r="N38" s="5">
        <v>91.0</v>
      </c>
      <c r="O38" s="5">
        <v>0.0</v>
      </c>
      <c r="P38" s="5">
        <v>5.0</v>
      </c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2.75" customHeight="1">
      <c r="A39" s="1" t="s">
        <v>60</v>
      </c>
      <c r="B39" s="1">
        <v>4.0</v>
      </c>
      <c r="C39" s="1"/>
      <c r="D39" s="5">
        <v>1.0</v>
      </c>
      <c r="E39" s="5" t="s">
        <v>61</v>
      </c>
      <c r="F39" s="5"/>
      <c r="G39" s="5"/>
      <c r="H39" s="5">
        <v>22.0</v>
      </c>
      <c r="I39" s="5">
        <v>25.0</v>
      </c>
      <c r="J39" s="5">
        <v>22.0</v>
      </c>
      <c r="K39" s="5">
        <v>12.0</v>
      </c>
      <c r="L39" s="5">
        <v>13.0</v>
      </c>
      <c r="M39" s="5">
        <v>12.0</v>
      </c>
      <c r="N39" s="5">
        <v>101.0</v>
      </c>
      <c r="O39" s="5">
        <v>0.0</v>
      </c>
      <c r="P39" s="5">
        <v>10.0</v>
      </c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2.75" customHeight="1">
      <c r="A40" s="1" t="s">
        <v>62</v>
      </c>
      <c r="B40" s="2">
        <v>3.0</v>
      </c>
      <c r="C40" s="1"/>
      <c r="D40" s="5">
        <v>75.0</v>
      </c>
      <c r="E40" s="5" t="s">
        <v>61</v>
      </c>
      <c r="F40" s="5"/>
      <c r="G40" s="5"/>
      <c r="H40" s="5">
        <v>22.0</v>
      </c>
      <c r="I40" s="5">
        <v>26.0</v>
      </c>
      <c r="J40" s="5">
        <v>22.0</v>
      </c>
      <c r="K40" s="5">
        <v>12.0</v>
      </c>
      <c r="L40" s="5">
        <v>14.0</v>
      </c>
      <c r="M40" s="5">
        <v>12.0</v>
      </c>
      <c r="N40" s="5">
        <v>102.0</v>
      </c>
      <c r="O40" s="5">
        <v>0.0</v>
      </c>
      <c r="P40" s="5">
        <v>15.0</v>
      </c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.75" customHeight="1">
      <c r="A41" s="1" t="s">
        <v>63</v>
      </c>
      <c r="B41" s="2">
        <v>3.0</v>
      </c>
      <c r="C41" s="1"/>
      <c r="D41" s="5">
        <v>76.0</v>
      </c>
      <c r="E41" s="5" t="s">
        <v>64</v>
      </c>
      <c r="F41" s="5"/>
      <c r="G41" s="5"/>
      <c r="H41" s="5">
        <v>23.0</v>
      </c>
      <c r="I41" s="5">
        <v>27.0</v>
      </c>
      <c r="J41" s="5">
        <v>23.0</v>
      </c>
      <c r="K41" s="5">
        <v>12.0</v>
      </c>
      <c r="L41" s="5">
        <v>15.0</v>
      </c>
      <c r="M41" s="5">
        <v>13.0</v>
      </c>
      <c r="N41" s="5">
        <v>105.0</v>
      </c>
      <c r="O41" s="5">
        <v>0.0</v>
      </c>
      <c r="P41" s="5">
        <v>20.0</v>
      </c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.75" customHeight="1">
      <c r="A42" s="1" t="s">
        <v>65</v>
      </c>
      <c r="B42" s="2">
        <v>3.0</v>
      </c>
      <c r="C42" s="1"/>
      <c r="D42" s="5">
        <v>77.0</v>
      </c>
      <c r="E42" s="5" t="s">
        <v>64</v>
      </c>
      <c r="F42" s="5"/>
      <c r="G42" s="5"/>
      <c r="H42" s="5">
        <v>24.0</v>
      </c>
      <c r="I42" s="5">
        <v>28.0</v>
      </c>
      <c r="J42" s="5">
        <v>23.0</v>
      </c>
      <c r="K42" s="5">
        <v>13.0</v>
      </c>
      <c r="L42" s="5">
        <v>15.0</v>
      </c>
      <c r="M42" s="5">
        <v>13.0</v>
      </c>
      <c r="N42" s="5">
        <v>107.0</v>
      </c>
      <c r="O42" s="5">
        <v>0.0</v>
      </c>
      <c r="P42" s="5">
        <v>25.0</v>
      </c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.75" customHeight="1">
      <c r="A43" s="1" t="s">
        <v>66</v>
      </c>
      <c r="B43" s="2">
        <v>3.0</v>
      </c>
      <c r="C43" s="1"/>
      <c r="D43" s="5">
        <v>78.0</v>
      </c>
      <c r="E43" s="5" t="s">
        <v>64</v>
      </c>
      <c r="F43" s="5"/>
      <c r="G43" s="5"/>
      <c r="H43" s="5">
        <v>25.0</v>
      </c>
      <c r="I43" s="5">
        <v>28.0</v>
      </c>
      <c r="J43" s="5">
        <v>24.0</v>
      </c>
      <c r="K43" s="5">
        <v>13.0</v>
      </c>
      <c r="L43" s="5">
        <v>16.0</v>
      </c>
      <c r="M43" s="5">
        <v>13.0</v>
      </c>
      <c r="N43" s="5">
        <v>109.0</v>
      </c>
      <c r="O43" s="5">
        <v>0.0</v>
      </c>
      <c r="P43" s="5">
        <v>30.0</v>
      </c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.75" customHeight="1">
      <c r="A44" s="1" t="s">
        <v>67</v>
      </c>
      <c r="B44" s="2">
        <v>2.0</v>
      </c>
      <c r="C44" s="1"/>
      <c r="D44" s="5">
        <v>79.0</v>
      </c>
      <c r="E44" s="5" t="s">
        <v>64</v>
      </c>
      <c r="F44" s="5"/>
      <c r="G44" s="5"/>
      <c r="H44" s="5">
        <v>25.0</v>
      </c>
      <c r="I44" s="5">
        <v>29.0</v>
      </c>
      <c r="J44" s="5">
        <v>24.0</v>
      </c>
      <c r="K44" s="5">
        <v>13.0</v>
      </c>
      <c r="L44" s="5">
        <v>16.0</v>
      </c>
      <c r="M44" s="5">
        <v>14.0</v>
      </c>
      <c r="N44" s="5">
        <v>113.0</v>
      </c>
      <c r="O44" s="5">
        <v>0.0</v>
      </c>
      <c r="P44" s="5">
        <v>35.0</v>
      </c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.75" customHeight="1">
      <c r="A45" s="1" t="s">
        <v>68</v>
      </c>
      <c r="B45" s="2">
        <v>3.0</v>
      </c>
      <c r="C45" s="1"/>
      <c r="D45" s="5">
        <v>80.0</v>
      </c>
      <c r="E45" s="5" t="s">
        <v>64</v>
      </c>
      <c r="F45" s="5"/>
      <c r="G45" s="5"/>
      <c r="H45" s="5">
        <v>26.0</v>
      </c>
      <c r="I45" s="5">
        <v>29.0</v>
      </c>
      <c r="J45" s="5">
        <v>25.0</v>
      </c>
      <c r="K45" s="5">
        <v>14.0</v>
      </c>
      <c r="L45" s="5">
        <v>17.0</v>
      </c>
      <c r="M45" s="5">
        <v>15.0</v>
      </c>
      <c r="N45" s="5">
        <v>116.0</v>
      </c>
      <c r="O45" s="5">
        <v>0.0</v>
      </c>
      <c r="P45" s="5">
        <v>40.0</v>
      </c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.75" customHeight="1">
      <c r="A46" s="1" t="s">
        <v>69</v>
      </c>
      <c r="B46" s="2">
        <v>3.0</v>
      </c>
      <c r="C46" s="1"/>
      <c r="D46" s="5">
        <v>81.0</v>
      </c>
      <c r="E46" s="5" t="s">
        <v>64</v>
      </c>
      <c r="F46" s="5"/>
      <c r="G46" s="5"/>
      <c r="H46" s="5">
        <v>27.0</v>
      </c>
      <c r="I46" s="5">
        <v>30.0</v>
      </c>
      <c r="J46" s="5">
        <v>26.0</v>
      </c>
      <c r="K46" s="5">
        <v>14.0</v>
      </c>
      <c r="L46" s="5">
        <v>18.0</v>
      </c>
      <c r="M46" s="5">
        <v>15.0</v>
      </c>
      <c r="N46" s="5">
        <v>119.0</v>
      </c>
      <c r="O46" s="5">
        <v>1.0</v>
      </c>
      <c r="P46" s="5">
        <v>45.0</v>
      </c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2.75" customHeight="1">
      <c r="A47" s="1" t="s">
        <v>70</v>
      </c>
      <c r="B47" s="2">
        <v>3.0</v>
      </c>
      <c r="C47" s="1"/>
      <c r="D47" s="5">
        <v>82.0</v>
      </c>
      <c r="E47" s="5" t="s">
        <v>64</v>
      </c>
      <c r="F47" s="5"/>
      <c r="G47" s="5"/>
      <c r="H47" s="5">
        <v>28.0</v>
      </c>
      <c r="I47" s="5">
        <v>31.0</v>
      </c>
      <c r="J47" s="5">
        <v>27.0</v>
      </c>
      <c r="K47" s="5">
        <v>14.0</v>
      </c>
      <c r="L47" s="5">
        <v>19.0</v>
      </c>
      <c r="M47" s="5">
        <v>15.0</v>
      </c>
      <c r="N47" s="5">
        <v>121.0</v>
      </c>
      <c r="O47" s="5">
        <v>1.0</v>
      </c>
      <c r="P47" s="5">
        <v>50.0</v>
      </c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2.75" customHeight="1">
      <c r="A48" s="1" t="s">
        <v>71</v>
      </c>
      <c r="B48" s="2">
        <v>3.0</v>
      </c>
      <c r="C48" s="1"/>
      <c r="D48" s="5">
        <v>83.0</v>
      </c>
      <c r="E48" s="5" t="s">
        <v>64</v>
      </c>
      <c r="F48" s="5"/>
      <c r="G48" s="5"/>
      <c r="H48" s="5">
        <v>29.0</v>
      </c>
      <c r="I48" s="5">
        <v>32.0</v>
      </c>
      <c r="J48" s="5">
        <v>28.0</v>
      </c>
      <c r="K48" s="5">
        <v>14.0</v>
      </c>
      <c r="L48" s="5">
        <v>19.0</v>
      </c>
      <c r="M48" s="5">
        <v>15.0</v>
      </c>
      <c r="N48" s="5">
        <v>122.0</v>
      </c>
      <c r="O48" s="5">
        <v>2.0</v>
      </c>
      <c r="P48" s="5">
        <v>55.0</v>
      </c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2.75" customHeight="1">
      <c r="A49" s="1" t="s">
        <v>72</v>
      </c>
      <c r="B49" s="2">
        <v>1.0</v>
      </c>
      <c r="C49" s="1"/>
      <c r="D49" s="5">
        <v>84.0</v>
      </c>
      <c r="E49" s="5" t="s">
        <v>64</v>
      </c>
      <c r="F49" s="5"/>
      <c r="G49" s="5"/>
      <c r="H49" s="5">
        <v>30.0</v>
      </c>
      <c r="I49" s="5">
        <v>34.0</v>
      </c>
      <c r="J49" s="5">
        <v>28.0</v>
      </c>
      <c r="K49" s="5">
        <v>15.0</v>
      </c>
      <c r="L49" s="5">
        <v>19.0</v>
      </c>
      <c r="M49" s="5">
        <v>16.0</v>
      </c>
      <c r="N49" s="5">
        <v>125.0</v>
      </c>
      <c r="O49" s="5">
        <v>3.0</v>
      </c>
      <c r="P49" s="5">
        <v>60.0</v>
      </c>
      <c r="Q49" s="5"/>
      <c r="R49" s="5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2.75" customHeight="1">
      <c r="A50" s="1" t="s">
        <v>73</v>
      </c>
      <c r="B50" s="2">
        <v>3.0</v>
      </c>
      <c r="C50" s="1"/>
      <c r="D50" s="5">
        <v>85.0</v>
      </c>
      <c r="E50" s="5" t="s">
        <v>74</v>
      </c>
      <c r="F50" s="5"/>
      <c r="G50" s="5"/>
      <c r="H50" s="5">
        <v>31.0</v>
      </c>
      <c r="I50" s="5">
        <v>36.0</v>
      </c>
      <c r="J50" s="5">
        <v>29.0</v>
      </c>
      <c r="K50" s="5">
        <v>15.0</v>
      </c>
      <c r="L50" s="5">
        <v>20.0</v>
      </c>
      <c r="M50" s="5">
        <v>16.0</v>
      </c>
      <c r="N50" s="5">
        <v>131.0</v>
      </c>
      <c r="O50" s="5">
        <v>4.0</v>
      </c>
      <c r="P50" s="5">
        <v>65.0</v>
      </c>
      <c r="Q50" s="5"/>
      <c r="R50" s="5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2.75" customHeight="1">
      <c r="A51" s="1" t="s">
        <v>75</v>
      </c>
      <c r="B51" s="2">
        <v>2.0</v>
      </c>
      <c r="C51" s="1"/>
      <c r="D51" s="5">
        <v>86.0</v>
      </c>
      <c r="E51" s="5" t="s">
        <v>74</v>
      </c>
      <c r="F51" s="5"/>
      <c r="G51" s="5"/>
      <c r="H51" s="5">
        <v>33.0</v>
      </c>
      <c r="I51" s="5">
        <v>37.0</v>
      </c>
      <c r="J51" s="5">
        <v>30.0</v>
      </c>
      <c r="K51" s="5">
        <v>15.0</v>
      </c>
      <c r="L51" s="5">
        <v>21.0</v>
      </c>
      <c r="M51" s="5">
        <v>16.0</v>
      </c>
      <c r="N51" s="5">
        <v>135.0</v>
      </c>
      <c r="O51" s="5">
        <v>4.0</v>
      </c>
      <c r="P51" s="5">
        <v>70.0</v>
      </c>
      <c r="Q51" s="5"/>
      <c r="R51" s="5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2.75" customHeight="1">
      <c r="A52" s="1" t="s">
        <v>76</v>
      </c>
      <c r="B52" s="2">
        <v>3.0</v>
      </c>
      <c r="C52" s="1"/>
      <c r="D52" s="5">
        <v>87.0</v>
      </c>
      <c r="E52" s="5" t="s">
        <v>74</v>
      </c>
      <c r="F52" s="5"/>
      <c r="G52" s="5"/>
      <c r="H52" s="5">
        <v>35.0</v>
      </c>
      <c r="I52" s="5">
        <v>40.0</v>
      </c>
      <c r="J52" s="5">
        <v>30.0</v>
      </c>
      <c r="K52" s="5">
        <v>16.0</v>
      </c>
      <c r="L52" s="5">
        <v>23.0</v>
      </c>
      <c r="M52" s="5">
        <v>17.0</v>
      </c>
      <c r="N52" s="5">
        <v>140.0</v>
      </c>
      <c r="O52" s="5">
        <v>7.0</v>
      </c>
      <c r="P52" s="5">
        <v>75.0</v>
      </c>
      <c r="Q52" s="5"/>
      <c r="R52" s="5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2.75" customHeight="1">
      <c r="A53" s="1" t="s">
        <v>77</v>
      </c>
      <c r="B53" s="2">
        <v>3.0</v>
      </c>
      <c r="C53" s="1"/>
      <c r="D53" s="5">
        <v>88.0</v>
      </c>
      <c r="E53" s="5" t="s">
        <v>74</v>
      </c>
      <c r="F53" s="5"/>
      <c r="G53" s="5"/>
      <c r="H53" s="5">
        <v>36.0</v>
      </c>
      <c r="I53" s="5">
        <v>41.0</v>
      </c>
      <c r="J53" s="5">
        <v>31.0</v>
      </c>
      <c r="K53" s="5">
        <v>16.0</v>
      </c>
      <c r="L53" s="5">
        <v>23.0</v>
      </c>
      <c r="M53" s="5">
        <v>17.0</v>
      </c>
      <c r="N53" s="5">
        <v>142.0</v>
      </c>
      <c r="O53" s="5">
        <v>8.0</v>
      </c>
      <c r="P53" s="5">
        <v>80.0</v>
      </c>
      <c r="Q53" s="5"/>
      <c r="R53" s="5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2.75" customHeight="1">
      <c r="A54" s="1" t="s">
        <v>78</v>
      </c>
      <c r="B54" s="2">
        <v>3.0</v>
      </c>
      <c r="C54" s="1"/>
      <c r="D54" s="5">
        <v>89.0</v>
      </c>
      <c r="E54" s="5" t="s">
        <v>74</v>
      </c>
      <c r="F54" s="5"/>
      <c r="G54" s="5"/>
      <c r="H54" s="5">
        <v>38.0</v>
      </c>
      <c r="I54" s="5">
        <v>42.0</v>
      </c>
      <c r="J54" s="5">
        <v>34.0</v>
      </c>
      <c r="K54" s="5">
        <v>17.0</v>
      </c>
      <c r="L54" s="5">
        <v>24.0</v>
      </c>
      <c r="M54" s="5">
        <v>18.0</v>
      </c>
      <c r="N54" s="5">
        <v>147.0</v>
      </c>
      <c r="O54" s="5">
        <v>11.0</v>
      </c>
      <c r="P54" s="5">
        <v>85.0</v>
      </c>
      <c r="Q54" s="5"/>
      <c r="R54" s="5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2.75" customHeight="1">
      <c r="A55" s="1" t="s">
        <v>79</v>
      </c>
      <c r="B55" s="2">
        <v>2.0</v>
      </c>
      <c r="C55" s="1"/>
      <c r="D55" s="5">
        <v>90.0</v>
      </c>
      <c r="E55" s="5" t="s">
        <v>74</v>
      </c>
      <c r="F55" s="5"/>
      <c r="G55" s="5"/>
      <c r="H55" s="5">
        <v>41.0</v>
      </c>
      <c r="I55" s="5">
        <v>45.0</v>
      </c>
      <c r="J55" s="5">
        <v>36.0</v>
      </c>
      <c r="K55" s="5">
        <v>18.0</v>
      </c>
      <c r="L55" s="5">
        <v>25.0</v>
      </c>
      <c r="M55" s="5">
        <v>19.0</v>
      </c>
      <c r="N55" s="5">
        <v>159.0</v>
      </c>
      <c r="O55" s="5">
        <v>23.0</v>
      </c>
      <c r="P55" s="5">
        <v>90.0</v>
      </c>
      <c r="Q55" s="5"/>
      <c r="R55" s="5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2.75" customHeight="1">
      <c r="A56" s="1" t="s">
        <v>80</v>
      </c>
      <c r="B56" s="1">
        <v>4.0</v>
      </c>
      <c r="C56" s="1"/>
      <c r="D56" s="5">
        <v>91.0</v>
      </c>
      <c r="E56" s="5" t="s">
        <v>74</v>
      </c>
      <c r="F56" s="5"/>
      <c r="G56" s="5"/>
      <c r="H56" s="5">
        <v>55.0</v>
      </c>
      <c r="I56" s="5">
        <v>59.0</v>
      </c>
      <c r="J56" s="5">
        <v>40.0</v>
      </c>
      <c r="K56" s="5">
        <v>23.0</v>
      </c>
      <c r="L56" s="5">
        <v>29.0</v>
      </c>
      <c r="M56" s="5">
        <v>23.0</v>
      </c>
      <c r="N56" s="5">
        <v>200.0</v>
      </c>
      <c r="O56" s="5">
        <v>30.0</v>
      </c>
      <c r="P56" s="5">
        <v>95.0</v>
      </c>
      <c r="Q56" s="5"/>
      <c r="R56" s="5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2.75" customHeight="1">
      <c r="A57" s="1" t="s">
        <v>81</v>
      </c>
      <c r="B57" s="2">
        <v>3.0</v>
      </c>
      <c r="C57" s="1"/>
      <c r="D57" s="5">
        <v>92.0</v>
      </c>
      <c r="E57" s="5" t="s">
        <v>74</v>
      </c>
      <c r="F57" s="5"/>
      <c r="G57" s="5"/>
      <c r="H57" s="5">
        <v>56.0</v>
      </c>
      <c r="I57" s="5">
        <v>60.0</v>
      </c>
      <c r="J57" s="5">
        <v>41.0</v>
      </c>
      <c r="K57" s="5">
        <v>24.0</v>
      </c>
      <c r="L57" s="5">
        <v>30.0</v>
      </c>
      <c r="M57" s="5">
        <v>24.0</v>
      </c>
      <c r="N57" s="5">
        <v>201.0</v>
      </c>
      <c r="O57" s="5">
        <v>31.0</v>
      </c>
      <c r="P57" s="5">
        <v>99.0</v>
      </c>
      <c r="Q57" s="5"/>
      <c r="R57" s="5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2.75" customHeight="1">
      <c r="A58" s="1" t="s">
        <v>82</v>
      </c>
      <c r="B58" s="2">
        <v>2.0</v>
      </c>
      <c r="C58" s="1"/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2.75" customHeight="1">
      <c r="A59" s="1" t="s">
        <v>84</v>
      </c>
      <c r="B59" s="2">
        <v>1.0</v>
      </c>
      <c r="C59" s="1"/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2.75" customHeight="1">
      <c r="A60" s="1" t="s">
        <v>85</v>
      </c>
      <c r="B60" s="2">
        <v>1.0</v>
      </c>
      <c r="C60" s="1"/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2.75" customHeight="1">
      <c r="A61" s="1" t="s">
        <v>86</v>
      </c>
      <c r="B61" s="2">
        <v>3.0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2.75" customHeight="1">
      <c r="A62" s="1" t="s">
        <v>88</v>
      </c>
      <c r="B62" s="2">
        <v>1.0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2.75" customHeight="1">
      <c r="A63" s="1" t="s">
        <v>89</v>
      </c>
      <c r="B63" s="2">
        <v>2.0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2.75" customHeight="1">
      <c r="A64" s="1" t="s">
        <v>90</v>
      </c>
      <c r="B64" s="2">
        <v>1.0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2.75" customHeight="1">
      <c r="A65" s="1" t="s">
        <v>92</v>
      </c>
      <c r="B65" s="2">
        <v>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2.75" customHeight="1">
      <c r="A66" s="1" t="s">
        <v>93</v>
      </c>
      <c r="B66" s="2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2.75" customHeight="1">
      <c r="A67" s="1" t="s">
        <v>94</v>
      </c>
      <c r="B67" s="2">
        <v>3.0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2.75" customHeight="1">
      <c r="A68" s="1" t="s">
        <v>95</v>
      </c>
      <c r="B68" s="2">
        <v>2.0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2.75" customHeight="1">
      <c r="A69" s="1" t="s">
        <v>96</v>
      </c>
      <c r="B69" s="2">
        <v>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2.75" customHeight="1">
      <c r="A70" s="1" t="s">
        <v>97</v>
      </c>
      <c r="B70" s="2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2.75" customHeight="1">
      <c r="A71" s="1" t="s">
        <v>98</v>
      </c>
      <c r="B71" s="2">
        <v>2.0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2.75" customHeight="1">
      <c r="A72" s="1" t="s">
        <v>99</v>
      </c>
      <c r="B72" s="2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2.75" customHeight="1">
      <c r="A73" s="1" t="s">
        <v>100</v>
      </c>
      <c r="B73" s="2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2.75" customHeight="1">
      <c r="A74" s="1" t="s">
        <v>101</v>
      </c>
      <c r="B74" s="2">
        <v>1.0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2.75" customHeight="1">
      <c r="A75" s="1" t="s">
        <v>102</v>
      </c>
      <c r="B75" s="2">
        <v>2.0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2.75" customHeight="1">
      <c r="A76" s="1" t="s">
        <v>103</v>
      </c>
      <c r="B76" s="2">
        <v>1.0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2.75" customHeight="1">
      <c r="A77" s="1" t="s">
        <v>104</v>
      </c>
      <c r="B77" s="1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2.75" customHeight="1">
      <c r="A78" s="1" t="s">
        <v>105</v>
      </c>
      <c r="B78" s="2">
        <v>3.0</v>
      </c>
    </row>
    <row r="79" ht="12.75" customHeight="1">
      <c r="A79" s="1" t="s">
        <v>106</v>
      </c>
      <c r="B79" s="2">
        <v>2.0</v>
      </c>
    </row>
    <row r="80" ht="12.75" customHeight="1">
      <c r="A80" s="1" t="s">
        <v>107</v>
      </c>
      <c r="B80" s="2">
        <v>2.0</v>
      </c>
    </row>
    <row r="81" ht="12.75" customHeight="1">
      <c r="A81" s="1" t="s">
        <v>108</v>
      </c>
      <c r="B81" s="2">
        <v>2.0</v>
      </c>
    </row>
    <row r="82" ht="12.75" customHeight="1">
      <c r="A82" s="1" t="s">
        <v>109</v>
      </c>
      <c r="B82" s="2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2">
        <v>3.0</v>
      </c>
    </row>
    <row r="85" ht="12.75" customHeight="1">
      <c r="A85" s="1" t="s">
        <v>112</v>
      </c>
      <c r="B85" s="2">
        <v>3.0</v>
      </c>
    </row>
    <row r="86" ht="12.75" customHeight="1">
      <c r="A86" s="1" t="s">
        <v>113</v>
      </c>
      <c r="B86" s="2">
        <v>3.0</v>
      </c>
    </row>
    <row r="87" ht="12.75" customHeight="1">
      <c r="A87" s="1" t="s">
        <v>114</v>
      </c>
      <c r="B87" s="2">
        <v>3.0</v>
      </c>
    </row>
    <row r="88" ht="12.75" customHeight="1">
      <c r="A88" s="1" t="s">
        <v>115</v>
      </c>
      <c r="B88" s="2">
        <v>3.0</v>
      </c>
    </row>
    <row r="89" ht="12.75" customHeight="1">
      <c r="A89" s="1" t="s">
        <v>116</v>
      </c>
      <c r="B89" s="2">
        <v>2.0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2">
        <v>2.0</v>
      </c>
      <c r="D1" s="3" t="s">
        <v>1</v>
      </c>
      <c r="E1" s="3">
        <f>SUM(B1:B21)</f>
        <v>47</v>
      </c>
    </row>
    <row r="2" ht="12.75" customHeight="1">
      <c r="A2" s="1" t="s">
        <v>2</v>
      </c>
      <c r="B2" s="2">
        <v>1.0</v>
      </c>
      <c r="D2" s="3" t="s">
        <v>3</v>
      </c>
      <c r="E2" s="3">
        <f>SUM(B22:B45)</f>
        <v>65</v>
      </c>
      <c r="G2" s="5"/>
      <c r="H2" s="5"/>
      <c r="I2" s="5"/>
      <c r="J2" s="6"/>
    </row>
    <row r="3" ht="12.75" customHeight="1">
      <c r="A3" s="1" t="s">
        <v>4</v>
      </c>
      <c r="B3" s="2">
        <v>3.0</v>
      </c>
      <c r="D3" s="3" t="s">
        <v>5</v>
      </c>
      <c r="E3" s="3">
        <f>SUM(B46:B64)</f>
        <v>52</v>
      </c>
      <c r="G3" s="7"/>
      <c r="H3" s="7">
        <f>COUNTIF(B1:B89,"3")</f>
        <v>38</v>
      </c>
      <c r="I3" s="7"/>
      <c r="J3" s="6"/>
    </row>
    <row r="4" ht="12.75" customHeight="1">
      <c r="A4" s="1" t="s">
        <v>6</v>
      </c>
      <c r="B4" s="2">
        <v>2.0</v>
      </c>
      <c r="D4" s="3" t="s">
        <v>7</v>
      </c>
      <c r="E4" s="3">
        <f>SUM(B65:B76)</f>
        <v>22</v>
      </c>
      <c r="G4" s="7"/>
      <c r="H4" s="7">
        <f>COUNTIF(B1:B89,"4")</f>
        <v>9</v>
      </c>
      <c r="I4" s="7"/>
      <c r="J4" s="6"/>
    </row>
    <row r="5" ht="12.75" customHeight="1">
      <c r="A5" s="1" t="s">
        <v>8</v>
      </c>
      <c r="B5" s="2">
        <v>2.0</v>
      </c>
      <c r="D5" s="3" t="s">
        <v>9</v>
      </c>
      <c r="E5" s="3">
        <f>SUM(B77:B89)</f>
        <v>41</v>
      </c>
      <c r="G5" s="7"/>
      <c r="H5" s="7">
        <f>SUM(H3:H4)</f>
        <v>47</v>
      </c>
      <c r="I5" s="7"/>
      <c r="J5" s="6"/>
    </row>
    <row r="6" ht="12.75" customHeight="1">
      <c r="A6" s="1" t="s">
        <v>10</v>
      </c>
      <c r="B6" s="2">
        <v>2.0</v>
      </c>
      <c r="D6" s="3" t="s">
        <v>11</v>
      </c>
      <c r="E6" s="3">
        <f>SUM(B1,B6,B14,B16,B24,B49,B50,B55,B60,B65,B69)</f>
        <v>25</v>
      </c>
      <c r="G6" s="6"/>
      <c r="H6" s="6"/>
      <c r="I6" s="6"/>
      <c r="J6" s="6"/>
    </row>
    <row r="7" ht="12.75" customHeight="1">
      <c r="A7" s="1" t="s">
        <v>12</v>
      </c>
      <c r="B7" s="2">
        <v>1.0</v>
      </c>
      <c r="D7" s="3" t="s">
        <v>13</v>
      </c>
      <c r="E7" s="3">
        <f>SUM(E1:E5)</f>
        <v>227</v>
      </c>
    </row>
    <row r="8" ht="12.75" customHeight="1">
      <c r="A8" s="1" t="s">
        <v>14</v>
      </c>
      <c r="B8" s="2">
        <v>3.0</v>
      </c>
      <c r="D8" s="3" t="s">
        <v>15</v>
      </c>
      <c r="E8" s="3">
        <f>H5</f>
        <v>47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2.0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2.0</v>
      </c>
      <c r="D10" s="3" t="s">
        <v>1</v>
      </c>
      <c r="E10" s="3">
        <f>VLOOKUP(E1,H36:P57,9,1)</f>
        <v>80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2.0</v>
      </c>
      <c r="D11" s="3" t="s">
        <v>3</v>
      </c>
      <c r="E11" s="3">
        <f>VLOOKUP(E2,I37:P57,8,1)</f>
        <v>95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3.0</v>
      </c>
      <c r="D12" s="3" t="s">
        <v>5</v>
      </c>
      <c r="E12" s="3">
        <f>VLOOKUP(E3,J37:P57,7,1)</f>
        <v>95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2">
        <v>2.0</v>
      </c>
      <c r="D13" s="3" t="s">
        <v>7</v>
      </c>
      <c r="E13" s="3">
        <f>VLOOKUP(E4,K37:P57,6,1)</f>
        <v>90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2.0</v>
      </c>
      <c r="D14" s="3" t="s">
        <v>9</v>
      </c>
      <c r="E14" s="3">
        <f>VLOOKUP(E5,L37:P57,5,1)</f>
        <v>95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2.0</v>
      </c>
      <c r="D15" s="3" t="s">
        <v>11</v>
      </c>
      <c r="E15" s="3">
        <f>VLOOKUP(E6,M37:P57,4,1)</f>
        <v>90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1.0</v>
      </c>
      <c r="D16" s="3" t="s">
        <v>13</v>
      </c>
      <c r="E16" s="3">
        <f>VLOOKUP(E7,N37:P57,3,1)</f>
        <v>95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2">
        <v>3.0</v>
      </c>
      <c r="D17" s="3" t="s">
        <v>15</v>
      </c>
      <c r="E17" s="3">
        <f>VLOOKUP(E8,O37:P57,2,1)</f>
        <v>95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4.0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3.0</v>
      </c>
    </row>
    <row r="21" ht="12.75" customHeight="1">
      <c r="A21" s="1" t="s">
        <v>34</v>
      </c>
      <c r="B21" s="2">
        <v>2.0</v>
      </c>
      <c r="D21" s="3" t="s">
        <v>1</v>
      </c>
      <c r="E21" s="3" t="str">
        <f>VLOOKUP(E10,D39:E64,2,1)</f>
        <v>SIGNIFICÂNCIA CLINICA MINIMA</v>
      </c>
    </row>
    <row r="22" ht="12.75" customHeight="1">
      <c r="A22" s="1" t="s">
        <v>35</v>
      </c>
      <c r="B22" s="2">
        <v>3.0</v>
      </c>
      <c r="D22" s="3" t="s">
        <v>3</v>
      </c>
      <c r="E22" s="10" t="str">
        <f>VLOOKUP(E11,D39:E64,2,1)</f>
        <v>DEFICIÊNCIA LEVE</v>
      </c>
    </row>
    <row r="23" ht="12.75" customHeight="1">
      <c r="A23" s="1" t="s">
        <v>36</v>
      </c>
      <c r="B23" s="2">
        <v>2.0</v>
      </c>
      <c r="D23" s="3" t="s">
        <v>5</v>
      </c>
      <c r="E23" s="10" t="str">
        <f>VLOOKUP(E12,D39:E64,2,1)</f>
        <v>DEFICIÊNCIA LEVE</v>
      </c>
    </row>
    <row r="24" ht="12.75" customHeight="1">
      <c r="A24" s="1" t="s">
        <v>37</v>
      </c>
      <c r="B24" s="2">
        <v>2.0</v>
      </c>
      <c r="D24" s="3" t="s">
        <v>7</v>
      </c>
      <c r="E24" s="10" t="str">
        <f>VLOOKUP(E13,D39:E64,2,1)</f>
        <v>LIMITROFE</v>
      </c>
    </row>
    <row r="25" ht="12.75" customHeight="1">
      <c r="A25" s="1" t="s">
        <v>38</v>
      </c>
      <c r="B25" s="2">
        <v>2.0</v>
      </c>
      <c r="D25" s="3" t="s">
        <v>9</v>
      </c>
      <c r="E25" s="10" t="str">
        <f>VLOOKUP(E14,D39:E64,2,1)</f>
        <v>DEFICIÊNCIA LEVE</v>
      </c>
    </row>
    <row r="26" ht="12.75" customHeight="1">
      <c r="A26" s="1" t="s">
        <v>39</v>
      </c>
      <c r="B26" s="2">
        <v>2.0</v>
      </c>
      <c r="D26" s="3" t="s">
        <v>11</v>
      </c>
      <c r="E26" s="10" t="str">
        <f>VLOOKUP(E15,D39:E64,2,1)</f>
        <v>LIMITROFE</v>
      </c>
    </row>
    <row r="27" ht="12.75" customHeight="1">
      <c r="A27" s="1" t="s">
        <v>40</v>
      </c>
      <c r="B27" s="2">
        <v>3.0</v>
      </c>
      <c r="D27" s="3" t="s">
        <v>13</v>
      </c>
      <c r="E27" s="10" t="str">
        <f>VLOOKUP(E16,D39:E64,2,1)</f>
        <v>DEFICIÊNCIA LEVE</v>
      </c>
    </row>
    <row r="28" ht="12.75" customHeight="1">
      <c r="A28" s="1" t="s">
        <v>41</v>
      </c>
      <c r="B28" s="2">
        <v>3.0</v>
      </c>
      <c r="D28" s="3" t="s">
        <v>15</v>
      </c>
      <c r="E28" s="10" t="str">
        <f>VLOOKUP(E17,D39:E64,2,1)</f>
        <v>DEFICIÊNCIA LEVE</v>
      </c>
    </row>
    <row r="29" ht="12.75" customHeight="1">
      <c r="A29" s="1" t="s">
        <v>42</v>
      </c>
      <c r="B29" s="2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2">
        <v>2.0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2">
        <v>4.0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ht="12.75" customHeight="1">
      <c r="A32" s="1" t="s">
        <v>45</v>
      </c>
      <c r="B32" s="2">
        <v>3.0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ht="12.75" customHeight="1">
      <c r="A33" s="1" t="s">
        <v>46</v>
      </c>
      <c r="B33" s="2">
        <v>3.0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ht="12.75" customHeight="1">
      <c r="A34" s="1" t="s">
        <v>47</v>
      </c>
      <c r="B34" s="2">
        <v>4.0</v>
      </c>
      <c r="C34" s="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  <c r="S34" s="1"/>
    </row>
    <row r="35" ht="12.75" customHeight="1">
      <c r="A35" s="1" t="s">
        <v>48</v>
      </c>
      <c r="B35" s="2">
        <v>3.0</v>
      </c>
      <c r="C35" s="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  <c r="S35" s="1"/>
    </row>
    <row r="36" ht="12.75" customHeight="1">
      <c r="A36" s="1" t="s">
        <v>49</v>
      </c>
      <c r="B36" s="2">
        <v>2.0</v>
      </c>
      <c r="C36" s="1"/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</row>
    <row r="37" ht="12.75" customHeight="1">
      <c r="A37" s="1" t="s">
        <v>58</v>
      </c>
      <c r="B37" s="2">
        <v>3.0</v>
      </c>
      <c r="C37" s="1"/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</row>
    <row r="38" ht="12.75" customHeight="1">
      <c r="A38" s="1" t="s">
        <v>59</v>
      </c>
      <c r="B38" s="2">
        <v>3.0</v>
      </c>
      <c r="C38" s="1"/>
      <c r="D38" s="5"/>
      <c r="E38" s="5"/>
      <c r="F38" s="5"/>
      <c r="G38" s="5"/>
      <c r="H38" s="5">
        <v>23.0</v>
      </c>
      <c r="I38" s="5">
        <v>24.0</v>
      </c>
      <c r="J38" s="5">
        <v>19.0</v>
      </c>
      <c r="K38" s="5">
        <v>12.0</v>
      </c>
      <c r="L38" s="5">
        <v>13.0</v>
      </c>
      <c r="M38" s="5">
        <v>12.0</v>
      </c>
      <c r="N38" s="5">
        <v>97.0</v>
      </c>
      <c r="O38" s="5">
        <v>0.0</v>
      </c>
      <c r="P38" s="5">
        <v>5.0</v>
      </c>
      <c r="Q38" s="5"/>
      <c r="R38" s="1"/>
      <c r="S38" s="1"/>
    </row>
    <row r="39" ht="12.75" customHeight="1">
      <c r="A39" s="1" t="s">
        <v>60</v>
      </c>
      <c r="B39" s="2">
        <v>3.0</v>
      </c>
      <c r="C39" s="1"/>
      <c r="D39" s="5">
        <v>1.0</v>
      </c>
      <c r="E39" s="5" t="s">
        <v>61</v>
      </c>
      <c r="F39" s="5"/>
      <c r="G39" s="5"/>
      <c r="H39" s="5">
        <v>24.0</v>
      </c>
      <c r="I39" s="5">
        <v>25.0</v>
      </c>
      <c r="J39" s="5">
        <v>20.0</v>
      </c>
      <c r="K39" s="5">
        <v>12.0</v>
      </c>
      <c r="L39" s="5">
        <v>13.0</v>
      </c>
      <c r="M39" s="5">
        <v>12.0</v>
      </c>
      <c r="N39" s="5">
        <v>100.0</v>
      </c>
      <c r="O39" s="5">
        <v>0.0</v>
      </c>
      <c r="P39" s="5">
        <v>10.0</v>
      </c>
      <c r="Q39" s="5"/>
      <c r="R39" s="1"/>
      <c r="S39" s="1"/>
    </row>
    <row r="40" ht="12.75" customHeight="1">
      <c r="A40" s="1" t="s">
        <v>62</v>
      </c>
      <c r="B40" s="2">
        <v>3.0</v>
      </c>
      <c r="C40" s="1"/>
      <c r="D40" s="5">
        <v>75.0</v>
      </c>
      <c r="E40" s="5" t="s">
        <v>61</v>
      </c>
      <c r="F40" s="5"/>
      <c r="G40" s="5"/>
      <c r="H40" s="5">
        <v>25.0</v>
      </c>
      <c r="I40" s="5">
        <v>27.0</v>
      </c>
      <c r="J40" s="5">
        <v>21.0</v>
      </c>
      <c r="K40" s="5">
        <v>12.0</v>
      </c>
      <c r="L40" s="5">
        <v>15.0</v>
      </c>
      <c r="M40" s="5">
        <v>13.0</v>
      </c>
      <c r="N40" s="5">
        <v>103.0</v>
      </c>
      <c r="O40" s="5">
        <v>0.0</v>
      </c>
      <c r="P40" s="5">
        <v>15.0</v>
      </c>
      <c r="Q40" s="5"/>
      <c r="R40" s="1"/>
      <c r="S40" s="1"/>
    </row>
    <row r="41" ht="12.75" customHeight="1">
      <c r="A41" s="1" t="s">
        <v>63</v>
      </c>
      <c r="B41" s="2">
        <v>2.0</v>
      </c>
      <c r="C41" s="1"/>
      <c r="D41" s="5">
        <v>76.0</v>
      </c>
      <c r="E41" s="5" t="s">
        <v>64</v>
      </c>
      <c r="F41" s="5"/>
      <c r="G41" s="5"/>
      <c r="H41" s="5">
        <v>25.0</v>
      </c>
      <c r="I41" s="5">
        <v>27.0</v>
      </c>
      <c r="J41" s="5">
        <v>22.0</v>
      </c>
      <c r="K41" s="5">
        <v>12.0</v>
      </c>
      <c r="L41" s="5">
        <v>15.0</v>
      </c>
      <c r="M41" s="5">
        <v>13.0</v>
      </c>
      <c r="N41" s="5">
        <v>107.0</v>
      </c>
      <c r="O41" s="5">
        <v>0.0</v>
      </c>
      <c r="P41" s="5">
        <v>20.0</v>
      </c>
      <c r="Q41" s="5"/>
      <c r="R41" s="1"/>
      <c r="S41" s="1"/>
    </row>
    <row r="42" ht="12.75" customHeight="1">
      <c r="A42" s="1" t="s">
        <v>65</v>
      </c>
      <c r="B42" s="2">
        <v>2.0</v>
      </c>
      <c r="C42" s="1"/>
      <c r="D42" s="5">
        <v>77.0</v>
      </c>
      <c r="E42" s="5" t="s">
        <v>64</v>
      </c>
      <c r="F42" s="5"/>
      <c r="G42" s="5"/>
      <c r="H42" s="5">
        <v>26.0</v>
      </c>
      <c r="I42" s="5">
        <v>29.0</v>
      </c>
      <c r="J42" s="5">
        <v>22.0</v>
      </c>
      <c r="K42" s="5">
        <v>13.0</v>
      </c>
      <c r="L42" s="5">
        <v>16.0</v>
      </c>
      <c r="M42" s="5">
        <v>13.0</v>
      </c>
      <c r="N42" s="5">
        <v>111.0</v>
      </c>
      <c r="O42" s="5">
        <v>0.0</v>
      </c>
      <c r="P42" s="5">
        <v>25.0</v>
      </c>
      <c r="Q42" s="5"/>
      <c r="R42" s="1"/>
      <c r="S42" s="1"/>
    </row>
    <row r="43" ht="12.75" customHeight="1">
      <c r="A43" s="1" t="s">
        <v>66</v>
      </c>
      <c r="B43" s="2">
        <v>2.0</v>
      </c>
      <c r="C43" s="1"/>
      <c r="D43" s="5">
        <v>78.0</v>
      </c>
      <c r="E43" s="5" t="s">
        <v>64</v>
      </c>
      <c r="F43" s="5"/>
      <c r="G43" s="5"/>
      <c r="H43" s="5">
        <v>27.0</v>
      </c>
      <c r="I43" s="5">
        <v>30.0</v>
      </c>
      <c r="J43" s="5">
        <v>23.0</v>
      </c>
      <c r="K43" s="5">
        <v>13.0</v>
      </c>
      <c r="L43" s="5">
        <v>17.0</v>
      </c>
      <c r="M43" s="5">
        <v>14.0</v>
      </c>
      <c r="N43" s="5">
        <v>115.0</v>
      </c>
      <c r="O43" s="5">
        <v>1.0</v>
      </c>
      <c r="P43" s="5">
        <v>30.0</v>
      </c>
      <c r="Q43" s="5"/>
      <c r="R43" s="1"/>
      <c r="S43" s="1"/>
    </row>
    <row r="44" ht="12.75" customHeight="1">
      <c r="A44" s="1" t="s">
        <v>67</v>
      </c>
      <c r="B44" s="2">
        <v>3.0</v>
      </c>
      <c r="C44" s="1"/>
      <c r="D44" s="5">
        <v>79.0</v>
      </c>
      <c r="E44" s="5" t="s">
        <v>64</v>
      </c>
      <c r="F44" s="5"/>
      <c r="G44" s="5"/>
      <c r="H44" s="5">
        <v>28.0</v>
      </c>
      <c r="I44" s="5">
        <v>31.0</v>
      </c>
      <c r="J44" s="5">
        <v>24.0</v>
      </c>
      <c r="K44" s="5">
        <v>14.0</v>
      </c>
      <c r="L44" s="5">
        <v>17.0</v>
      </c>
      <c r="M44" s="5">
        <v>14.0</v>
      </c>
      <c r="N44" s="5">
        <v>119.0</v>
      </c>
      <c r="O44" s="5">
        <v>1.0</v>
      </c>
      <c r="P44" s="5">
        <v>35.0</v>
      </c>
      <c r="Q44" s="5"/>
      <c r="R44" s="1"/>
      <c r="S44" s="1"/>
    </row>
    <row r="45" ht="12.75" customHeight="1">
      <c r="A45" s="1" t="s">
        <v>68</v>
      </c>
      <c r="B45" s="2">
        <v>2.0</v>
      </c>
      <c r="C45" s="1"/>
      <c r="D45" s="5">
        <v>80.0</v>
      </c>
      <c r="E45" s="5" t="s">
        <v>64</v>
      </c>
      <c r="F45" s="5"/>
      <c r="G45" s="5"/>
      <c r="H45" s="5">
        <v>29.0</v>
      </c>
      <c r="I45" s="5">
        <v>32.0</v>
      </c>
      <c r="J45" s="5">
        <v>24.0</v>
      </c>
      <c r="K45" s="5">
        <v>14.0</v>
      </c>
      <c r="L45" s="5">
        <v>18.0</v>
      </c>
      <c r="M45" s="5">
        <v>15.0</v>
      </c>
      <c r="N45" s="5">
        <v>121.0</v>
      </c>
      <c r="O45" s="5">
        <v>2.0</v>
      </c>
      <c r="P45" s="5">
        <v>40.0</v>
      </c>
      <c r="Q45" s="5"/>
      <c r="R45" s="1"/>
      <c r="S45" s="1"/>
    </row>
    <row r="46" ht="12.75" customHeight="1">
      <c r="A46" s="1" t="s">
        <v>69</v>
      </c>
      <c r="B46" s="2">
        <v>2.0</v>
      </c>
      <c r="C46" s="1"/>
      <c r="D46" s="5">
        <v>81.0</v>
      </c>
      <c r="E46" s="5" t="s">
        <v>64</v>
      </c>
      <c r="F46" s="5"/>
      <c r="G46" s="5"/>
      <c r="H46" s="5">
        <v>30.0</v>
      </c>
      <c r="I46" s="5">
        <v>32.0</v>
      </c>
      <c r="J46" s="5">
        <v>24.0</v>
      </c>
      <c r="K46" s="5">
        <v>14.0</v>
      </c>
      <c r="L46" s="5">
        <v>18.0</v>
      </c>
      <c r="M46" s="5">
        <v>15.0</v>
      </c>
      <c r="N46" s="5">
        <v>122.0</v>
      </c>
      <c r="O46" s="5">
        <v>3.0</v>
      </c>
      <c r="P46" s="5">
        <v>45.0</v>
      </c>
      <c r="Q46" s="5"/>
      <c r="R46" s="1"/>
      <c r="S46" s="1"/>
    </row>
    <row r="47" ht="12.75" customHeight="1">
      <c r="A47" s="1" t="s">
        <v>70</v>
      </c>
      <c r="B47" s="2">
        <v>3.0</v>
      </c>
      <c r="C47" s="1"/>
      <c r="D47" s="5">
        <v>82.0</v>
      </c>
      <c r="E47" s="5" t="s">
        <v>64</v>
      </c>
      <c r="F47" s="5"/>
      <c r="G47" s="5"/>
      <c r="H47" s="5">
        <v>31.0</v>
      </c>
      <c r="I47" s="5">
        <v>33.0</v>
      </c>
      <c r="J47" s="5">
        <v>25.0</v>
      </c>
      <c r="K47" s="5">
        <v>15.0</v>
      </c>
      <c r="L47" s="5">
        <v>19.0</v>
      </c>
      <c r="M47" s="5">
        <v>16.0</v>
      </c>
      <c r="N47" s="5">
        <v>128.0</v>
      </c>
      <c r="O47" s="5">
        <v>5.0</v>
      </c>
      <c r="P47" s="5">
        <v>50.0</v>
      </c>
      <c r="Q47" s="5"/>
      <c r="R47" s="1"/>
      <c r="S47" s="1"/>
    </row>
    <row r="48" ht="12.75" customHeight="1">
      <c r="A48" s="1" t="s">
        <v>71</v>
      </c>
      <c r="B48" s="2">
        <v>3.0</v>
      </c>
      <c r="C48" s="1"/>
      <c r="D48" s="5">
        <v>83.0</v>
      </c>
      <c r="E48" s="5" t="s">
        <v>64</v>
      </c>
      <c r="F48" s="5"/>
      <c r="G48" s="5"/>
      <c r="H48" s="5">
        <v>33.0</v>
      </c>
      <c r="I48" s="5">
        <v>35.0</v>
      </c>
      <c r="J48" s="5">
        <v>26.0</v>
      </c>
      <c r="K48" s="5">
        <v>15.0</v>
      </c>
      <c r="L48" s="5">
        <v>20.0</v>
      </c>
      <c r="M48" s="5">
        <v>16.0</v>
      </c>
      <c r="N48" s="5">
        <v>132.0</v>
      </c>
      <c r="O48" s="5">
        <v>6.0</v>
      </c>
      <c r="P48" s="5">
        <v>55.0</v>
      </c>
      <c r="Q48" s="5"/>
      <c r="R48" s="1"/>
      <c r="S48" s="1"/>
    </row>
    <row r="49" ht="12.75" customHeight="1">
      <c r="A49" s="1" t="s">
        <v>72</v>
      </c>
      <c r="B49" s="2">
        <v>4.0</v>
      </c>
      <c r="C49" s="1"/>
      <c r="D49" s="5">
        <v>84.0</v>
      </c>
      <c r="E49" s="5" t="s">
        <v>64</v>
      </c>
      <c r="F49" s="5"/>
      <c r="G49" s="5"/>
      <c r="H49" s="5">
        <v>35.0</v>
      </c>
      <c r="I49" s="5">
        <v>37.0</v>
      </c>
      <c r="J49" s="5">
        <v>27.0</v>
      </c>
      <c r="K49" s="5">
        <v>16.0</v>
      </c>
      <c r="L49" s="5">
        <v>21.0</v>
      </c>
      <c r="M49" s="5">
        <v>17.0</v>
      </c>
      <c r="N49" s="5">
        <v>139.0</v>
      </c>
      <c r="O49" s="5">
        <v>7.0</v>
      </c>
      <c r="P49" s="5">
        <v>60.0</v>
      </c>
      <c r="Q49" s="5"/>
      <c r="R49" s="1"/>
      <c r="S49" s="1"/>
    </row>
    <row r="50" ht="12.75" customHeight="1">
      <c r="A50" s="1" t="s">
        <v>73</v>
      </c>
      <c r="B50" s="2">
        <v>3.0</v>
      </c>
      <c r="C50" s="1"/>
      <c r="D50" s="5">
        <v>85.0</v>
      </c>
      <c r="E50" s="5" t="s">
        <v>74</v>
      </c>
      <c r="F50" s="5"/>
      <c r="G50" s="5"/>
      <c r="H50" s="5">
        <v>36.0</v>
      </c>
      <c r="I50" s="5">
        <v>39.0</v>
      </c>
      <c r="J50" s="5">
        <v>29.0</v>
      </c>
      <c r="K50" s="5">
        <v>17.0</v>
      </c>
      <c r="L50" s="5">
        <v>21.0</v>
      </c>
      <c r="M50" s="5">
        <v>17.0</v>
      </c>
      <c r="N50" s="5">
        <v>146.0</v>
      </c>
      <c r="O50" s="5">
        <v>8.0</v>
      </c>
      <c r="P50" s="5">
        <v>65.0</v>
      </c>
      <c r="Q50" s="5"/>
      <c r="R50" s="1"/>
      <c r="S50" s="1"/>
    </row>
    <row r="51" ht="12.75" customHeight="1">
      <c r="A51" s="1" t="s">
        <v>75</v>
      </c>
      <c r="B51" s="2">
        <v>3.0</v>
      </c>
      <c r="C51" s="1"/>
      <c r="D51" s="5">
        <v>86.0</v>
      </c>
      <c r="E51" s="5" t="s">
        <v>74</v>
      </c>
      <c r="F51" s="5"/>
      <c r="G51" s="5"/>
      <c r="H51" s="5">
        <v>38.0</v>
      </c>
      <c r="I51" s="5">
        <v>43.0</v>
      </c>
      <c r="J51" s="5">
        <v>31.0</v>
      </c>
      <c r="K51" s="5">
        <v>18.0</v>
      </c>
      <c r="L51" s="5">
        <v>22.0</v>
      </c>
      <c r="M51" s="5">
        <v>19.0</v>
      </c>
      <c r="N51" s="5">
        <v>149.0</v>
      </c>
      <c r="O51" s="5">
        <v>11.0</v>
      </c>
      <c r="P51" s="5">
        <v>70.0</v>
      </c>
      <c r="Q51" s="5"/>
      <c r="R51" s="1"/>
      <c r="S51" s="1"/>
    </row>
    <row r="52" ht="12.75" customHeight="1">
      <c r="A52" s="1" t="s">
        <v>76</v>
      </c>
      <c r="B52" s="2">
        <v>3.0</v>
      </c>
      <c r="C52" s="1"/>
      <c r="D52" s="5">
        <v>87.0</v>
      </c>
      <c r="E52" s="5" t="s">
        <v>74</v>
      </c>
      <c r="F52" s="5"/>
      <c r="G52" s="5"/>
      <c r="H52" s="5">
        <v>42.0</v>
      </c>
      <c r="I52" s="5">
        <v>45.0</v>
      </c>
      <c r="J52" s="5">
        <v>32.0</v>
      </c>
      <c r="K52" s="5">
        <v>18.0</v>
      </c>
      <c r="L52" s="5">
        <v>23.0</v>
      </c>
      <c r="M52" s="5">
        <v>19.0</v>
      </c>
      <c r="N52" s="5">
        <v>155.0</v>
      </c>
      <c r="O52" s="5">
        <v>16.0</v>
      </c>
      <c r="P52" s="5">
        <v>75.0</v>
      </c>
      <c r="Q52" s="5"/>
      <c r="R52" s="1"/>
      <c r="S52" s="1"/>
    </row>
    <row r="53" ht="12.75" customHeight="1">
      <c r="A53" s="1" t="s">
        <v>77</v>
      </c>
      <c r="B53" s="2">
        <v>3.0</v>
      </c>
      <c r="C53" s="1"/>
      <c r="D53" s="5">
        <v>88.0</v>
      </c>
      <c r="E53" s="5" t="s">
        <v>74</v>
      </c>
      <c r="F53" s="5"/>
      <c r="G53" s="5"/>
      <c r="H53" s="5">
        <v>45.0</v>
      </c>
      <c r="I53" s="5">
        <v>47.0</v>
      </c>
      <c r="J53" s="5">
        <v>35.0</v>
      </c>
      <c r="K53" s="5">
        <v>19.0</v>
      </c>
      <c r="L53" s="5">
        <v>24.0</v>
      </c>
      <c r="M53" s="5">
        <v>20.0</v>
      </c>
      <c r="N53" s="5">
        <v>163.0</v>
      </c>
      <c r="O53" s="5">
        <v>19.0</v>
      </c>
      <c r="P53" s="5">
        <v>80.0</v>
      </c>
      <c r="Q53" s="5"/>
      <c r="R53" s="1"/>
      <c r="S53" s="1"/>
    </row>
    <row r="54" ht="12.75" customHeight="1">
      <c r="A54" s="1" t="s">
        <v>78</v>
      </c>
      <c r="B54" s="2">
        <v>3.0</v>
      </c>
      <c r="C54" s="1"/>
      <c r="D54" s="5">
        <v>89.0</v>
      </c>
      <c r="E54" s="5" t="s">
        <v>74</v>
      </c>
      <c r="F54" s="5"/>
      <c r="G54" s="5"/>
      <c r="H54" s="5">
        <v>48.0</v>
      </c>
      <c r="I54" s="5">
        <v>50.0</v>
      </c>
      <c r="J54" s="5">
        <v>36.0</v>
      </c>
      <c r="K54" s="5">
        <v>20.0</v>
      </c>
      <c r="L54" s="5">
        <v>27.0</v>
      </c>
      <c r="M54" s="5">
        <v>22.0</v>
      </c>
      <c r="N54" s="5">
        <v>169.0</v>
      </c>
      <c r="O54" s="5">
        <v>25.0</v>
      </c>
      <c r="P54" s="5">
        <v>85.0</v>
      </c>
      <c r="Q54" s="5"/>
      <c r="R54" s="1"/>
      <c r="S54" s="1"/>
    </row>
    <row r="55" ht="12.75" customHeight="1">
      <c r="A55" s="1" t="s">
        <v>79</v>
      </c>
      <c r="B55" s="2">
        <v>2.0</v>
      </c>
      <c r="C55" s="1"/>
      <c r="D55" s="5">
        <v>90.0</v>
      </c>
      <c r="E55" s="5" t="s">
        <v>74</v>
      </c>
      <c r="F55" s="5"/>
      <c r="G55" s="5"/>
      <c r="H55" s="5">
        <v>53.0</v>
      </c>
      <c r="I55" s="5">
        <v>53.0</v>
      </c>
      <c r="J55" s="5">
        <v>42.0</v>
      </c>
      <c r="K55" s="5">
        <v>22.0</v>
      </c>
      <c r="L55" s="5">
        <v>30.0</v>
      </c>
      <c r="M55" s="5">
        <v>24.0</v>
      </c>
      <c r="N55" s="5">
        <v>188.0</v>
      </c>
      <c r="O55" s="5">
        <v>32.0</v>
      </c>
      <c r="P55" s="5">
        <v>90.0</v>
      </c>
      <c r="Q55" s="5"/>
      <c r="R55" s="1"/>
      <c r="S55" s="1"/>
    </row>
    <row r="56" ht="12.75" customHeight="1">
      <c r="A56" s="1" t="s">
        <v>80</v>
      </c>
      <c r="B56" s="2">
        <v>3.0</v>
      </c>
      <c r="C56" s="1"/>
      <c r="D56" s="5">
        <v>91.0</v>
      </c>
      <c r="E56" s="5" t="s">
        <v>74</v>
      </c>
      <c r="F56" s="5"/>
      <c r="G56" s="5"/>
      <c r="H56" s="5">
        <v>56.0</v>
      </c>
      <c r="I56" s="5">
        <v>65.0</v>
      </c>
      <c r="J56" s="5">
        <v>44.0</v>
      </c>
      <c r="K56" s="5">
        <v>26.0</v>
      </c>
      <c r="L56" s="5">
        <v>38.0</v>
      </c>
      <c r="M56" s="5">
        <v>26.0</v>
      </c>
      <c r="N56" s="5">
        <v>223.0</v>
      </c>
      <c r="O56" s="5">
        <v>44.0</v>
      </c>
      <c r="P56" s="5">
        <v>95.0</v>
      </c>
      <c r="Q56" s="5"/>
      <c r="R56" s="1"/>
      <c r="S56" s="1"/>
    </row>
    <row r="57" ht="12.75" customHeight="1">
      <c r="A57" s="1" t="s">
        <v>81</v>
      </c>
      <c r="B57" s="2">
        <v>2.0</v>
      </c>
      <c r="C57" s="1"/>
      <c r="D57" s="5">
        <v>92.0</v>
      </c>
      <c r="E57" s="5" t="s">
        <v>74</v>
      </c>
      <c r="F57" s="5"/>
      <c r="G57" s="5"/>
      <c r="H57" s="5">
        <v>73.0</v>
      </c>
      <c r="I57" s="5">
        <v>83.0</v>
      </c>
      <c r="J57" s="5">
        <v>60.0</v>
      </c>
      <c r="K57" s="5">
        <v>33.0</v>
      </c>
      <c r="L57" s="5">
        <v>43.0</v>
      </c>
      <c r="M57" s="5">
        <v>34.0</v>
      </c>
      <c r="N57" s="5">
        <v>244.0</v>
      </c>
      <c r="O57" s="5">
        <v>58.0</v>
      </c>
      <c r="P57" s="5">
        <v>99.0</v>
      </c>
      <c r="Q57" s="5"/>
      <c r="R57" s="1"/>
      <c r="S57" s="1"/>
    </row>
    <row r="58" ht="12.75" customHeight="1">
      <c r="A58" s="1" t="s">
        <v>82</v>
      </c>
      <c r="B58" s="2">
        <v>2.0</v>
      </c>
      <c r="C58" s="1"/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</row>
    <row r="59" ht="12.75" customHeight="1">
      <c r="A59" s="1" t="s">
        <v>84</v>
      </c>
      <c r="B59" s="2">
        <v>2.0</v>
      </c>
      <c r="C59" s="1"/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</row>
    <row r="60" ht="12.75" customHeight="1">
      <c r="A60" s="1" t="s">
        <v>85</v>
      </c>
      <c r="B60" s="2">
        <v>3.0</v>
      </c>
      <c r="C60" s="1"/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</row>
    <row r="61" ht="12.75" customHeight="1">
      <c r="A61" s="1" t="s">
        <v>86</v>
      </c>
      <c r="B61" s="2">
        <v>3.0</v>
      </c>
      <c r="C61" s="1"/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</row>
    <row r="62" ht="12.75" customHeight="1">
      <c r="A62" s="1" t="s">
        <v>88</v>
      </c>
      <c r="B62" s="2">
        <v>3.0</v>
      </c>
      <c r="C62" s="1"/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</row>
    <row r="63" ht="12.75" customHeight="1">
      <c r="A63" s="1" t="s">
        <v>89</v>
      </c>
      <c r="B63" s="2">
        <v>3.0</v>
      </c>
      <c r="C63" s="1"/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</row>
    <row r="64" ht="12.75" customHeight="1">
      <c r="A64" s="1" t="s">
        <v>90</v>
      </c>
      <c r="B64" s="2">
        <v>2.0</v>
      </c>
      <c r="C64" s="1"/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</row>
    <row r="65" ht="12.75" customHeight="1">
      <c r="A65" s="1" t="s">
        <v>92</v>
      </c>
      <c r="B65" s="2">
        <v>2.0</v>
      </c>
      <c r="C65" s="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  <c r="S65" s="1"/>
    </row>
    <row r="66" ht="12.75" customHeight="1">
      <c r="A66" s="1" t="s">
        <v>93</v>
      </c>
      <c r="B66" s="2">
        <v>1.0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1" t="s">
        <v>94</v>
      </c>
      <c r="B67" s="2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1" t="s">
        <v>95</v>
      </c>
      <c r="B68" s="2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2.75" customHeight="1">
      <c r="A69" s="1" t="s">
        <v>96</v>
      </c>
      <c r="B69" s="2">
        <v>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2.75" customHeight="1">
      <c r="A70" s="1" t="s">
        <v>97</v>
      </c>
      <c r="B70" s="2">
        <v>2.0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2.75" customHeight="1">
      <c r="A71" s="1" t="s">
        <v>98</v>
      </c>
      <c r="B71" s="2">
        <v>2.0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2.75" customHeight="1">
      <c r="A72" s="1" t="s">
        <v>99</v>
      </c>
      <c r="B72" s="2">
        <v>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2.75" customHeight="1">
      <c r="A73" s="1" t="s">
        <v>100</v>
      </c>
      <c r="B73" s="2">
        <v>2.0</v>
      </c>
    </row>
    <row r="74" ht="12.75" customHeight="1">
      <c r="A74" s="1" t="s">
        <v>101</v>
      </c>
      <c r="B74" s="2">
        <v>3.0</v>
      </c>
    </row>
    <row r="75" ht="12.75" customHeight="1">
      <c r="A75" s="1" t="s">
        <v>102</v>
      </c>
      <c r="B75" s="2">
        <v>3.0</v>
      </c>
    </row>
    <row r="76" ht="12.75" customHeight="1">
      <c r="A76" s="1" t="s">
        <v>103</v>
      </c>
      <c r="B76" s="2">
        <v>2.0</v>
      </c>
    </row>
    <row r="77" ht="12.75" customHeight="1">
      <c r="A77" s="1" t="s">
        <v>104</v>
      </c>
      <c r="B77" s="2">
        <v>3.0</v>
      </c>
    </row>
    <row r="78" ht="12.75" customHeight="1">
      <c r="A78" s="1" t="s">
        <v>105</v>
      </c>
      <c r="B78" s="2">
        <v>3.0</v>
      </c>
    </row>
    <row r="79" ht="12.75" customHeight="1">
      <c r="A79" s="1" t="s">
        <v>106</v>
      </c>
      <c r="B79" s="2">
        <v>2.0</v>
      </c>
    </row>
    <row r="80" ht="12.75" customHeight="1">
      <c r="A80" s="1" t="s">
        <v>107</v>
      </c>
      <c r="B80" s="2">
        <v>4.0</v>
      </c>
    </row>
    <row r="81" ht="12.75" customHeight="1">
      <c r="A81" s="1" t="s">
        <v>108</v>
      </c>
      <c r="B81" s="2">
        <v>4.0</v>
      </c>
    </row>
    <row r="82" ht="12.75" customHeight="1">
      <c r="A82" s="1" t="s">
        <v>109</v>
      </c>
      <c r="B82" s="2">
        <v>4.0</v>
      </c>
    </row>
    <row r="83" ht="12.75" customHeight="1">
      <c r="A83" s="1" t="s">
        <v>110</v>
      </c>
      <c r="B83" s="2">
        <v>4.0</v>
      </c>
    </row>
    <row r="84" ht="12.75" customHeight="1">
      <c r="A84" s="1" t="s">
        <v>111</v>
      </c>
      <c r="B84" s="2">
        <v>2.0</v>
      </c>
    </row>
    <row r="85" ht="12.75" customHeight="1">
      <c r="A85" s="1" t="s">
        <v>112</v>
      </c>
      <c r="B85" s="2">
        <v>3.0</v>
      </c>
    </row>
    <row r="86" ht="12.75" customHeight="1">
      <c r="A86" s="1" t="s">
        <v>113</v>
      </c>
      <c r="B86" s="2">
        <v>3.0</v>
      </c>
    </row>
    <row r="87" ht="12.75" customHeight="1">
      <c r="A87" s="1" t="s">
        <v>114</v>
      </c>
      <c r="B87" s="2">
        <v>3.0</v>
      </c>
    </row>
    <row r="88" ht="12.75" customHeight="1">
      <c r="A88" s="1" t="s">
        <v>115</v>
      </c>
      <c r="B88" s="2">
        <v>3.0</v>
      </c>
    </row>
    <row r="89" ht="12.75" customHeight="1">
      <c r="A89" s="1" t="s">
        <v>116</v>
      </c>
      <c r="B89" s="2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95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95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95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95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DEFICIÊNCIA LEVE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LEVE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SEVERA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DEFICIÊNCIA LEVE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DEFICIÊNCIA LEVE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DEFICIÊNCIA LEVE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LEVE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1">
        <v>4.0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12.75" customHeight="1">
      <c r="A31" s="1" t="s">
        <v>44</v>
      </c>
      <c r="B31" s="1">
        <v>2.0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12.75" customHeight="1">
      <c r="A32" s="1" t="s">
        <v>45</v>
      </c>
      <c r="B32" s="1">
        <v>3.0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2.75" customHeight="1">
      <c r="A33" s="1" t="s">
        <v>46</v>
      </c>
      <c r="B33" s="1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2.75" customHeight="1">
      <c r="A34" s="1" t="s">
        <v>47</v>
      </c>
      <c r="B34" s="1">
        <v>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22.0</v>
      </c>
      <c r="I38" s="5">
        <v>24.0</v>
      </c>
      <c r="J38" s="5">
        <v>20.0</v>
      </c>
      <c r="K38" s="5">
        <v>12.0</v>
      </c>
      <c r="L38" s="5">
        <v>13.0</v>
      </c>
      <c r="M38" s="5">
        <v>12.0</v>
      </c>
      <c r="N38" s="5">
        <v>95.0</v>
      </c>
      <c r="O38" s="5">
        <v>0.0</v>
      </c>
      <c r="P38" s="5">
        <v>5.0</v>
      </c>
      <c r="Q38" s="5"/>
      <c r="R38" s="5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23.0</v>
      </c>
      <c r="I39" s="5">
        <v>25.0</v>
      </c>
      <c r="J39" s="5">
        <v>20.0</v>
      </c>
      <c r="K39" s="5">
        <v>12.0</v>
      </c>
      <c r="L39" s="5">
        <v>13.0</v>
      </c>
      <c r="M39" s="5">
        <v>12.0</v>
      </c>
      <c r="N39" s="5">
        <v>101.0</v>
      </c>
      <c r="O39" s="5">
        <v>0.0</v>
      </c>
      <c r="P39" s="5">
        <v>10.0</v>
      </c>
      <c r="Q39" s="5"/>
      <c r="R39" s="5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24.0</v>
      </c>
      <c r="I40" s="5">
        <v>25.0</v>
      </c>
      <c r="J40" s="5">
        <v>21.0</v>
      </c>
      <c r="K40" s="5">
        <v>12.0</v>
      </c>
      <c r="L40" s="5">
        <v>14.0</v>
      </c>
      <c r="M40" s="5">
        <v>13.0</v>
      </c>
      <c r="N40" s="5">
        <v>104.0</v>
      </c>
      <c r="O40" s="5">
        <v>0.0</v>
      </c>
      <c r="P40" s="5">
        <v>15.0</v>
      </c>
      <c r="Q40" s="5"/>
      <c r="R40" s="5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25.0</v>
      </c>
      <c r="I41" s="5">
        <v>27.0</v>
      </c>
      <c r="J41" s="5">
        <v>22.0</v>
      </c>
      <c r="K41" s="5">
        <v>12.0</v>
      </c>
      <c r="L41" s="5">
        <v>15.0</v>
      </c>
      <c r="M41" s="5">
        <v>13.0</v>
      </c>
      <c r="N41" s="5">
        <v>107.0</v>
      </c>
      <c r="O41" s="5">
        <v>0.0</v>
      </c>
      <c r="P41" s="5">
        <v>20.0</v>
      </c>
      <c r="Q41" s="5"/>
      <c r="R41" s="5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26.0</v>
      </c>
      <c r="I42" s="5">
        <v>28.0</v>
      </c>
      <c r="J42" s="5">
        <v>23.0</v>
      </c>
      <c r="K42" s="5">
        <v>13.0</v>
      </c>
      <c r="L42" s="5">
        <v>15.0</v>
      </c>
      <c r="M42" s="5">
        <v>14.0</v>
      </c>
      <c r="N42" s="5">
        <v>110.0</v>
      </c>
      <c r="O42" s="5">
        <v>1.0</v>
      </c>
      <c r="P42" s="5">
        <v>25.0</v>
      </c>
      <c r="Q42" s="5"/>
      <c r="R42" s="5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27.0</v>
      </c>
      <c r="I43" s="5">
        <v>29.0</v>
      </c>
      <c r="J43" s="5">
        <v>24.0</v>
      </c>
      <c r="K43" s="5">
        <v>13.0</v>
      </c>
      <c r="L43" s="5">
        <v>16.0</v>
      </c>
      <c r="M43" s="5">
        <v>14.0</v>
      </c>
      <c r="N43" s="5">
        <v>113.0</v>
      </c>
      <c r="O43" s="5">
        <v>1.0</v>
      </c>
      <c r="P43" s="5">
        <v>30.0</v>
      </c>
      <c r="Q43" s="5"/>
      <c r="R43" s="5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28.0</v>
      </c>
      <c r="I44" s="5">
        <v>29.0</v>
      </c>
      <c r="J44" s="5">
        <v>24.0</v>
      </c>
      <c r="K44" s="5">
        <v>13.0</v>
      </c>
      <c r="L44" s="5">
        <v>16.0</v>
      </c>
      <c r="M44" s="5">
        <v>14.0</v>
      </c>
      <c r="N44" s="5">
        <v>115.0</v>
      </c>
      <c r="O44" s="5">
        <v>2.0</v>
      </c>
      <c r="P44" s="5">
        <v>35.0</v>
      </c>
      <c r="Q44" s="5"/>
      <c r="R44" s="5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29.0</v>
      </c>
      <c r="I45" s="5">
        <v>31.0</v>
      </c>
      <c r="J45" s="5">
        <v>25.0</v>
      </c>
      <c r="K45" s="5">
        <v>14.0</v>
      </c>
      <c r="L45" s="5">
        <v>17.0</v>
      </c>
      <c r="M45" s="5">
        <v>15.0</v>
      </c>
      <c r="N45" s="5">
        <v>119.0</v>
      </c>
      <c r="O45" s="5">
        <v>3.0</v>
      </c>
      <c r="P45" s="5">
        <v>40.0</v>
      </c>
      <c r="Q45" s="5"/>
      <c r="R45" s="5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30.0</v>
      </c>
      <c r="I46" s="5">
        <v>32.0</v>
      </c>
      <c r="J46" s="5">
        <v>26.0</v>
      </c>
      <c r="K46" s="5">
        <v>14.0</v>
      </c>
      <c r="L46" s="5">
        <v>18.0</v>
      </c>
      <c r="M46" s="5">
        <v>15.0</v>
      </c>
      <c r="N46" s="5">
        <v>123.0</v>
      </c>
      <c r="O46" s="5">
        <v>3.0</v>
      </c>
      <c r="P46" s="5">
        <v>45.0</v>
      </c>
      <c r="Q46" s="5"/>
      <c r="R46" s="5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32.0</v>
      </c>
      <c r="I47" s="5">
        <v>33.0</v>
      </c>
      <c r="J47" s="5">
        <v>28.0</v>
      </c>
      <c r="K47" s="5">
        <v>14.0</v>
      </c>
      <c r="L47" s="5">
        <v>19.0</v>
      </c>
      <c r="M47" s="5">
        <v>16.0</v>
      </c>
      <c r="N47" s="5">
        <v>126.0</v>
      </c>
      <c r="O47" s="5">
        <v>5.0</v>
      </c>
      <c r="P47" s="5">
        <v>50.0</v>
      </c>
      <c r="Q47" s="5"/>
      <c r="R47" s="5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33.0</v>
      </c>
      <c r="I48" s="5">
        <v>35.0</v>
      </c>
      <c r="J48" s="5">
        <v>29.0</v>
      </c>
      <c r="K48" s="5">
        <v>15.0</v>
      </c>
      <c r="L48" s="5">
        <v>20.0</v>
      </c>
      <c r="M48" s="5">
        <v>16.0</v>
      </c>
      <c r="N48" s="5">
        <v>130.0</v>
      </c>
      <c r="O48" s="5">
        <v>7.0</v>
      </c>
      <c r="P48" s="5">
        <v>55.0</v>
      </c>
      <c r="Q48" s="5"/>
      <c r="R48" s="5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35.0</v>
      </c>
      <c r="I49" s="5">
        <v>37.0</v>
      </c>
      <c r="J49" s="5">
        <v>30.0</v>
      </c>
      <c r="K49" s="5">
        <v>15.0</v>
      </c>
      <c r="L49" s="5">
        <v>21.0</v>
      </c>
      <c r="M49" s="5">
        <v>17.0</v>
      </c>
      <c r="N49" s="5">
        <v>135.0</v>
      </c>
      <c r="O49" s="5">
        <v>9.0</v>
      </c>
      <c r="P49" s="5">
        <v>60.0</v>
      </c>
      <c r="Q49" s="5"/>
      <c r="R49" s="5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36.0</v>
      </c>
      <c r="I50" s="5">
        <v>40.0</v>
      </c>
      <c r="J50" s="5">
        <v>30.0</v>
      </c>
      <c r="K50" s="5">
        <v>15.0</v>
      </c>
      <c r="L50" s="5">
        <v>21.0</v>
      </c>
      <c r="M50" s="5">
        <v>18.0</v>
      </c>
      <c r="N50" s="5">
        <v>138.0</v>
      </c>
      <c r="O50" s="5">
        <v>12.0</v>
      </c>
      <c r="P50" s="5">
        <v>65.0</v>
      </c>
      <c r="Q50" s="5"/>
      <c r="R50" s="5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39.0</v>
      </c>
      <c r="I51" s="5">
        <v>43.0</v>
      </c>
      <c r="J51" s="5">
        <v>31.0</v>
      </c>
      <c r="K51" s="5">
        <v>16.0</v>
      </c>
      <c r="L51" s="5">
        <v>23.0</v>
      </c>
      <c r="M51" s="5">
        <v>19.0</v>
      </c>
      <c r="N51" s="5">
        <v>146.0</v>
      </c>
      <c r="O51" s="5">
        <v>16.0</v>
      </c>
      <c r="P51" s="5">
        <v>70.0</v>
      </c>
      <c r="Q51" s="5"/>
      <c r="R51" s="5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42.0</v>
      </c>
      <c r="I52" s="5">
        <v>46.0</v>
      </c>
      <c r="J52" s="5">
        <v>32.0</v>
      </c>
      <c r="K52" s="5">
        <v>17.0</v>
      </c>
      <c r="L52" s="5">
        <v>24.0</v>
      </c>
      <c r="M52" s="5">
        <v>20.0</v>
      </c>
      <c r="N52" s="5">
        <v>156.0</v>
      </c>
      <c r="O52" s="5">
        <v>20.0</v>
      </c>
      <c r="P52" s="5">
        <v>75.0</v>
      </c>
      <c r="Q52" s="5"/>
      <c r="R52" s="5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45.0</v>
      </c>
      <c r="I53" s="5">
        <v>48.0</v>
      </c>
      <c r="J53" s="5">
        <v>34.0</v>
      </c>
      <c r="K53" s="5">
        <v>18.0</v>
      </c>
      <c r="L53" s="5">
        <v>26.0</v>
      </c>
      <c r="M53" s="5">
        <v>21.0</v>
      </c>
      <c r="N53" s="5">
        <v>169.0</v>
      </c>
      <c r="O53" s="5">
        <v>25.0</v>
      </c>
      <c r="P53" s="5">
        <v>80.0</v>
      </c>
      <c r="Q53" s="5"/>
      <c r="R53" s="5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49.0</v>
      </c>
      <c r="I54" s="5">
        <v>51.0</v>
      </c>
      <c r="J54" s="5">
        <v>37.0</v>
      </c>
      <c r="K54" s="5">
        <v>20.0</v>
      </c>
      <c r="L54" s="5">
        <v>29.0</v>
      </c>
      <c r="M54" s="5">
        <v>22.0</v>
      </c>
      <c r="N54" s="5">
        <v>189.0</v>
      </c>
      <c r="O54" s="5">
        <v>33.0</v>
      </c>
      <c r="P54" s="5">
        <v>85.0</v>
      </c>
      <c r="Q54" s="5"/>
      <c r="R54" s="5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55.0</v>
      </c>
      <c r="I55" s="5">
        <v>58.0</v>
      </c>
      <c r="J55" s="5">
        <v>42.0</v>
      </c>
      <c r="K55" s="5">
        <v>24.0</v>
      </c>
      <c r="L55" s="5">
        <v>32.0</v>
      </c>
      <c r="M55" s="5">
        <v>25.0</v>
      </c>
      <c r="N55" s="5">
        <v>202.0</v>
      </c>
      <c r="O55" s="5">
        <v>38.0</v>
      </c>
      <c r="P55" s="5">
        <v>90.0</v>
      </c>
      <c r="Q55" s="5"/>
      <c r="R55" s="5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59.0</v>
      </c>
      <c r="I56" s="5">
        <v>69.0</v>
      </c>
      <c r="J56" s="5">
        <v>44.0</v>
      </c>
      <c r="K56" s="5">
        <v>27.0</v>
      </c>
      <c r="L56" s="5">
        <v>36.0</v>
      </c>
      <c r="M56" s="5">
        <v>28.0</v>
      </c>
      <c r="N56" s="5">
        <v>225.0</v>
      </c>
      <c r="O56" s="5">
        <v>49.0</v>
      </c>
      <c r="P56" s="5">
        <v>95.0</v>
      </c>
      <c r="Q56" s="5"/>
      <c r="R56" s="5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76.0</v>
      </c>
      <c r="I57" s="5">
        <v>81.0</v>
      </c>
      <c r="J57" s="5">
        <v>51.0</v>
      </c>
      <c r="K57" s="5">
        <v>37.0</v>
      </c>
      <c r="L57" s="5">
        <v>46.0</v>
      </c>
      <c r="M57" s="5">
        <v>34.0</v>
      </c>
      <c r="N57" s="5">
        <v>273.0</v>
      </c>
      <c r="O57" s="5">
        <v>67.0</v>
      </c>
      <c r="P57" s="5">
        <v>99.0</v>
      </c>
      <c r="Q57" s="5"/>
      <c r="R57" s="5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2.75" customHeight="1">
      <c r="A71" s="1" t="s">
        <v>98</v>
      </c>
      <c r="B71" s="1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2.75" customHeight="1">
      <c r="A72" s="1" t="s">
        <v>99</v>
      </c>
      <c r="B72" s="1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2.75" customHeight="1">
      <c r="A73" s="1" t="s">
        <v>100</v>
      </c>
      <c r="B73" s="1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2.75" customHeight="1">
      <c r="A74" s="1" t="s">
        <v>101</v>
      </c>
      <c r="B74" s="1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2.75" customHeight="1">
      <c r="A75" s="1" t="s">
        <v>102</v>
      </c>
      <c r="B75" s="1">
        <v>3.0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2.75" customHeight="1">
      <c r="A76" s="1" t="s">
        <v>103</v>
      </c>
      <c r="B76" s="1">
        <v>3.0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2.75" customHeight="1">
      <c r="A77" s="1" t="s">
        <v>104</v>
      </c>
      <c r="B77" s="1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2.75" customHeight="1">
      <c r="A78" s="1" t="s">
        <v>105</v>
      </c>
      <c r="B78" s="1">
        <v>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2.75" customHeight="1">
      <c r="A79" s="1" t="s">
        <v>106</v>
      </c>
      <c r="B79" s="1">
        <v>2.0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2.75" customHeight="1">
      <c r="A80" s="1" t="s">
        <v>107</v>
      </c>
      <c r="B80" s="1">
        <v>3.0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2.75" customHeight="1">
      <c r="A81" s="1" t="s">
        <v>108</v>
      </c>
      <c r="B81" s="1">
        <v>3.0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2">
        <v>3.0</v>
      </c>
      <c r="D1" s="3" t="s">
        <v>1</v>
      </c>
      <c r="E1" s="4">
        <v>1.0</v>
      </c>
    </row>
    <row r="2" ht="12.75" customHeight="1">
      <c r="A2" s="1" t="s">
        <v>2</v>
      </c>
      <c r="B2" s="2">
        <v>3.0</v>
      </c>
      <c r="D2" s="3" t="s">
        <v>3</v>
      </c>
      <c r="E2" s="3">
        <f>SUM(B22:B45)</f>
        <v>50</v>
      </c>
      <c r="G2" s="5"/>
      <c r="H2" s="5"/>
      <c r="I2" s="5"/>
      <c r="J2" s="6"/>
    </row>
    <row r="3" ht="12.75" customHeight="1">
      <c r="A3" s="1" t="s">
        <v>4</v>
      </c>
      <c r="B3" s="2">
        <v>4.0</v>
      </c>
      <c r="D3" s="3" t="s">
        <v>5</v>
      </c>
      <c r="E3" s="3">
        <f>SUM(B46:B64)</f>
        <v>44</v>
      </c>
      <c r="G3" s="7"/>
      <c r="H3" s="7">
        <f>COUNTIF(B1:B89,"3")</f>
        <v>29</v>
      </c>
      <c r="I3" s="7"/>
      <c r="J3" s="6"/>
    </row>
    <row r="4" ht="12.75" customHeight="1">
      <c r="A4" s="1" t="s">
        <v>6</v>
      </c>
      <c r="B4" s="2">
        <v>1.0</v>
      </c>
      <c r="D4" s="3" t="s">
        <v>7</v>
      </c>
      <c r="E4" s="3">
        <f>SUM(B65:B76)</f>
        <v>20</v>
      </c>
      <c r="G4" s="7"/>
      <c r="H4" s="7">
        <f>COUNTIF(B1:B89,"4")</f>
        <v>16</v>
      </c>
      <c r="I4" s="7"/>
      <c r="J4" s="6"/>
    </row>
    <row r="5" ht="12.75" customHeight="1">
      <c r="A5" s="1" t="s">
        <v>8</v>
      </c>
      <c r="B5" s="2">
        <v>1.0</v>
      </c>
      <c r="D5" s="3" t="s">
        <v>9</v>
      </c>
      <c r="E5" s="3">
        <f>SUM(B77:B89)</f>
        <v>42</v>
      </c>
      <c r="G5" s="7"/>
      <c r="H5" s="7">
        <f>SUM(H3:H4)</f>
        <v>45</v>
      </c>
      <c r="I5" s="7"/>
      <c r="J5" s="6"/>
    </row>
    <row r="6" ht="12.75" customHeight="1">
      <c r="A6" s="1" t="s">
        <v>10</v>
      </c>
      <c r="B6" s="2">
        <v>1.0</v>
      </c>
      <c r="D6" s="3" t="s">
        <v>11</v>
      </c>
      <c r="E6" s="4">
        <v>21.0</v>
      </c>
      <c r="G6" s="6"/>
      <c r="H6" s="6"/>
      <c r="I6" s="6"/>
      <c r="J6" s="6"/>
    </row>
    <row r="7" ht="12.75" customHeight="1">
      <c r="A7" s="1" t="s">
        <v>12</v>
      </c>
      <c r="B7" s="2">
        <v>3.0</v>
      </c>
      <c r="D7" s="3" t="s">
        <v>13</v>
      </c>
      <c r="E7" s="3">
        <f>SUM(E1:E5)</f>
        <v>157</v>
      </c>
    </row>
    <row r="8" ht="12.75" customHeight="1">
      <c r="A8" s="1" t="s">
        <v>14</v>
      </c>
      <c r="B8" s="2">
        <v>4.0</v>
      </c>
      <c r="D8" s="3" t="s">
        <v>15</v>
      </c>
      <c r="E8" s="3">
        <f>H5</f>
        <v>45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1.0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1.0</v>
      </c>
      <c r="D10" s="3" t="s">
        <v>1</v>
      </c>
      <c r="E10" s="3">
        <f>VLOOKUP(E1,H36:P57,9,1)</f>
        <v>1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1.0</v>
      </c>
      <c r="D11" s="3" t="s">
        <v>3</v>
      </c>
      <c r="E11" s="3">
        <f>VLOOKUP(E2,I37:P57,8,1)</f>
        <v>70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3.0</v>
      </c>
      <c r="D12" s="3" t="s">
        <v>5</v>
      </c>
      <c r="E12" s="3">
        <f>VLOOKUP(E3,J37:P57,7,1)</f>
        <v>90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2">
        <v>3.0</v>
      </c>
      <c r="D13" s="3" t="s">
        <v>7</v>
      </c>
      <c r="E13" s="3">
        <f>VLOOKUP(E4,K37:P57,6,1)</f>
        <v>75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4.0</v>
      </c>
      <c r="D14" s="3" t="s">
        <v>9</v>
      </c>
      <c r="E14" s="3">
        <f>VLOOKUP(E5,L37:P57,5,1)</f>
        <v>90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2.0</v>
      </c>
      <c r="D15" s="3" t="s">
        <v>11</v>
      </c>
      <c r="E15" s="3">
        <f>VLOOKUP(E6,M37:P57,4,1)</f>
        <v>75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3.0</v>
      </c>
      <c r="D16" s="3" t="s">
        <v>13</v>
      </c>
      <c r="E16" s="3">
        <f>VLOOKUP(E7,N37:P57,3,1)</f>
        <v>65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2">
        <v>3.0</v>
      </c>
      <c r="D17" s="3" t="s">
        <v>15</v>
      </c>
      <c r="E17" s="3">
        <f>VLOOKUP(E8,O37:P57,2,1)</f>
        <v>90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1.0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2.0</v>
      </c>
    </row>
    <row r="21" ht="12.75" customHeight="1">
      <c r="A21" s="1" t="s">
        <v>34</v>
      </c>
      <c r="B21" s="2">
        <v>3.0</v>
      </c>
      <c r="D21" s="3" t="s">
        <v>1</v>
      </c>
      <c r="E21" s="3" t="str">
        <f>VLOOKUP(E10,D39:E64,2,1)</f>
        <v>SEM SIGNIFICÂNCIA CLINICA</v>
      </c>
    </row>
    <row r="22" ht="12.75" customHeight="1">
      <c r="A22" s="1" t="s">
        <v>35</v>
      </c>
      <c r="B22" s="2">
        <v>1.0</v>
      </c>
      <c r="D22" s="3" t="s">
        <v>3</v>
      </c>
      <c r="E22" s="3" t="str">
        <f>VLOOKUP(E11,D39:E64,2,1)</f>
        <v>SEM SIGNIFICÂNCIA CLINICA</v>
      </c>
    </row>
    <row r="23" ht="12.75" customHeight="1">
      <c r="A23" s="1" t="s">
        <v>36</v>
      </c>
      <c r="B23" s="2">
        <v>3.0</v>
      </c>
      <c r="D23" s="3" t="s">
        <v>5</v>
      </c>
      <c r="E23" s="10" t="str">
        <f>VLOOKUP(E12,D39:E64,2,1)</f>
        <v>LIMITROFE</v>
      </c>
    </row>
    <row r="24" ht="12.75" customHeight="1">
      <c r="A24" s="1" t="s">
        <v>37</v>
      </c>
      <c r="B24" s="2">
        <v>3.0</v>
      </c>
      <c r="D24" s="3" t="s">
        <v>7</v>
      </c>
      <c r="E24" s="3" t="str">
        <f>VLOOKUP(E13,D39:E64,2,1)</f>
        <v>SEM SIGNIFICÂNCIA CLINICA</v>
      </c>
    </row>
    <row r="25" ht="12.75" customHeight="1">
      <c r="A25" s="1" t="s">
        <v>38</v>
      </c>
      <c r="B25" s="2">
        <v>3.0</v>
      </c>
      <c r="D25" s="3" t="s">
        <v>9</v>
      </c>
      <c r="E25" s="10" t="str">
        <f>VLOOKUP(E14,D39:E64,2,1)</f>
        <v>LIMITROFE</v>
      </c>
    </row>
    <row r="26" ht="12.75" customHeight="1">
      <c r="A26" s="1" t="s">
        <v>39</v>
      </c>
      <c r="B26" s="2">
        <v>2.0</v>
      </c>
      <c r="D26" s="3" t="s">
        <v>11</v>
      </c>
      <c r="E26" s="3" t="str">
        <f>VLOOKUP(E15,D39:E64,2,1)</f>
        <v>SEM SIGNIFICÂNCIA CLINICA</v>
      </c>
    </row>
    <row r="27" ht="12.75" customHeight="1">
      <c r="A27" s="1" t="s">
        <v>40</v>
      </c>
      <c r="B27" s="2">
        <v>1.0</v>
      </c>
      <c r="D27" s="3" t="s">
        <v>13</v>
      </c>
      <c r="E27" s="3" t="str">
        <f>VLOOKUP(E16,D39:E64,2,1)</f>
        <v>SEM SIGNIFICÂNCIA CLINICA</v>
      </c>
    </row>
    <row r="28" ht="12.75" customHeight="1">
      <c r="A28" s="1" t="s">
        <v>41</v>
      </c>
      <c r="B28" s="2">
        <v>3.0</v>
      </c>
      <c r="D28" s="3" t="s">
        <v>15</v>
      </c>
      <c r="E28" s="10" t="str">
        <f>VLOOKUP(E17,D39:E64,2,1)</f>
        <v>LIMITROFE</v>
      </c>
    </row>
    <row r="29" ht="12.75" customHeight="1">
      <c r="A29" s="1" t="s">
        <v>42</v>
      </c>
      <c r="B29" s="2">
        <v>1.0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2.75" customHeight="1">
      <c r="A30" s="1" t="s">
        <v>43</v>
      </c>
      <c r="B30" s="2">
        <v>1.0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ht="12.75" customHeight="1">
      <c r="A31" s="1" t="s">
        <v>44</v>
      </c>
      <c r="B31" s="2">
        <v>2.0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"/>
      <c r="S31" s="1"/>
    </row>
    <row r="32" ht="12.75" customHeight="1">
      <c r="A32" s="1" t="s">
        <v>45</v>
      </c>
      <c r="B32" s="2">
        <v>2.0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"/>
      <c r="S32" s="1"/>
    </row>
    <row r="33" ht="12.75" customHeight="1">
      <c r="A33" s="1" t="s">
        <v>46</v>
      </c>
      <c r="B33" s="2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"/>
      <c r="S33" s="1"/>
    </row>
    <row r="34" ht="12.75" customHeight="1">
      <c r="A34" s="1" t="s">
        <v>47</v>
      </c>
      <c r="B34" s="2">
        <v>1.0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  <c r="S34" s="1"/>
    </row>
    <row r="35" ht="12.75" customHeight="1">
      <c r="A35" s="1" t="s">
        <v>48</v>
      </c>
      <c r="B35" s="2">
        <v>1.0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  <c r="S35" s="1"/>
    </row>
    <row r="36" ht="12.75" customHeight="1">
      <c r="A36" s="1" t="s">
        <v>49</v>
      </c>
      <c r="B36" s="2">
        <v>1.0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</row>
    <row r="37" ht="12.75" customHeight="1">
      <c r="A37" s="1" t="s">
        <v>58</v>
      </c>
      <c r="B37" s="2">
        <v>1.0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</row>
    <row r="38" ht="12.75" customHeight="1">
      <c r="A38" s="1" t="s">
        <v>59</v>
      </c>
      <c r="B38" s="2">
        <v>1.0</v>
      </c>
      <c r="D38" s="5"/>
      <c r="E38" s="5"/>
      <c r="F38" s="5"/>
      <c r="G38" s="5"/>
      <c r="H38" s="5">
        <v>24.0</v>
      </c>
      <c r="I38" s="5">
        <v>25.0</v>
      </c>
      <c r="J38" s="5">
        <v>20.0</v>
      </c>
      <c r="K38" s="5">
        <v>12.0</v>
      </c>
      <c r="L38" s="5">
        <v>13.0</v>
      </c>
      <c r="M38" s="5">
        <v>12.0</v>
      </c>
      <c r="N38" s="5">
        <v>102.0</v>
      </c>
      <c r="O38" s="5">
        <v>0.0</v>
      </c>
      <c r="P38" s="5">
        <v>5.0</v>
      </c>
      <c r="Q38" s="5"/>
      <c r="R38" s="1"/>
      <c r="S38" s="1"/>
    </row>
    <row r="39" ht="12.75" customHeight="1">
      <c r="A39" s="1" t="s">
        <v>60</v>
      </c>
      <c r="B39" s="2">
        <v>4.0</v>
      </c>
      <c r="D39" s="5">
        <v>1.0</v>
      </c>
      <c r="E39" s="5" t="s">
        <v>61</v>
      </c>
      <c r="F39" s="5"/>
      <c r="G39" s="5"/>
      <c r="H39" s="5">
        <v>25.0</v>
      </c>
      <c r="I39" s="5">
        <v>26.0</v>
      </c>
      <c r="J39" s="5">
        <v>22.0</v>
      </c>
      <c r="K39" s="5">
        <v>12.0</v>
      </c>
      <c r="L39" s="5">
        <v>14.0</v>
      </c>
      <c r="M39" s="5">
        <v>13.0</v>
      </c>
      <c r="N39" s="5">
        <v>105.0</v>
      </c>
      <c r="O39" s="5">
        <v>0.0</v>
      </c>
      <c r="P39" s="5">
        <v>10.0</v>
      </c>
      <c r="Q39" s="5"/>
      <c r="R39" s="1"/>
      <c r="S39" s="1"/>
    </row>
    <row r="40" ht="12.75" customHeight="1">
      <c r="A40" s="1" t="s">
        <v>62</v>
      </c>
      <c r="B40" s="2">
        <v>4.0</v>
      </c>
      <c r="D40" s="5">
        <v>75.0</v>
      </c>
      <c r="E40" s="5" t="s">
        <v>61</v>
      </c>
      <c r="F40" s="5"/>
      <c r="G40" s="5"/>
      <c r="H40" s="5">
        <v>26.0</v>
      </c>
      <c r="I40" s="5">
        <v>27.0</v>
      </c>
      <c r="J40" s="5">
        <v>22.0</v>
      </c>
      <c r="K40" s="5">
        <v>13.0</v>
      </c>
      <c r="L40" s="5">
        <v>15.0</v>
      </c>
      <c r="M40" s="5">
        <v>14.0</v>
      </c>
      <c r="N40" s="5">
        <v>111.0</v>
      </c>
      <c r="O40" s="5">
        <v>1.0</v>
      </c>
      <c r="P40" s="5">
        <v>15.0</v>
      </c>
      <c r="Q40" s="5"/>
      <c r="R40" s="1"/>
      <c r="S40" s="1"/>
    </row>
    <row r="41" ht="12.75" customHeight="1">
      <c r="A41" s="1" t="s">
        <v>63</v>
      </c>
      <c r="B41" s="2">
        <v>3.0</v>
      </c>
      <c r="D41" s="5">
        <v>76.0</v>
      </c>
      <c r="E41" s="5" t="s">
        <v>64</v>
      </c>
      <c r="F41" s="5"/>
      <c r="G41" s="5"/>
      <c r="H41" s="5">
        <v>28.0</v>
      </c>
      <c r="I41" s="5">
        <v>28.0</v>
      </c>
      <c r="J41" s="5">
        <v>23.0</v>
      </c>
      <c r="K41" s="5">
        <v>13.0</v>
      </c>
      <c r="L41" s="5">
        <v>15.0</v>
      </c>
      <c r="M41" s="5">
        <v>14.0</v>
      </c>
      <c r="N41" s="5">
        <v>114.0</v>
      </c>
      <c r="O41" s="5">
        <v>2.0</v>
      </c>
      <c r="P41" s="5">
        <v>20.0</v>
      </c>
      <c r="Q41" s="5"/>
      <c r="R41" s="1"/>
      <c r="S41" s="1"/>
    </row>
    <row r="42" ht="12.75" customHeight="1">
      <c r="A42" s="1" t="s">
        <v>65</v>
      </c>
      <c r="B42" s="2">
        <v>2.0</v>
      </c>
      <c r="D42" s="5">
        <v>77.0</v>
      </c>
      <c r="E42" s="5" t="s">
        <v>64</v>
      </c>
      <c r="F42" s="5"/>
      <c r="G42" s="5"/>
      <c r="H42" s="5">
        <v>28.0</v>
      </c>
      <c r="I42" s="5">
        <v>29.0</v>
      </c>
      <c r="J42" s="5">
        <v>24.0</v>
      </c>
      <c r="K42" s="5">
        <v>14.0</v>
      </c>
      <c r="L42" s="5">
        <v>16.0</v>
      </c>
      <c r="M42" s="5">
        <v>14.0</v>
      </c>
      <c r="N42" s="5">
        <v>118.0</v>
      </c>
      <c r="O42" s="5">
        <v>2.0</v>
      </c>
      <c r="P42" s="5">
        <v>25.0</v>
      </c>
      <c r="Q42" s="5"/>
      <c r="R42" s="1"/>
      <c r="S42" s="1"/>
    </row>
    <row r="43" ht="12.75" customHeight="1">
      <c r="A43" s="1" t="s">
        <v>66</v>
      </c>
      <c r="B43" s="2">
        <v>4.0</v>
      </c>
      <c r="D43" s="5">
        <v>78.0</v>
      </c>
      <c r="E43" s="5" t="s">
        <v>64</v>
      </c>
      <c r="F43" s="5"/>
      <c r="G43" s="5"/>
      <c r="H43" s="5">
        <v>31.0</v>
      </c>
      <c r="I43" s="5">
        <v>30.0</v>
      </c>
      <c r="J43" s="5">
        <v>25.0</v>
      </c>
      <c r="K43" s="5">
        <v>14.0</v>
      </c>
      <c r="L43" s="5">
        <v>17.0</v>
      </c>
      <c r="M43" s="5">
        <v>15.0</v>
      </c>
      <c r="N43" s="5">
        <v>123.0</v>
      </c>
      <c r="O43" s="5">
        <v>3.0</v>
      </c>
      <c r="P43" s="5">
        <v>30.0</v>
      </c>
      <c r="Q43" s="5"/>
      <c r="R43" s="1"/>
      <c r="S43" s="1"/>
    </row>
    <row r="44" ht="12.75" customHeight="1">
      <c r="A44" s="1" t="s">
        <v>67</v>
      </c>
      <c r="B44" s="2">
        <v>2.0</v>
      </c>
      <c r="D44" s="5">
        <v>79.0</v>
      </c>
      <c r="E44" s="5" t="s">
        <v>64</v>
      </c>
      <c r="F44" s="5"/>
      <c r="G44" s="5"/>
      <c r="H44" s="5">
        <v>32.0</v>
      </c>
      <c r="I44" s="5">
        <v>31.0</v>
      </c>
      <c r="J44" s="5">
        <v>26.0</v>
      </c>
      <c r="K44" s="5">
        <v>15.0</v>
      </c>
      <c r="L44" s="5">
        <v>18.0</v>
      </c>
      <c r="M44" s="5">
        <v>16.0</v>
      </c>
      <c r="N44" s="5">
        <v>127.0</v>
      </c>
      <c r="O44" s="5">
        <v>3.0</v>
      </c>
      <c r="P44" s="5">
        <v>35.0</v>
      </c>
      <c r="Q44" s="5"/>
      <c r="R44" s="1"/>
      <c r="S44" s="1"/>
    </row>
    <row r="45" ht="12.75" customHeight="1">
      <c r="A45" s="1" t="s">
        <v>68</v>
      </c>
      <c r="B45" s="2">
        <v>1.0</v>
      </c>
      <c r="D45" s="5">
        <v>80.0</v>
      </c>
      <c r="E45" s="5" t="s">
        <v>64</v>
      </c>
      <c r="F45" s="5"/>
      <c r="G45" s="5"/>
      <c r="H45" s="5">
        <v>33.0</v>
      </c>
      <c r="I45" s="5">
        <v>33.0</v>
      </c>
      <c r="J45" s="5">
        <v>27.0</v>
      </c>
      <c r="K45" s="5">
        <v>15.0</v>
      </c>
      <c r="L45" s="5">
        <v>19.0</v>
      </c>
      <c r="M45" s="5">
        <v>16.0</v>
      </c>
      <c r="N45" s="5">
        <v>130.0</v>
      </c>
      <c r="O45" s="5">
        <v>4.0</v>
      </c>
      <c r="P45" s="5">
        <v>40.0</v>
      </c>
      <c r="Q45" s="5"/>
      <c r="R45" s="1"/>
      <c r="S45" s="1"/>
    </row>
    <row r="46" ht="12.75" customHeight="1">
      <c r="A46" s="1" t="s">
        <v>69</v>
      </c>
      <c r="B46" s="2">
        <v>2.0</v>
      </c>
      <c r="D46" s="5">
        <v>81.0</v>
      </c>
      <c r="E46" s="5" t="s">
        <v>64</v>
      </c>
      <c r="F46" s="5"/>
      <c r="G46" s="5"/>
      <c r="H46" s="5">
        <v>34.0</v>
      </c>
      <c r="I46" s="5">
        <v>34.0</v>
      </c>
      <c r="J46" s="5">
        <v>27.0</v>
      </c>
      <c r="K46" s="5">
        <v>15.0</v>
      </c>
      <c r="L46" s="5">
        <v>19.0</v>
      </c>
      <c r="M46" s="5">
        <v>17.0</v>
      </c>
      <c r="N46" s="5">
        <v>135.0</v>
      </c>
      <c r="O46" s="5">
        <v>5.0</v>
      </c>
      <c r="P46" s="5">
        <v>45.0</v>
      </c>
      <c r="Q46" s="5"/>
      <c r="R46" s="1"/>
      <c r="S46" s="1"/>
    </row>
    <row r="47" ht="12.75" customHeight="1">
      <c r="A47" s="1" t="s">
        <v>70</v>
      </c>
      <c r="B47" s="2">
        <v>4.0</v>
      </c>
      <c r="D47" s="5">
        <v>82.0</v>
      </c>
      <c r="E47" s="5" t="s">
        <v>64</v>
      </c>
      <c r="F47" s="5"/>
      <c r="G47" s="5"/>
      <c r="H47" s="5">
        <v>35.0</v>
      </c>
      <c r="I47" s="5">
        <v>36.0</v>
      </c>
      <c r="J47" s="5">
        <v>28.0</v>
      </c>
      <c r="K47" s="5">
        <v>16.0</v>
      </c>
      <c r="L47" s="5">
        <v>20.0</v>
      </c>
      <c r="M47" s="5">
        <v>17.0</v>
      </c>
      <c r="N47" s="5">
        <v>139.0</v>
      </c>
      <c r="O47" s="5">
        <v>7.0</v>
      </c>
      <c r="P47" s="5">
        <v>50.0</v>
      </c>
      <c r="Q47" s="5"/>
      <c r="R47" s="1"/>
      <c r="S47" s="1"/>
    </row>
    <row r="48" ht="12.75" customHeight="1">
      <c r="A48" s="1" t="s">
        <v>71</v>
      </c>
      <c r="B48" s="2">
        <v>3.0</v>
      </c>
      <c r="D48" s="5">
        <v>83.0</v>
      </c>
      <c r="E48" s="5" t="s">
        <v>64</v>
      </c>
      <c r="F48" s="5"/>
      <c r="G48" s="5"/>
      <c r="H48" s="5">
        <v>37.0</v>
      </c>
      <c r="I48" s="5">
        <v>38.0</v>
      </c>
      <c r="J48" s="5">
        <v>30.0</v>
      </c>
      <c r="K48" s="5">
        <v>16.0</v>
      </c>
      <c r="L48" s="5">
        <v>21.0</v>
      </c>
      <c r="M48" s="5">
        <v>17.0</v>
      </c>
      <c r="N48" s="5">
        <v>144.0</v>
      </c>
      <c r="O48" s="5">
        <v>9.0</v>
      </c>
      <c r="P48" s="5">
        <v>55.0</v>
      </c>
      <c r="Q48" s="5"/>
      <c r="R48" s="1"/>
      <c r="S48" s="1"/>
    </row>
    <row r="49" ht="12.75" customHeight="1">
      <c r="A49" s="1" t="s">
        <v>72</v>
      </c>
      <c r="B49" s="2">
        <v>2.0</v>
      </c>
      <c r="D49" s="5">
        <v>84.0</v>
      </c>
      <c r="E49" s="5" t="s">
        <v>64</v>
      </c>
      <c r="F49" s="5"/>
      <c r="G49" s="5"/>
      <c r="H49" s="5">
        <v>38.0</v>
      </c>
      <c r="I49" s="5">
        <v>41.0</v>
      </c>
      <c r="J49" s="5">
        <v>31.0</v>
      </c>
      <c r="K49" s="5">
        <v>17.0</v>
      </c>
      <c r="L49" s="5">
        <v>23.0</v>
      </c>
      <c r="M49" s="5">
        <v>18.0</v>
      </c>
      <c r="N49" s="5">
        <v>149.0</v>
      </c>
      <c r="O49" s="5">
        <v>13.0</v>
      </c>
      <c r="P49" s="5">
        <v>60.0</v>
      </c>
      <c r="Q49" s="5"/>
      <c r="R49" s="1"/>
      <c r="S49" s="1"/>
    </row>
    <row r="50" ht="12.75" customHeight="1">
      <c r="A50" s="1" t="s">
        <v>73</v>
      </c>
      <c r="B50" s="2">
        <v>4.0</v>
      </c>
      <c r="D50" s="5">
        <v>85.0</v>
      </c>
      <c r="E50" s="5" t="s">
        <v>74</v>
      </c>
      <c r="F50" s="5"/>
      <c r="G50" s="5"/>
      <c r="H50" s="5">
        <v>40.0</v>
      </c>
      <c r="I50" s="5">
        <v>44.0</v>
      </c>
      <c r="J50" s="5">
        <v>32.0</v>
      </c>
      <c r="K50" s="5">
        <v>18.0</v>
      </c>
      <c r="L50" s="5">
        <v>24.0</v>
      </c>
      <c r="M50" s="5">
        <v>19.0</v>
      </c>
      <c r="N50" s="5">
        <v>153.0</v>
      </c>
      <c r="O50" s="5">
        <v>15.0</v>
      </c>
      <c r="P50" s="5">
        <v>65.0</v>
      </c>
      <c r="Q50" s="5"/>
      <c r="R50" s="1"/>
      <c r="S50" s="1"/>
    </row>
    <row r="51" ht="12.75" customHeight="1">
      <c r="A51" s="1" t="s">
        <v>75</v>
      </c>
      <c r="B51" s="2">
        <v>4.0</v>
      </c>
      <c r="D51" s="5">
        <v>86.0</v>
      </c>
      <c r="E51" s="5" t="s">
        <v>74</v>
      </c>
      <c r="F51" s="5"/>
      <c r="G51" s="5"/>
      <c r="H51" s="5">
        <v>42.0</v>
      </c>
      <c r="I51" s="5">
        <v>48.0</v>
      </c>
      <c r="J51" s="5">
        <v>34.0</v>
      </c>
      <c r="K51" s="5">
        <v>19.0</v>
      </c>
      <c r="L51" s="5">
        <v>25.0</v>
      </c>
      <c r="M51" s="5">
        <v>20.0</v>
      </c>
      <c r="N51" s="5">
        <v>161.0</v>
      </c>
      <c r="O51" s="5">
        <v>21.0</v>
      </c>
      <c r="P51" s="5">
        <v>70.0</v>
      </c>
      <c r="Q51" s="5"/>
      <c r="R51" s="1"/>
      <c r="S51" s="1"/>
    </row>
    <row r="52" ht="12.75" customHeight="1">
      <c r="A52" s="1" t="s">
        <v>76</v>
      </c>
      <c r="B52" s="2">
        <v>3.0</v>
      </c>
      <c r="D52" s="5">
        <v>87.0</v>
      </c>
      <c r="E52" s="5" t="s">
        <v>74</v>
      </c>
      <c r="F52" s="5"/>
      <c r="G52" s="5"/>
      <c r="H52" s="5">
        <v>44.0</v>
      </c>
      <c r="I52" s="5">
        <v>51.0</v>
      </c>
      <c r="J52" s="5">
        <v>35.0</v>
      </c>
      <c r="K52" s="5">
        <v>20.0</v>
      </c>
      <c r="L52" s="5">
        <v>26.0</v>
      </c>
      <c r="M52" s="5">
        <v>21.0</v>
      </c>
      <c r="N52" s="5">
        <v>173.0</v>
      </c>
      <c r="O52" s="5">
        <v>27.0</v>
      </c>
      <c r="P52" s="5">
        <v>75.0</v>
      </c>
      <c r="Q52" s="5"/>
      <c r="R52" s="1"/>
      <c r="S52" s="1"/>
    </row>
    <row r="53" ht="12.75" customHeight="1">
      <c r="A53" s="1" t="s">
        <v>77</v>
      </c>
      <c r="B53" s="2">
        <v>1.0</v>
      </c>
      <c r="D53" s="5">
        <v>88.0</v>
      </c>
      <c r="E53" s="5" t="s">
        <v>74</v>
      </c>
      <c r="F53" s="5"/>
      <c r="G53" s="5"/>
      <c r="H53" s="5">
        <v>48.0</v>
      </c>
      <c r="I53" s="5">
        <v>54.0</v>
      </c>
      <c r="J53" s="5">
        <v>37.0</v>
      </c>
      <c r="K53" s="5">
        <v>21.0</v>
      </c>
      <c r="L53" s="5">
        <v>28.0</v>
      </c>
      <c r="M53" s="5">
        <v>23.0</v>
      </c>
      <c r="N53" s="5">
        <v>190.0</v>
      </c>
      <c r="O53" s="5">
        <v>32.0</v>
      </c>
      <c r="P53" s="5">
        <v>80.0</v>
      </c>
      <c r="Q53" s="5"/>
      <c r="R53" s="1"/>
      <c r="S53" s="1"/>
    </row>
    <row r="54" ht="12.75" customHeight="1">
      <c r="A54" s="1" t="s">
        <v>78</v>
      </c>
      <c r="B54" s="2">
        <v>1.0</v>
      </c>
      <c r="D54" s="5">
        <v>89.0</v>
      </c>
      <c r="E54" s="5" t="s">
        <v>74</v>
      </c>
      <c r="F54" s="5"/>
      <c r="G54" s="5"/>
      <c r="H54" s="5">
        <v>53.0</v>
      </c>
      <c r="I54" s="5">
        <v>58.0</v>
      </c>
      <c r="J54" s="5">
        <v>40.0</v>
      </c>
      <c r="K54" s="5">
        <v>22.0</v>
      </c>
      <c r="L54" s="5">
        <v>33.0</v>
      </c>
      <c r="M54" s="5">
        <v>25.0</v>
      </c>
      <c r="N54" s="5">
        <v>201.0</v>
      </c>
      <c r="O54" s="5">
        <v>36.0</v>
      </c>
      <c r="P54" s="5">
        <v>85.0</v>
      </c>
      <c r="Q54" s="5"/>
      <c r="R54" s="1"/>
      <c r="S54" s="1"/>
    </row>
    <row r="55" ht="12.75" customHeight="1">
      <c r="A55" s="1" t="s">
        <v>79</v>
      </c>
      <c r="B55" s="2">
        <v>1.0</v>
      </c>
      <c r="D55" s="5">
        <v>90.0</v>
      </c>
      <c r="E55" s="5" t="s">
        <v>74</v>
      </c>
      <c r="F55" s="5"/>
      <c r="G55" s="5"/>
      <c r="H55" s="5">
        <v>58.0</v>
      </c>
      <c r="I55" s="5">
        <v>61.0</v>
      </c>
      <c r="J55" s="5">
        <v>44.0</v>
      </c>
      <c r="K55" s="5">
        <v>25.0</v>
      </c>
      <c r="L55" s="5">
        <v>37.0</v>
      </c>
      <c r="M55" s="5">
        <v>28.0</v>
      </c>
      <c r="N55" s="5">
        <v>207.0</v>
      </c>
      <c r="O55" s="5">
        <v>41.0</v>
      </c>
      <c r="P55" s="5">
        <v>90.0</v>
      </c>
      <c r="Q55" s="5"/>
      <c r="R55" s="1"/>
      <c r="S55" s="1"/>
    </row>
    <row r="56" ht="12.75" customHeight="1">
      <c r="A56" s="1" t="s">
        <v>80</v>
      </c>
      <c r="B56" s="2">
        <v>4.0</v>
      </c>
      <c r="D56" s="5">
        <v>91.0</v>
      </c>
      <c r="E56" s="5" t="s">
        <v>74</v>
      </c>
      <c r="F56" s="5"/>
      <c r="G56" s="5"/>
      <c r="H56" s="5">
        <v>63.0</v>
      </c>
      <c r="I56" s="5">
        <v>66.0</v>
      </c>
      <c r="J56" s="5">
        <v>50.0</v>
      </c>
      <c r="K56" s="5">
        <v>27.0</v>
      </c>
      <c r="L56" s="5">
        <v>43.0</v>
      </c>
      <c r="M56" s="5">
        <v>29.0</v>
      </c>
      <c r="N56" s="5">
        <v>219.0</v>
      </c>
      <c r="O56" s="5">
        <v>52.0</v>
      </c>
      <c r="P56" s="5">
        <v>95.0</v>
      </c>
      <c r="Q56" s="5"/>
      <c r="R56" s="1"/>
      <c r="S56" s="1"/>
    </row>
    <row r="57" ht="12.75" customHeight="1">
      <c r="A57" s="1" t="s">
        <v>81</v>
      </c>
      <c r="B57" s="2">
        <v>4.0</v>
      </c>
      <c r="D57" s="5">
        <v>92.0</v>
      </c>
      <c r="E57" s="5" t="s">
        <v>74</v>
      </c>
      <c r="F57" s="5"/>
      <c r="G57" s="5"/>
      <c r="H57" s="5">
        <v>71.0</v>
      </c>
      <c r="I57" s="5">
        <v>77.0</v>
      </c>
      <c r="J57" s="5">
        <v>61.0</v>
      </c>
      <c r="K57" s="5">
        <v>36.0</v>
      </c>
      <c r="L57" s="5">
        <v>48.0</v>
      </c>
      <c r="M57" s="5">
        <v>33.0</v>
      </c>
      <c r="N57" s="5">
        <v>261.0</v>
      </c>
      <c r="O57" s="5">
        <v>72.0</v>
      </c>
      <c r="P57" s="5">
        <v>99.0</v>
      </c>
      <c r="Q57" s="5"/>
      <c r="R57" s="1"/>
      <c r="S57" s="1"/>
    </row>
    <row r="58" ht="12.75" customHeight="1">
      <c r="A58" s="1" t="s">
        <v>82</v>
      </c>
      <c r="B58" s="2">
        <v>1.0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</row>
    <row r="59" ht="12.75" customHeight="1">
      <c r="A59" s="1" t="s">
        <v>84</v>
      </c>
      <c r="B59" s="2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</row>
    <row r="60" ht="12.75" customHeight="1">
      <c r="A60" s="1" t="s">
        <v>85</v>
      </c>
      <c r="B60" s="2">
        <v>1.0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</row>
    <row r="61" ht="12.75" customHeight="1">
      <c r="A61" s="1" t="s">
        <v>86</v>
      </c>
      <c r="B61" s="2">
        <v>3.0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</row>
    <row r="62" ht="12.75" customHeight="1">
      <c r="A62" s="1" t="s">
        <v>88</v>
      </c>
      <c r="B62" s="2">
        <v>3.0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</row>
    <row r="63" ht="12.75" customHeight="1">
      <c r="A63" s="1" t="s">
        <v>89</v>
      </c>
      <c r="B63" s="2">
        <v>1.0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</row>
    <row r="64" ht="12.75" customHeight="1">
      <c r="A64" s="1" t="s">
        <v>90</v>
      </c>
      <c r="B64" s="2">
        <v>1.0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</row>
    <row r="65" ht="12.75" customHeight="1">
      <c r="A65" s="1" t="s">
        <v>92</v>
      </c>
      <c r="B65" s="2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  <c r="S65" s="1"/>
    </row>
    <row r="66" ht="12.75" customHeight="1">
      <c r="A66" s="1" t="s">
        <v>93</v>
      </c>
      <c r="B66" s="2">
        <v>4.0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1" t="s">
        <v>94</v>
      </c>
      <c r="B67" s="2">
        <v>2.0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1" t="s">
        <v>95</v>
      </c>
      <c r="B68" s="2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2.75" customHeight="1">
      <c r="A69" s="1" t="s">
        <v>96</v>
      </c>
      <c r="B69" s="2">
        <v>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2.75" customHeight="1">
      <c r="A70" s="1" t="s">
        <v>97</v>
      </c>
      <c r="B70" s="2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2.75" customHeight="1">
      <c r="A71" s="1" t="s">
        <v>98</v>
      </c>
      <c r="B71" s="2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2.75" customHeight="1">
      <c r="A72" s="1" t="s">
        <v>99</v>
      </c>
      <c r="B72" s="2">
        <v>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2.75" customHeight="1">
      <c r="A73" s="1" t="s">
        <v>100</v>
      </c>
      <c r="B73" s="2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2.75" customHeight="1">
      <c r="A74" s="1" t="s">
        <v>101</v>
      </c>
      <c r="B74" s="2">
        <v>1.0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2.75" customHeight="1">
      <c r="A75" s="1" t="s">
        <v>102</v>
      </c>
      <c r="B75" s="2">
        <v>1.0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2.75" customHeight="1">
      <c r="A76" s="1" t="s">
        <v>103</v>
      </c>
      <c r="B76" s="2">
        <v>1.0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2.75" customHeight="1">
      <c r="A77" s="1" t="s">
        <v>104</v>
      </c>
      <c r="B77" s="2">
        <v>3.0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2.75" customHeight="1">
      <c r="A78" s="1" t="s">
        <v>105</v>
      </c>
      <c r="B78" s="2">
        <v>3.0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2.75" customHeight="1">
      <c r="A79" s="1" t="s">
        <v>106</v>
      </c>
      <c r="B79" s="2">
        <v>3.0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2.75" customHeight="1">
      <c r="A80" s="1" t="s">
        <v>107</v>
      </c>
      <c r="B80" s="2">
        <v>3.0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2.75" customHeight="1">
      <c r="A81" s="1" t="s">
        <v>108</v>
      </c>
      <c r="B81" s="2">
        <v>4.0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2.75" customHeight="1">
      <c r="A82" s="1" t="s">
        <v>109</v>
      </c>
      <c r="B82" s="2">
        <v>4.0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ht="12.75" customHeight="1">
      <c r="A83" s="1" t="s">
        <v>110</v>
      </c>
      <c r="B83" s="2">
        <v>4.0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ht="12.75" customHeight="1">
      <c r="A84" s="1" t="s">
        <v>111</v>
      </c>
      <c r="B84" s="2">
        <v>3.0</v>
      </c>
    </row>
    <row r="85" ht="12.75" customHeight="1">
      <c r="A85" s="1" t="s">
        <v>112</v>
      </c>
      <c r="B85" s="2">
        <v>2.0</v>
      </c>
    </row>
    <row r="86" ht="12.75" customHeight="1">
      <c r="A86" s="1" t="s">
        <v>113</v>
      </c>
      <c r="B86" s="2">
        <v>3.0</v>
      </c>
    </row>
    <row r="87" ht="12.75" customHeight="1">
      <c r="A87" s="1" t="s">
        <v>114</v>
      </c>
      <c r="B87" s="2">
        <v>4.0</v>
      </c>
    </row>
    <row r="88" ht="12.75" customHeight="1">
      <c r="A88" s="1" t="s">
        <v>115</v>
      </c>
      <c r="B88" s="2">
        <v>3.0</v>
      </c>
    </row>
    <row r="89" ht="12.75" customHeight="1">
      <c r="A89" s="1" t="s">
        <v>116</v>
      </c>
      <c r="B89" s="2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2">
        <v>4.0</v>
      </c>
      <c r="D1" s="3" t="s">
        <v>1</v>
      </c>
      <c r="E1" s="4">
        <v>55.0</v>
      </c>
    </row>
    <row r="2" ht="12.75" customHeight="1">
      <c r="A2" s="1" t="s">
        <v>2</v>
      </c>
      <c r="B2" s="2">
        <v>4.0</v>
      </c>
      <c r="D2" s="3" t="s">
        <v>3</v>
      </c>
      <c r="E2" s="4">
        <v>55.0</v>
      </c>
      <c r="G2" s="5"/>
      <c r="H2" s="5"/>
      <c r="I2" s="5"/>
      <c r="J2" s="6"/>
    </row>
    <row r="3" ht="12.75" customHeight="1">
      <c r="A3" s="1" t="s">
        <v>4</v>
      </c>
      <c r="B3" s="2">
        <v>3.0</v>
      </c>
      <c r="D3" s="3" t="s">
        <v>5</v>
      </c>
      <c r="E3" s="4">
        <v>41.0</v>
      </c>
      <c r="G3" s="7"/>
      <c r="H3" s="7">
        <f>COUNTIF(B1:B89,"3")</f>
        <v>13</v>
      </c>
      <c r="I3" s="7"/>
      <c r="J3" s="6"/>
    </row>
    <row r="4" ht="12.75" customHeight="1">
      <c r="A4" s="1" t="s">
        <v>6</v>
      </c>
      <c r="B4" s="2">
        <v>1.0</v>
      </c>
      <c r="D4" s="3" t="s">
        <v>7</v>
      </c>
      <c r="E4" s="4">
        <v>19.0</v>
      </c>
      <c r="G4" s="7"/>
      <c r="H4" s="7">
        <f>COUNTIF(B1:B89,"4")</f>
        <v>36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4">
        <v>21.0</v>
      </c>
      <c r="G5" s="7"/>
      <c r="H5" s="7">
        <f>SUM(H3:H4)</f>
        <v>49</v>
      </c>
      <c r="I5" s="7"/>
      <c r="J5" s="6"/>
    </row>
    <row r="6" ht="12.75" customHeight="1">
      <c r="A6" s="1" t="s">
        <v>10</v>
      </c>
      <c r="B6" s="2">
        <v>4.0</v>
      </c>
      <c r="D6" s="3" t="s">
        <v>11</v>
      </c>
      <c r="E6" s="4">
        <v>28.0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191</v>
      </c>
    </row>
    <row r="8" ht="12.75" customHeight="1">
      <c r="A8" s="1" t="s">
        <v>14</v>
      </c>
      <c r="B8" s="1">
        <v>4.0</v>
      </c>
      <c r="D8" s="3" t="s">
        <v>15</v>
      </c>
      <c r="E8" s="4">
        <v>60.0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2.0</v>
      </c>
      <c r="D10" s="3" t="s">
        <v>1</v>
      </c>
      <c r="E10" s="4">
        <v>55.0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3.0</v>
      </c>
      <c r="D11" s="3" t="s">
        <v>3</v>
      </c>
      <c r="E11" s="4">
        <v>55.0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4.0</v>
      </c>
      <c r="D12" s="3" t="s">
        <v>5</v>
      </c>
      <c r="E12" s="4">
        <v>41.0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4">
        <v>19.0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2.0</v>
      </c>
      <c r="D14" s="3" t="s">
        <v>9</v>
      </c>
      <c r="E14" s="4">
        <v>21.0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4.0</v>
      </c>
      <c r="D15" s="3" t="s">
        <v>11</v>
      </c>
      <c r="E15" s="4">
        <v>28.0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4">
        <v>191.0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4">
        <v>60.0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2.0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4.0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2">
        <v>4.0</v>
      </c>
      <c r="D21" s="3" t="s">
        <v>1</v>
      </c>
      <c r="E21" s="3" t="str">
        <f>VLOOKUP(E10,D39:E64,2,1)</f>
        <v>SEM SIGNIFICÂNCIA CLINICA</v>
      </c>
    </row>
    <row r="22" ht="12.75" customHeight="1">
      <c r="A22" s="1" t="s">
        <v>35</v>
      </c>
      <c r="B22" s="2">
        <v>2.0</v>
      </c>
      <c r="D22" s="3" t="s">
        <v>3</v>
      </c>
      <c r="E22" s="3" t="str">
        <f>VLOOKUP(E11,D39:E64,2,1)</f>
        <v>SEM SIGNIFICÂNCIA CLINICA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SEM SIGNIFICÂNCIA CLINICA</v>
      </c>
    </row>
    <row r="24" ht="12.75" customHeight="1">
      <c r="A24" s="1" t="s">
        <v>37</v>
      </c>
      <c r="B24" s="2">
        <v>4.0</v>
      </c>
      <c r="D24" s="3" t="s">
        <v>7</v>
      </c>
      <c r="E24" s="3" t="str">
        <f>VLOOKUP(E13,D39:E64,2,1)</f>
        <v>SEM SIGNIFICÂNCIA CLINICA</v>
      </c>
    </row>
    <row r="25" ht="12.75" customHeight="1">
      <c r="A25" s="1" t="s">
        <v>38</v>
      </c>
      <c r="B25" s="2">
        <v>2.0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2">
        <v>4.0</v>
      </c>
      <c r="D26" s="3" t="s">
        <v>11</v>
      </c>
      <c r="E26" s="3" t="str">
        <f>VLOOKUP(E15,D39:E64,2,1)</f>
        <v>SEM SIGNIFICÂNCIA CLINICA</v>
      </c>
    </row>
    <row r="27" ht="12.75" customHeight="1">
      <c r="A27" s="1" t="s">
        <v>40</v>
      </c>
      <c r="B27" s="2">
        <v>1.0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2">
        <v>1.0</v>
      </c>
      <c r="D28" s="3" t="s">
        <v>15</v>
      </c>
      <c r="E28" s="3" t="str">
        <f>VLOOKUP(E17,D39:E64,2,1)</f>
        <v>SEM SIGNIFICÂNCIA CLINICA</v>
      </c>
    </row>
    <row r="29" ht="12.75" customHeight="1">
      <c r="A29" s="1" t="s">
        <v>42</v>
      </c>
      <c r="B29" s="2">
        <v>2.0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2">
        <v>2.0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2">
        <v>4.0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 t="s">
        <v>45</v>
      </c>
      <c r="B32" s="1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2.75" customHeight="1">
      <c r="A33" s="1" t="s">
        <v>46</v>
      </c>
      <c r="B33" s="2">
        <v>2.0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2.75" customHeight="1">
      <c r="A34" s="1" t="s">
        <v>47</v>
      </c>
      <c r="B34" s="2">
        <v>4.0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2.75" customHeight="1">
      <c r="A35" s="1" t="s">
        <v>48</v>
      </c>
      <c r="B35" s="2">
        <v>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2.75" customHeight="1">
      <c r="A36" s="1" t="s">
        <v>49</v>
      </c>
      <c r="B36" s="2">
        <v>4.0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</row>
    <row r="37" ht="12.75" customHeight="1">
      <c r="A37" s="1" t="s">
        <v>58</v>
      </c>
      <c r="B37" s="2">
        <v>1.0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</row>
    <row r="38" ht="12.75" customHeight="1">
      <c r="A38" s="1" t="s">
        <v>59</v>
      </c>
      <c r="B38" s="2">
        <v>2.0</v>
      </c>
      <c r="D38" s="5"/>
      <c r="E38" s="5"/>
      <c r="F38" s="5"/>
      <c r="G38" s="5"/>
      <c r="H38" s="5">
        <v>24.0</v>
      </c>
      <c r="I38" s="5">
        <v>26.0</v>
      </c>
      <c r="J38" s="5">
        <v>21.0</v>
      </c>
      <c r="K38" s="5">
        <v>12.0</v>
      </c>
      <c r="L38" s="5">
        <v>14.0</v>
      </c>
      <c r="M38" s="5">
        <v>12.0</v>
      </c>
      <c r="N38" s="5">
        <v>102.0</v>
      </c>
      <c r="O38" s="5">
        <v>0.0</v>
      </c>
      <c r="P38" s="5">
        <v>5.0</v>
      </c>
      <c r="Q38" s="5"/>
      <c r="R38" s="5"/>
    </row>
    <row r="39" ht="12.75" customHeight="1">
      <c r="A39" s="1" t="s">
        <v>60</v>
      </c>
      <c r="B39" s="2">
        <v>3.0</v>
      </c>
      <c r="D39" s="5">
        <v>1.0</v>
      </c>
      <c r="E39" s="5" t="s">
        <v>61</v>
      </c>
      <c r="F39" s="5"/>
      <c r="G39" s="5"/>
      <c r="H39" s="5">
        <v>26.0</v>
      </c>
      <c r="I39" s="5">
        <v>27.0</v>
      </c>
      <c r="J39" s="5">
        <v>22.0</v>
      </c>
      <c r="K39" s="5">
        <v>13.0</v>
      </c>
      <c r="L39" s="5">
        <v>14.0</v>
      </c>
      <c r="M39" s="5">
        <v>13.0</v>
      </c>
      <c r="N39" s="5">
        <v>108.0</v>
      </c>
      <c r="O39" s="5">
        <v>1.0</v>
      </c>
      <c r="P39" s="5">
        <v>10.0</v>
      </c>
      <c r="Q39" s="5"/>
      <c r="R39" s="5"/>
    </row>
    <row r="40" ht="12.75" customHeight="1">
      <c r="A40" s="1" t="s">
        <v>62</v>
      </c>
      <c r="B40" s="2">
        <v>2.0</v>
      </c>
      <c r="D40" s="5">
        <v>75.0</v>
      </c>
      <c r="E40" s="5" t="s">
        <v>61</v>
      </c>
      <c r="F40" s="5"/>
      <c r="G40" s="5"/>
      <c r="H40" s="5">
        <v>28.0</v>
      </c>
      <c r="I40" s="5">
        <v>27.0</v>
      </c>
      <c r="J40" s="5">
        <v>23.0</v>
      </c>
      <c r="K40" s="5">
        <v>13.0</v>
      </c>
      <c r="L40" s="5">
        <v>15.0</v>
      </c>
      <c r="M40" s="5">
        <v>14.0</v>
      </c>
      <c r="N40" s="5">
        <v>115.0</v>
      </c>
      <c r="O40" s="5">
        <v>1.0</v>
      </c>
      <c r="P40" s="5">
        <v>15.0</v>
      </c>
      <c r="Q40" s="5"/>
      <c r="R40" s="5"/>
    </row>
    <row r="41" ht="12.75" customHeight="1">
      <c r="A41" s="1" t="s">
        <v>63</v>
      </c>
      <c r="B41" s="2">
        <v>4.0</v>
      </c>
      <c r="D41" s="5">
        <v>76.0</v>
      </c>
      <c r="E41" s="5" t="s">
        <v>64</v>
      </c>
      <c r="F41" s="5"/>
      <c r="G41" s="5"/>
      <c r="H41" s="5">
        <v>29.0</v>
      </c>
      <c r="I41" s="5">
        <v>28.0</v>
      </c>
      <c r="J41" s="5">
        <v>24.0</v>
      </c>
      <c r="K41" s="5">
        <v>13.0</v>
      </c>
      <c r="L41" s="5">
        <v>15.0</v>
      </c>
      <c r="M41" s="5">
        <v>15.0</v>
      </c>
      <c r="N41" s="5">
        <v>121.0</v>
      </c>
      <c r="O41" s="5">
        <v>2.0</v>
      </c>
      <c r="P41" s="5">
        <v>20.0</v>
      </c>
      <c r="Q41" s="5"/>
      <c r="R41" s="5"/>
    </row>
    <row r="42" ht="12.75" customHeight="1">
      <c r="A42" s="1" t="s">
        <v>65</v>
      </c>
      <c r="B42" s="2">
        <v>2.0</v>
      </c>
      <c r="D42" s="5">
        <v>77.0</v>
      </c>
      <c r="E42" s="5" t="s">
        <v>64</v>
      </c>
      <c r="F42" s="5"/>
      <c r="G42" s="5"/>
      <c r="H42" s="5">
        <v>31.0</v>
      </c>
      <c r="I42" s="5">
        <v>31.0</v>
      </c>
      <c r="J42" s="5">
        <v>24.0</v>
      </c>
      <c r="K42" s="5">
        <v>14.0</v>
      </c>
      <c r="L42" s="5">
        <v>17.0</v>
      </c>
      <c r="M42" s="5">
        <v>16.0</v>
      </c>
      <c r="N42" s="5">
        <v>123.0</v>
      </c>
      <c r="O42" s="5">
        <v>3.0</v>
      </c>
      <c r="P42" s="5">
        <v>25.0</v>
      </c>
      <c r="Q42" s="5"/>
      <c r="R42" s="5"/>
    </row>
    <row r="43" ht="12.75" customHeight="1">
      <c r="A43" s="1" t="s">
        <v>66</v>
      </c>
      <c r="B43" s="2">
        <v>2.0</v>
      </c>
      <c r="D43" s="5">
        <v>78.0</v>
      </c>
      <c r="E43" s="5" t="s">
        <v>64</v>
      </c>
      <c r="F43" s="5"/>
      <c r="G43" s="5"/>
      <c r="H43" s="5">
        <v>32.0</v>
      </c>
      <c r="I43" s="5">
        <v>32.0</v>
      </c>
      <c r="J43" s="5">
        <v>26.0</v>
      </c>
      <c r="K43" s="5">
        <v>14.0</v>
      </c>
      <c r="L43" s="5">
        <v>18.0</v>
      </c>
      <c r="M43" s="5">
        <v>16.0</v>
      </c>
      <c r="N43" s="5">
        <v>128.0</v>
      </c>
      <c r="O43" s="5">
        <v>5.0</v>
      </c>
      <c r="P43" s="5">
        <v>30.0</v>
      </c>
      <c r="Q43" s="5"/>
      <c r="R43" s="5"/>
    </row>
    <row r="44" ht="12.75" customHeight="1">
      <c r="A44" s="1" t="s">
        <v>67</v>
      </c>
      <c r="B44" s="2">
        <v>4.0</v>
      </c>
      <c r="D44" s="5">
        <v>79.0</v>
      </c>
      <c r="E44" s="5" t="s">
        <v>64</v>
      </c>
      <c r="F44" s="5"/>
      <c r="G44" s="5"/>
      <c r="H44" s="5">
        <v>33.0</v>
      </c>
      <c r="I44" s="5">
        <v>33.0</v>
      </c>
      <c r="J44" s="5">
        <v>27.0</v>
      </c>
      <c r="K44" s="5">
        <v>15.0</v>
      </c>
      <c r="L44" s="5">
        <v>19.0</v>
      </c>
      <c r="M44" s="5">
        <v>17.0</v>
      </c>
      <c r="N44" s="5">
        <v>131.0</v>
      </c>
      <c r="O44" s="5">
        <v>6.0</v>
      </c>
      <c r="P44" s="5">
        <v>35.0</v>
      </c>
      <c r="Q44" s="5"/>
      <c r="R44" s="5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34.0</v>
      </c>
      <c r="I45" s="5">
        <v>34.0</v>
      </c>
      <c r="J45" s="5">
        <v>28.0</v>
      </c>
      <c r="K45" s="5">
        <v>15.0</v>
      </c>
      <c r="L45" s="5">
        <v>19.0</v>
      </c>
      <c r="M45" s="5">
        <v>17.0</v>
      </c>
      <c r="N45" s="5">
        <v>135.0</v>
      </c>
      <c r="O45" s="5">
        <v>8.0</v>
      </c>
      <c r="P45" s="5">
        <v>40.0</v>
      </c>
      <c r="Q45" s="5"/>
      <c r="R45" s="5"/>
    </row>
    <row r="46" ht="12.75" customHeight="1">
      <c r="A46" s="1" t="s">
        <v>69</v>
      </c>
      <c r="B46" s="2">
        <v>4.0</v>
      </c>
      <c r="D46" s="5">
        <v>81.0</v>
      </c>
      <c r="E46" s="5" t="s">
        <v>64</v>
      </c>
      <c r="F46" s="5"/>
      <c r="G46" s="5"/>
      <c r="H46" s="5">
        <v>35.0</v>
      </c>
      <c r="I46" s="5">
        <v>37.0</v>
      </c>
      <c r="J46" s="5">
        <v>29.0</v>
      </c>
      <c r="K46" s="5">
        <v>16.0</v>
      </c>
      <c r="L46" s="5">
        <v>22.0</v>
      </c>
      <c r="M46" s="5">
        <v>18.0</v>
      </c>
      <c r="N46" s="5">
        <v>140.0</v>
      </c>
      <c r="O46" s="5">
        <v>10.0</v>
      </c>
      <c r="P46" s="5">
        <v>45.0</v>
      </c>
      <c r="Q46" s="5"/>
      <c r="R46" s="5"/>
    </row>
    <row r="47" ht="12.75" customHeight="1">
      <c r="A47" s="1" t="s">
        <v>70</v>
      </c>
      <c r="B47" s="2">
        <v>4.0</v>
      </c>
      <c r="D47" s="5">
        <v>82.0</v>
      </c>
      <c r="E47" s="5" t="s">
        <v>64</v>
      </c>
      <c r="F47" s="5"/>
      <c r="G47" s="5"/>
      <c r="H47" s="5">
        <v>37.0</v>
      </c>
      <c r="I47" s="5">
        <v>39.0</v>
      </c>
      <c r="J47" s="5">
        <v>31.0</v>
      </c>
      <c r="K47" s="5">
        <v>17.0</v>
      </c>
      <c r="L47" s="5">
        <v>23.0</v>
      </c>
      <c r="M47" s="5">
        <v>18.0</v>
      </c>
      <c r="N47" s="5">
        <v>145.0</v>
      </c>
      <c r="O47" s="5">
        <v>12.0</v>
      </c>
      <c r="P47" s="5">
        <v>50.0</v>
      </c>
      <c r="Q47" s="5"/>
      <c r="R47" s="5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38.0</v>
      </c>
      <c r="I48" s="5">
        <v>40.0</v>
      </c>
      <c r="J48" s="5">
        <v>31.0</v>
      </c>
      <c r="K48" s="5">
        <v>17.0</v>
      </c>
      <c r="L48" s="5">
        <v>24.0</v>
      </c>
      <c r="M48" s="5">
        <v>19.0</v>
      </c>
      <c r="N48" s="5">
        <v>151.0</v>
      </c>
      <c r="O48" s="5">
        <v>14.0</v>
      </c>
      <c r="P48" s="5">
        <v>55.0</v>
      </c>
      <c r="Q48" s="5"/>
      <c r="R48" s="5"/>
    </row>
    <row r="49" ht="12.75" customHeight="1">
      <c r="A49" s="1" t="s">
        <v>72</v>
      </c>
      <c r="B49" s="2">
        <v>4.0</v>
      </c>
      <c r="D49" s="5">
        <v>84.0</v>
      </c>
      <c r="E49" s="5" t="s">
        <v>64</v>
      </c>
      <c r="F49" s="5"/>
      <c r="G49" s="5"/>
      <c r="H49" s="5">
        <v>40.0</v>
      </c>
      <c r="I49" s="5">
        <v>41.0</v>
      </c>
      <c r="J49" s="5">
        <v>32.0</v>
      </c>
      <c r="K49" s="5">
        <v>18.0</v>
      </c>
      <c r="L49" s="5">
        <v>25.0</v>
      </c>
      <c r="M49" s="5">
        <v>19.0</v>
      </c>
      <c r="N49" s="5">
        <v>157.0</v>
      </c>
      <c r="O49" s="5">
        <v>17.0</v>
      </c>
      <c r="P49" s="5">
        <v>60.0</v>
      </c>
      <c r="Q49" s="5"/>
      <c r="R49" s="5"/>
    </row>
    <row r="50" ht="12.75" customHeight="1">
      <c r="A50" s="1" t="s">
        <v>73</v>
      </c>
      <c r="B50" s="2">
        <v>4.0</v>
      </c>
      <c r="D50" s="5">
        <v>85.0</v>
      </c>
      <c r="E50" s="5" t="s">
        <v>74</v>
      </c>
      <c r="F50" s="5"/>
      <c r="G50" s="5"/>
      <c r="H50" s="5">
        <v>42.0</v>
      </c>
      <c r="I50" s="5">
        <v>42.0</v>
      </c>
      <c r="J50" s="5">
        <v>34.0</v>
      </c>
      <c r="K50" s="5">
        <v>18.0</v>
      </c>
      <c r="L50" s="5">
        <v>26.0</v>
      </c>
      <c r="M50" s="5">
        <v>20.0</v>
      </c>
      <c r="N50" s="5">
        <v>167.0</v>
      </c>
      <c r="O50" s="5">
        <v>21.0</v>
      </c>
      <c r="P50" s="5">
        <v>65.0</v>
      </c>
      <c r="Q50" s="5"/>
      <c r="R50" s="5"/>
    </row>
    <row r="51" ht="12.75" customHeight="1">
      <c r="A51" s="1" t="s">
        <v>75</v>
      </c>
      <c r="B51" s="2">
        <v>4.0</v>
      </c>
      <c r="D51" s="5">
        <v>86.0</v>
      </c>
      <c r="E51" s="5" t="s">
        <v>74</v>
      </c>
      <c r="F51" s="5"/>
      <c r="G51" s="5"/>
      <c r="H51" s="5">
        <v>44.0</v>
      </c>
      <c r="I51" s="5">
        <v>46.0</v>
      </c>
      <c r="J51" s="5">
        <v>35.0</v>
      </c>
      <c r="K51" s="5">
        <v>20.0</v>
      </c>
      <c r="L51" s="5">
        <v>27.0</v>
      </c>
      <c r="M51" s="5">
        <v>22.0</v>
      </c>
      <c r="N51" s="5">
        <v>172.0</v>
      </c>
      <c r="O51" s="5">
        <v>23.0</v>
      </c>
      <c r="P51" s="5">
        <v>70.0</v>
      </c>
      <c r="Q51" s="5"/>
      <c r="R51" s="5"/>
    </row>
    <row r="52" ht="12.75" customHeight="1">
      <c r="A52" s="1" t="s">
        <v>76</v>
      </c>
      <c r="B52" s="2">
        <v>4.0</v>
      </c>
      <c r="D52" s="5">
        <v>87.0</v>
      </c>
      <c r="E52" s="5" t="s">
        <v>74</v>
      </c>
      <c r="F52" s="5"/>
      <c r="G52" s="5"/>
      <c r="H52" s="5">
        <v>47.0</v>
      </c>
      <c r="I52" s="5">
        <v>49.0</v>
      </c>
      <c r="J52" s="5">
        <v>37.0</v>
      </c>
      <c r="K52" s="5">
        <v>22.0</v>
      </c>
      <c r="L52" s="5">
        <v>28.0</v>
      </c>
      <c r="M52" s="5">
        <v>23.0</v>
      </c>
      <c r="N52" s="5">
        <v>179.0</v>
      </c>
      <c r="O52" s="5">
        <v>27.0</v>
      </c>
      <c r="P52" s="5">
        <v>75.0</v>
      </c>
      <c r="Q52" s="5"/>
      <c r="R52" s="5"/>
    </row>
    <row r="53" ht="12.75" customHeight="1">
      <c r="A53" s="1" t="s">
        <v>77</v>
      </c>
      <c r="B53" s="2">
        <v>4.0</v>
      </c>
      <c r="D53" s="5">
        <v>88.0</v>
      </c>
      <c r="E53" s="5" t="s">
        <v>74</v>
      </c>
      <c r="F53" s="5"/>
      <c r="G53" s="5"/>
      <c r="H53" s="5">
        <v>51.0</v>
      </c>
      <c r="I53" s="5">
        <v>51.0</v>
      </c>
      <c r="J53" s="5">
        <v>39.0</v>
      </c>
      <c r="K53" s="5">
        <v>24.0</v>
      </c>
      <c r="L53" s="5">
        <v>30.0</v>
      </c>
      <c r="M53" s="5">
        <v>24.0</v>
      </c>
      <c r="N53" s="5">
        <v>185.0</v>
      </c>
      <c r="O53" s="5">
        <v>30.0</v>
      </c>
      <c r="P53" s="5">
        <v>80.0</v>
      </c>
      <c r="Q53" s="5"/>
      <c r="R53" s="5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54.0</v>
      </c>
      <c r="I54" s="5">
        <v>57.0</v>
      </c>
      <c r="J54" s="5">
        <v>42.0</v>
      </c>
      <c r="K54" s="5">
        <v>26.0</v>
      </c>
      <c r="L54" s="5">
        <v>31.0</v>
      </c>
      <c r="M54" s="5">
        <v>25.0</v>
      </c>
      <c r="N54" s="5">
        <v>198.0</v>
      </c>
      <c r="O54" s="5">
        <v>36.0</v>
      </c>
      <c r="P54" s="5">
        <v>85.0</v>
      </c>
      <c r="Q54" s="5"/>
      <c r="R54" s="5"/>
    </row>
    <row r="55" ht="12.75" customHeight="1">
      <c r="A55" s="1" t="s">
        <v>79</v>
      </c>
      <c r="B55" s="2">
        <v>2.0</v>
      </c>
      <c r="D55" s="5">
        <v>90.0</v>
      </c>
      <c r="E55" s="5" t="s">
        <v>74</v>
      </c>
      <c r="F55" s="5"/>
      <c r="G55" s="5"/>
      <c r="H55" s="5">
        <v>59.0</v>
      </c>
      <c r="I55" s="5">
        <v>61.0</v>
      </c>
      <c r="J55" s="5">
        <v>46.0</v>
      </c>
      <c r="K55" s="5">
        <v>31.0</v>
      </c>
      <c r="L55" s="5">
        <v>33.0</v>
      </c>
      <c r="M55" s="5">
        <v>28.0</v>
      </c>
      <c r="N55" s="5">
        <v>212.0</v>
      </c>
      <c r="O55" s="5">
        <v>45.0</v>
      </c>
      <c r="P55" s="5">
        <v>90.0</v>
      </c>
      <c r="Q55" s="5"/>
      <c r="R55" s="5"/>
    </row>
    <row r="56" ht="12.75" customHeight="1">
      <c r="A56" s="1" t="s">
        <v>80</v>
      </c>
      <c r="B56" s="2">
        <v>4.0</v>
      </c>
      <c r="D56" s="5">
        <v>91.0</v>
      </c>
      <c r="E56" s="5" t="s">
        <v>74</v>
      </c>
      <c r="F56" s="5"/>
      <c r="G56" s="5"/>
      <c r="H56" s="5">
        <v>65.0</v>
      </c>
      <c r="I56" s="5">
        <v>72.0</v>
      </c>
      <c r="J56" s="5">
        <v>53.0</v>
      </c>
      <c r="K56" s="5">
        <v>34.0</v>
      </c>
      <c r="L56" s="5">
        <v>39.0</v>
      </c>
      <c r="M56" s="5">
        <v>32.0</v>
      </c>
      <c r="N56" s="5">
        <v>250.0</v>
      </c>
      <c r="O56" s="5">
        <v>58.0</v>
      </c>
      <c r="P56" s="5">
        <v>95.0</v>
      </c>
      <c r="Q56" s="5"/>
      <c r="R56" s="5"/>
    </row>
    <row r="57" ht="12.75" customHeight="1">
      <c r="A57" s="1" t="s">
        <v>81</v>
      </c>
      <c r="B57" s="2">
        <v>2.0</v>
      </c>
      <c r="D57" s="5">
        <v>92.0</v>
      </c>
      <c r="E57" s="5" t="s">
        <v>74</v>
      </c>
      <c r="F57" s="5"/>
      <c r="G57" s="5"/>
      <c r="H57" s="5">
        <v>78.0</v>
      </c>
      <c r="I57" s="5">
        <v>90.0</v>
      </c>
      <c r="J57" s="5">
        <v>64.0</v>
      </c>
      <c r="K57" s="5">
        <v>41.0</v>
      </c>
      <c r="L57" s="5">
        <v>50.0</v>
      </c>
      <c r="M57" s="5">
        <v>38.0</v>
      </c>
      <c r="N57" s="5">
        <v>310.0</v>
      </c>
      <c r="O57" s="5">
        <v>80.0</v>
      </c>
      <c r="P57" s="5">
        <v>99.0</v>
      </c>
      <c r="Q57" s="5"/>
      <c r="R57" s="5"/>
    </row>
    <row r="58" ht="12.75" customHeight="1">
      <c r="A58" s="1" t="s">
        <v>82</v>
      </c>
      <c r="B58" s="2">
        <v>4.0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2.75" customHeight="1">
      <c r="A60" s="1" t="s">
        <v>85</v>
      </c>
      <c r="B60" s="2">
        <v>4.0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2.75" customHeight="1">
      <c r="A62" s="1" t="s">
        <v>88</v>
      </c>
      <c r="B62" s="2">
        <v>1.0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2.75" customHeight="1">
      <c r="A63" s="1" t="s">
        <v>89</v>
      </c>
      <c r="B63" s="2">
        <v>2.0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2.75" customHeight="1">
      <c r="A64" s="1" t="s">
        <v>90</v>
      </c>
      <c r="B64" s="2">
        <v>4.0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2.75" customHeight="1">
      <c r="A65" s="1" t="s">
        <v>92</v>
      </c>
      <c r="B65" s="2">
        <v>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2.75" customHeight="1">
      <c r="A66" s="1" t="s">
        <v>93</v>
      </c>
      <c r="B66" s="2">
        <v>3.0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2.75" customHeight="1">
      <c r="A69" s="1" t="s">
        <v>96</v>
      </c>
      <c r="B69" s="2">
        <v>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2.75" customHeight="1">
      <c r="A70" s="1" t="s">
        <v>97</v>
      </c>
      <c r="B70" s="2">
        <v>4.0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2.75" customHeight="1">
      <c r="A71" s="1" t="s">
        <v>98</v>
      </c>
      <c r="B71" s="2">
        <v>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2.75" customHeight="1">
      <c r="A72" s="1" t="s">
        <v>99</v>
      </c>
      <c r="B72" s="2">
        <v>4.0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2.75" customHeight="1">
      <c r="A73" s="1" t="s">
        <v>100</v>
      </c>
      <c r="B73" s="2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2.75" customHeight="1">
      <c r="A74" s="1" t="s">
        <v>101</v>
      </c>
      <c r="B74" s="2">
        <v>1.0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2.75" customHeight="1">
      <c r="A75" s="1" t="s">
        <v>102</v>
      </c>
      <c r="B75" s="2">
        <v>4.0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2.75" customHeight="1">
      <c r="A76" s="1" t="s">
        <v>103</v>
      </c>
      <c r="B76" s="2">
        <v>2.0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2.75" customHeight="1">
      <c r="A77" s="1" t="s">
        <v>104</v>
      </c>
      <c r="B77" s="2">
        <v>2.0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2.75" customHeight="1">
      <c r="A78" s="1" t="s">
        <v>105</v>
      </c>
      <c r="B78" s="2">
        <v>2.0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2.75" customHeight="1">
      <c r="A79" s="1" t="s">
        <v>106</v>
      </c>
      <c r="B79" s="2">
        <v>1.0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2.75" customHeight="1">
      <c r="A80" s="1" t="s">
        <v>107</v>
      </c>
      <c r="B80" s="2">
        <v>1.0</v>
      </c>
    </row>
    <row r="81" ht="12.75" customHeight="1">
      <c r="A81" s="1" t="s">
        <v>108</v>
      </c>
      <c r="B81" s="2">
        <v>4.0</v>
      </c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2">
        <v>2.0</v>
      </c>
    </row>
    <row r="84" ht="12.75" customHeight="1">
      <c r="A84" s="1" t="s">
        <v>111</v>
      </c>
      <c r="B84" s="2">
        <v>1.0</v>
      </c>
    </row>
    <row r="85" ht="12.75" customHeight="1">
      <c r="A85" s="1" t="s">
        <v>112</v>
      </c>
      <c r="B85" s="2">
        <v>2.0</v>
      </c>
    </row>
    <row r="86" ht="12.75" customHeight="1">
      <c r="A86" s="1" t="s">
        <v>113</v>
      </c>
      <c r="B86" s="2">
        <v>4.0</v>
      </c>
    </row>
    <row r="87" ht="12.75" customHeight="1">
      <c r="A87" s="1" t="s">
        <v>114</v>
      </c>
      <c r="B87" s="2">
        <v>2.0</v>
      </c>
    </row>
    <row r="88" ht="12.75" customHeight="1">
      <c r="A88" s="1" t="s">
        <v>115</v>
      </c>
      <c r="B88" s="2">
        <v>2.0</v>
      </c>
    </row>
    <row r="89" ht="12.75" customHeight="1">
      <c r="A89" s="1" t="s">
        <v>116</v>
      </c>
      <c r="B89" s="2">
        <v>2.0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99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99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99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99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99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DEFICIÊNCIA SEVERA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SEVERA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SEVERA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DEFICIÊNCIA SEVERA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DEFICIÊNCIA SEVERA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DEFICIÊNCIA SEVERA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1">
        <v>4.0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1">
        <v>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 t="s">
        <v>45</v>
      </c>
      <c r="B32" s="1">
        <v>3.0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2.75" customHeight="1">
      <c r="A33" s="1" t="s">
        <v>46</v>
      </c>
      <c r="B33" s="1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2.75" customHeight="1">
      <c r="A34" s="1" t="s">
        <v>47</v>
      </c>
      <c r="B34" s="1">
        <v>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21.0</v>
      </c>
      <c r="I38" s="5">
        <v>26.0</v>
      </c>
      <c r="J38" s="5">
        <v>21.0</v>
      </c>
      <c r="K38" s="5">
        <v>12.0</v>
      </c>
      <c r="L38" s="5">
        <v>14.0</v>
      </c>
      <c r="M38" s="5">
        <v>12.0</v>
      </c>
      <c r="N38" s="5">
        <v>114.0</v>
      </c>
      <c r="O38" s="5">
        <v>1.0</v>
      </c>
      <c r="P38" s="5">
        <v>5.0</v>
      </c>
      <c r="Q38" s="5"/>
      <c r="R38" s="5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22.0</v>
      </c>
      <c r="I39" s="5">
        <v>27.0</v>
      </c>
      <c r="J39" s="5">
        <v>22.0</v>
      </c>
      <c r="K39" s="5">
        <v>12.0</v>
      </c>
      <c r="L39" s="5">
        <v>15.0</v>
      </c>
      <c r="M39" s="5">
        <v>13.0</v>
      </c>
      <c r="N39" s="5">
        <v>115.0</v>
      </c>
      <c r="O39" s="5">
        <v>2.0</v>
      </c>
      <c r="P39" s="5">
        <v>10.0</v>
      </c>
      <c r="Q39" s="5"/>
      <c r="R39" s="5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25.0</v>
      </c>
      <c r="I40" s="5">
        <v>29.0</v>
      </c>
      <c r="J40" s="5">
        <v>23.0</v>
      </c>
      <c r="K40" s="5">
        <v>13.0</v>
      </c>
      <c r="L40" s="5">
        <v>18.0</v>
      </c>
      <c r="M40" s="5">
        <v>14.0</v>
      </c>
      <c r="N40" s="5">
        <v>117.0</v>
      </c>
      <c r="O40" s="5">
        <v>3.0</v>
      </c>
      <c r="P40" s="5">
        <v>15.0</v>
      </c>
      <c r="Q40" s="5"/>
      <c r="R40" s="5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29.0</v>
      </c>
      <c r="I41" s="5">
        <v>31.0</v>
      </c>
      <c r="J41" s="5">
        <v>25.0</v>
      </c>
      <c r="K41" s="5">
        <v>14.0</v>
      </c>
      <c r="L41" s="5">
        <v>19.0</v>
      </c>
      <c r="M41" s="5">
        <v>14.0</v>
      </c>
      <c r="N41" s="5">
        <v>121.0</v>
      </c>
      <c r="O41" s="5">
        <v>5.0</v>
      </c>
      <c r="P41" s="5">
        <v>20.0</v>
      </c>
      <c r="Q41" s="5"/>
      <c r="R41" s="5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32.0</v>
      </c>
      <c r="I42" s="5">
        <v>33.0</v>
      </c>
      <c r="J42" s="5">
        <v>26.0</v>
      </c>
      <c r="K42" s="5">
        <v>14.0</v>
      </c>
      <c r="L42" s="5">
        <v>19.0</v>
      </c>
      <c r="M42" s="5">
        <v>14.0</v>
      </c>
      <c r="N42" s="5">
        <v>126.0</v>
      </c>
      <c r="O42" s="5">
        <v>6.0</v>
      </c>
      <c r="P42" s="5">
        <v>25.0</v>
      </c>
      <c r="Q42" s="5"/>
      <c r="R42" s="5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32.0</v>
      </c>
      <c r="I43" s="5">
        <v>33.0</v>
      </c>
      <c r="J43" s="5">
        <v>27.0</v>
      </c>
      <c r="K43" s="5">
        <v>15.0</v>
      </c>
      <c r="L43" s="5">
        <v>20.0</v>
      </c>
      <c r="M43" s="5">
        <v>15.0</v>
      </c>
      <c r="N43" s="5">
        <v>132.0</v>
      </c>
      <c r="O43" s="5">
        <v>8.0</v>
      </c>
      <c r="P43" s="5">
        <v>30.0</v>
      </c>
      <c r="Q43" s="5"/>
      <c r="R43" s="5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34.0</v>
      </c>
      <c r="I44" s="5">
        <v>34.0</v>
      </c>
      <c r="J44" s="5">
        <v>27.0</v>
      </c>
      <c r="K44" s="5">
        <v>15.0</v>
      </c>
      <c r="L44" s="5">
        <v>21.0</v>
      </c>
      <c r="M44" s="5">
        <v>16.0</v>
      </c>
      <c r="N44" s="5">
        <v>136.0</v>
      </c>
      <c r="O44" s="5">
        <v>10.0</v>
      </c>
      <c r="P44" s="5">
        <v>35.0</v>
      </c>
      <c r="Q44" s="5"/>
      <c r="R44" s="5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35.0</v>
      </c>
      <c r="I45" s="5">
        <v>35.0</v>
      </c>
      <c r="J45" s="5">
        <v>28.0</v>
      </c>
      <c r="K45" s="5">
        <v>15.0</v>
      </c>
      <c r="L45" s="5">
        <v>21.0</v>
      </c>
      <c r="M45" s="5">
        <v>16.0</v>
      </c>
      <c r="N45" s="5">
        <v>139.0</v>
      </c>
      <c r="O45" s="5">
        <v>12.0</v>
      </c>
      <c r="P45" s="5">
        <v>40.0</v>
      </c>
      <c r="Q45" s="5"/>
      <c r="R45" s="5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36.0</v>
      </c>
      <c r="I46" s="5">
        <v>35.0</v>
      </c>
      <c r="J46" s="5">
        <v>30.0</v>
      </c>
      <c r="K46" s="5">
        <v>16.0</v>
      </c>
      <c r="L46" s="5">
        <v>23.0</v>
      </c>
      <c r="M46" s="5">
        <v>18.0</v>
      </c>
      <c r="N46" s="5">
        <v>141.0</v>
      </c>
      <c r="O46" s="5">
        <v>13.0</v>
      </c>
      <c r="P46" s="5">
        <v>45.0</v>
      </c>
      <c r="Q46" s="5"/>
      <c r="R46" s="5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37.0</v>
      </c>
      <c r="I47" s="5">
        <v>36.0</v>
      </c>
      <c r="J47" s="5">
        <v>31.0</v>
      </c>
      <c r="K47" s="5">
        <v>16.0</v>
      </c>
      <c r="L47" s="5">
        <v>23.0</v>
      </c>
      <c r="M47" s="5">
        <v>18.0</v>
      </c>
      <c r="N47" s="5">
        <v>144.0</v>
      </c>
      <c r="O47" s="5">
        <v>15.0</v>
      </c>
      <c r="P47" s="5">
        <v>50.0</v>
      </c>
      <c r="Q47" s="5"/>
      <c r="R47" s="5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37.0</v>
      </c>
      <c r="I48" s="5">
        <v>37.0</v>
      </c>
      <c r="J48" s="5">
        <v>32.0</v>
      </c>
      <c r="K48" s="5">
        <v>16.0</v>
      </c>
      <c r="L48" s="5">
        <v>23.0</v>
      </c>
      <c r="M48" s="5">
        <v>18.0</v>
      </c>
      <c r="N48" s="5">
        <v>146.0</v>
      </c>
      <c r="O48" s="5">
        <v>18.0</v>
      </c>
      <c r="P48" s="5">
        <v>55.0</v>
      </c>
      <c r="Q48" s="5"/>
      <c r="R48" s="5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37.0</v>
      </c>
      <c r="I49" s="5">
        <v>39.0</v>
      </c>
      <c r="J49" s="5">
        <v>33.0</v>
      </c>
      <c r="K49" s="5">
        <v>18.0</v>
      </c>
      <c r="L49" s="5">
        <v>23.0</v>
      </c>
      <c r="M49" s="5">
        <v>19.0</v>
      </c>
      <c r="N49" s="5">
        <v>147.0</v>
      </c>
      <c r="O49" s="5">
        <v>21.0</v>
      </c>
      <c r="P49" s="5">
        <v>60.0</v>
      </c>
      <c r="Q49" s="5"/>
      <c r="R49" s="5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38.0</v>
      </c>
      <c r="I50" s="5">
        <v>40.0</v>
      </c>
      <c r="J50" s="5">
        <v>34.0</v>
      </c>
      <c r="K50" s="5">
        <v>18.0</v>
      </c>
      <c r="L50" s="5">
        <v>24.0</v>
      </c>
      <c r="M50" s="5">
        <v>19.0</v>
      </c>
      <c r="N50" s="5">
        <v>148.0</v>
      </c>
      <c r="O50" s="5">
        <v>23.0</v>
      </c>
      <c r="P50" s="5">
        <v>65.0</v>
      </c>
      <c r="Q50" s="5"/>
      <c r="R50" s="5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40.0</v>
      </c>
      <c r="I51" s="5">
        <v>41.0</v>
      </c>
      <c r="J51" s="5">
        <v>35.0</v>
      </c>
      <c r="K51" s="5">
        <v>18.0</v>
      </c>
      <c r="L51" s="5">
        <v>25.0</v>
      </c>
      <c r="M51" s="5">
        <v>20.0</v>
      </c>
      <c r="N51" s="5">
        <v>149.0</v>
      </c>
      <c r="O51" s="5">
        <v>27.0</v>
      </c>
      <c r="P51" s="5">
        <v>70.0</v>
      </c>
      <c r="Q51" s="5"/>
      <c r="R51" s="5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42.0</v>
      </c>
      <c r="I52" s="5">
        <v>42.0</v>
      </c>
      <c r="J52" s="5">
        <v>38.0</v>
      </c>
      <c r="K52" s="5">
        <v>20.0</v>
      </c>
      <c r="L52" s="5">
        <v>25.0</v>
      </c>
      <c r="M52" s="5">
        <v>22.0</v>
      </c>
      <c r="N52" s="5">
        <v>150.0</v>
      </c>
      <c r="O52" s="5">
        <v>29.0</v>
      </c>
      <c r="P52" s="5">
        <v>75.0</v>
      </c>
      <c r="Q52" s="5"/>
      <c r="R52" s="5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42.0</v>
      </c>
      <c r="I53" s="5">
        <v>42.0</v>
      </c>
      <c r="J53" s="5">
        <v>40.0</v>
      </c>
      <c r="K53" s="5">
        <v>21.0</v>
      </c>
      <c r="L53" s="5">
        <v>26.0</v>
      </c>
      <c r="M53" s="5">
        <v>22.0</v>
      </c>
      <c r="N53" s="5">
        <v>160.0</v>
      </c>
      <c r="O53" s="5">
        <v>33.0</v>
      </c>
      <c r="P53" s="5">
        <v>80.0</v>
      </c>
      <c r="Q53" s="5"/>
      <c r="R53" s="5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43.0</v>
      </c>
      <c r="I54" s="5">
        <v>43.0</v>
      </c>
      <c r="J54" s="5">
        <v>41.0</v>
      </c>
      <c r="K54" s="5">
        <v>22.0</v>
      </c>
      <c r="L54" s="5">
        <v>27.0</v>
      </c>
      <c r="M54" s="5">
        <v>23.0</v>
      </c>
      <c r="N54" s="5">
        <v>176.0</v>
      </c>
      <c r="O54" s="5">
        <v>36.0</v>
      </c>
      <c r="P54" s="5">
        <v>85.0</v>
      </c>
      <c r="Q54" s="5"/>
      <c r="R54" s="5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46.0</v>
      </c>
      <c r="I55" s="5">
        <v>47.0</v>
      </c>
      <c r="J55" s="5">
        <v>43.0</v>
      </c>
      <c r="K55" s="5">
        <v>23.0</v>
      </c>
      <c r="L55" s="5">
        <v>30.0</v>
      </c>
      <c r="M55" s="5">
        <v>24.0</v>
      </c>
      <c r="N55" s="5">
        <v>182.0</v>
      </c>
      <c r="O55" s="5">
        <v>45.0</v>
      </c>
      <c r="P55" s="5">
        <v>90.0</v>
      </c>
      <c r="Q55" s="5"/>
      <c r="R55" s="5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47.0</v>
      </c>
      <c r="I56" s="5">
        <v>48.0</v>
      </c>
      <c r="J56" s="5">
        <v>44.0</v>
      </c>
      <c r="K56" s="5">
        <v>24.0</v>
      </c>
      <c r="L56" s="5">
        <v>31.0</v>
      </c>
      <c r="M56" s="5">
        <v>25.0</v>
      </c>
      <c r="N56" s="5">
        <v>183.0</v>
      </c>
      <c r="O56" s="5">
        <v>58.0</v>
      </c>
      <c r="P56" s="5">
        <v>95.0</v>
      </c>
      <c r="Q56" s="5"/>
      <c r="R56" s="5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48.0</v>
      </c>
      <c r="I57" s="5">
        <v>49.0</v>
      </c>
      <c r="J57" s="5">
        <v>45.0</v>
      </c>
      <c r="K57" s="5">
        <v>25.0</v>
      </c>
      <c r="L57" s="5">
        <v>32.0</v>
      </c>
      <c r="M57" s="5">
        <v>26.0</v>
      </c>
      <c r="N57" s="5">
        <v>184.0</v>
      </c>
      <c r="O57" s="5">
        <v>67.0</v>
      </c>
      <c r="P57" s="5">
        <v>99.0</v>
      </c>
      <c r="Q57" s="5"/>
      <c r="R57" s="5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2.75" customHeight="1">
      <c r="A71" s="1" t="s">
        <v>98</v>
      </c>
      <c r="B71" s="1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2.75" customHeight="1">
      <c r="A72" s="1" t="s">
        <v>99</v>
      </c>
      <c r="B72" s="1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2.75" customHeight="1">
      <c r="A73" s="1" t="s">
        <v>100</v>
      </c>
      <c r="B73" s="1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2.75" customHeight="1">
      <c r="A74" s="1" t="s">
        <v>101</v>
      </c>
      <c r="B74" s="1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2.75" customHeight="1">
      <c r="A75" s="1" t="s">
        <v>102</v>
      </c>
      <c r="B75" s="1">
        <v>3.0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2.75" customHeight="1">
      <c r="A76" s="1" t="s">
        <v>103</v>
      </c>
      <c r="B76" s="1">
        <v>3.0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2.75" customHeight="1">
      <c r="A77" s="1" t="s">
        <v>104</v>
      </c>
      <c r="B77" s="1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2.75" customHeight="1">
      <c r="A78" s="1" t="s">
        <v>105</v>
      </c>
      <c r="B78" s="1">
        <v>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2.75" customHeight="1">
      <c r="A79" s="1" t="s">
        <v>106</v>
      </c>
      <c r="B79" s="1">
        <v>2.0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2.75" customHeight="1">
      <c r="A80" s="1" t="s">
        <v>107</v>
      </c>
      <c r="B80" s="1">
        <v>3.0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2.75" customHeight="1">
      <c r="A81" s="1" t="s">
        <v>108</v>
      </c>
      <c r="B81" s="1">
        <v>3.0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3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99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99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99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95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99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DEFICIÊNCIA SEVERA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SEVERA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SEVERA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DEFICIÊNCIA SEVERA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DEFICIÊNCIA LEVE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DEFICIÊNCIA SEVERA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1">
        <v>4.0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2.75" customHeight="1">
      <c r="A31" s="1" t="s">
        <v>44</v>
      </c>
      <c r="B31" s="1">
        <v>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1" t="s">
        <v>45</v>
      </c>
      <c r="B32" s="1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1" t="s">
        <v>46</v>
      </c>
      <c r="B33" s="1">
        <v>3.0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1" t="s">
        <v>47</v>
      </c>
      <c r="B34" s="1">
        <v>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  <c r="S36" s="5"/>
      <c r="T36" s="5"/>
      <c r="U36" s="5"/>
      <c r="V36" s="5"/>
      <c r="W36" s="5"/>
      <c r="X36" s="5"/>
      <c r="Y36" s="5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  <c r="S37" s="5"/>
      <c r="T37" s="5"/>
      <c r="U37" s="5"/>
      <c r="V37" s="5"/>
      <c r="W37" s="5"/>
      <c r="X37" s="5"/>
      <c r="Y37" s="5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21.0</v>
      </c>
      <c r="I38" s="5">
        <v>25.0</v>
      </c>
      <c r="J38" s="5">
        <v>19.0</v>
      </c>
      <c r="K38" s="5">
        <v>12.0</v>
      </c>
      <c r="L38" s="5">
        <v>14.0</v>
      </c>
      <c r="M38" s="5">
        <v>11.0</v>
      </c>
      <c r="N38" s="5">
        <v>92.0</v>
      </c>
      <c r="O38" s="5">
        <v>0.0</v>
      </c>
      <c r="P38" s="5">
        <v>5.0</v>
      </c>
      <c r="Q38" s="5"/>
      <c r="R38" s="5"/>
      <c r="S38" s="5"/>
      <c r="T38" s="5"/>
      <c r="U38" s="5"/>
      <c r="V38" s="5"/>
      <c r="W38" s="5"/>
      <c r="X38" s="5"/>
      <c r="Y38" s="5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21.0</v>
      </c>
      <c r="I39" s="5">
        <v>25.0</v>
      </c>
      <c r="J39" s="5">
        <v>22.0</v>
      </c>
      <c r="K39" s="5">
        <v>12.0</v>
      </c>
      <c r="L39" s="5">
        <v>15.0</v>
      </c>
      <c r="M39" s="5">
        <v>12.0</v>
      </c>
      <c r="N39" s="5">
        <v>101.0</v>
      </c>
      <c r="O39" s="5">
        <v>0.0</v>
      </c>
      <c r="P39" s="5">
        <v>10.0</v>
      </c>
      <c r="Q39" s="5"/>
      <c r="R39" s="5"/>
      <c r="S39" s="5"/>
      <c r="T39" s="5"/>
      <c r="U39" s="5"/>
      <c r="V39" s="5"/>
      <c r="W39" s="5"/>
      <c r="X39" s="5"/>
      <c r="Y39" s="5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23.0</v>
      </c>
      <c r="I40" s="5">
        <v>25.0</v>
      </c>
      <c r="J40" s="5">
        <v>22.0</v>
      </c>
      <c r="K40" s="5">
        <v>12.0</v>
      </c>
      <c r="L40" s="5">
        <v>16.0</v>
      </c>
      <c r="M40" s="5">
        <v>13.0</v>
      </c>
      <c r="N40" s="5">
        <v>104.0</v>
      </c>
      <c r="O40" s="5">
        <v>0.0</v>
      </c>
      <c r="P40" s="5">
        <v>15.0</v>
      </c>
      <c r="Q40" s="5"/>
      <c r="R40" s="5"/>
      <c r="S40" s="5"/>
      <c r="T40" s="5"/>
      <c r="U40" s="5"/>
      <c r="V40" s="5"/>
      <c r="W40" s="5"/>
      <c r="X40" s="5"/>
      <c r="Y40" s="5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24.0</v>
      </c>
      <c r="I41" s="5">
        <v>26.0</v>
      </c>
      <c r="J41" s="5">
        <v>23.0</v>
      </c>
      <c r="K41" s="5">
        <v>12.0</v>
      </c>
      <c r="L41" s="5">
        <v>16.0</v>
      </c>
      <c r="M41" s="5">
        <v>13.0</v>
      </c>
      <c r="N41" s="5">
        <v>108.0</v>
      </c>
      <c r="O41" s="5">
        <v>0.0</v>
      </c>
      <c r="P41" s="5">
        <v>20.0</v>
      </c>
      <c r="Q41" s="5"/>
      <c r="R41" s="5"/>
      <c r="S41" s="5"/>
      <c r="T41" s="5"/>
      <c r="U41" s="5"/>
      <c r="V41" s="5"/>
      <c r="W41" s="5"/>
      <c r="X41" s="5"/>
      <c r="Y41" s="5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24.0</v>
      </c>
      <c r="I42" s="5">
        <v>26.0</v>
      </c>
      <c r="J42" s="5">
        <v>25.0</v>
      </c>
      <c r="K42" s="5">
        <v>13.0</v>
      </c>
      <c r="L42" s="5">
        <v>17.0</v>
      </c>
      <c r="M42" s="5">
        <v>13.0</v>
      </c>
      <c r="N42" s="5">
        <v>113.0</v>
      </c>
      <c r="O42" s="5">
        <v>0.0</v>
      </c>
      <c r="P42" s="5">
        <v>25.0</v>
      </c>
      <c r="Q42" s="5"/>
      <c r="R42" s="5"/>
      <c r="S42" s="5"/>
      <c r="T42" s="5"/>
      <c r="U42" s="5"/>
      <c r="V42" s="5"/>
      <c r="W42" s="5"/>
      <c r="X42" s="5"/>
      <c r="Y42" s="5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24.0</v>
      </c>
      <c r="I43" s="5">
        <v>26.0</v>
      </c>
      <c r="J43" s="5">
        <v>26.0</v>
      </c>
      <c r="K43" s="5">
        <v>13.0</v>
      </c>
      <c r="L43" s="5">
        <v>17.0</v>
      </c>
      <c r="M43" s="5">
        <v>14.0</v>
      </c>
      <c r="N43" s="5">
        <v>114.0</v>
      </c>
      <c r="O43" s="5">
        <v>0.0</v>
      </c>
      <c r="P43" s="5">
        <v>30.0</v>
      </c>
      <c r="Q43" s="5"/>
      <c r="R43" s="5"/>
      <c r="S43" s="5"/>
      <c r="T43" s="5"/>
      <c r="U43" s="5"/>
      <c r="V43" s="5"/>
      <c r="W43" s="5"/>
      <c r="X43" s="5"/>
      <c r="Y43" s="5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25.0</v>
      </c>
      <c r="I44" s="5">
        <v>27.0</v>
      </c>
      <c r="J44" s="5">
        <v>26.0</v>
      </c>
      <c r="K44" s="5">
        <v>13.0</v>
      </c>
      <c r="L44" s="5">
        <v>17.0</v>
      </c>
      <c r="M44" s="5">
        <v>14.0</v>
      </c>
      <c r="N44" s="5">
        <v>115.0</v>
      </c>
      <c r="O44" s="5">
        <v>0.0</v>
      </c>
      <c r="P44" s="5">
        <v>35.0</v>
      </c>
      <c r="Q44" s="5"/>
      <c r="R44" s="5"/>
      <c r="S44" s="5"/>
      <c r="T44" s="5"/>
      <c r="U44" s="5"/>
      <c r="V44" s="5"/>
      <c r="W44" s="5"/>
      <c r="X44" s="5"/>
      <c r="Y44" s="5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27.0</v>
      </c>
      <c r="I45" s="5">
        <v>28.0</v>
      </c>
      <c r="J45" s="5">
        <v>27.0</v>
      </c>
      <c r="K45" s="5">
        <v>13.0</v>
      </c>
      <c r="L45" s="5">
        <v>17.0</v>
      </c>
      <c r="M45" s="5">
        <v>14.0</v>
      </c>
      <c r="N45" s="5">
        <v>119.0</v>
      </c>
      <c r="O45" s="5">
        <v>0.0</v>
      </c>
      <c r="P45" s="5">
        <v>40.0</v>
      </c>
      <c r="Q45" s="5"/>
      <c r="R45" s="5"/>
      <c r="S45" s="5"/>
      <c r="T45" s="5"/>
      <c r="U45" s="5"/>
      <c r="V45" s="5"/>
      <c r="W45" s="5"/>
      <c r="X45" s="5"/>
      <c r="Y45" s="5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30.0</v>
      </c>
      <c r="I46" s="5">
        <v>29.0</v>
      </c>
      <c r="J46" s="5">
        <v>28.0</v>
      </c>
      <c r="K46" s="5">
        <v>13.0</v>
      </c>
      <c r="L46" s="5">
        <v>17.0</v>
      </c>
      <c r="M46" s="5">
        <v>14.0</v>
      </c>
      <c r="N46" s="5">
        <v>124.0</v>
      </c>
      <c r="O46" s="5">
        <v>1.0</v>
      </c>
      <c r="P46" s="5">
        <v>45.0</v>
      </c>
      <c r="Q46" s="5"/>
      <c r="R46" s="5"/>
      <c r="S46" s="5"/>
      <c r="T46" s="5"/>
      <c r="U46" s="5"/>
      <c r="V46" s="5"/>
      <c r="W46" s="5"/>
      <c r="X46" s="5"/>
      <c r="Y46" s="5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32.0</v>
      </c>
      <c r="I47" s="5">
        <v>31.0</v>
      </c>
      <c r="J47" s="5">
        <v>29.0</v>
      </c>
      <c r="K47" s="5">
        <v>14.0</v>
      </c>
      <c r="L47" s="5">
        <v>19.0</v>
      </c>
      <c r="M47" s="5">
        <v>15.0</v>
      </c>
      <c r="N47" s="5">
        <v>126.0</v>
      </c>
      <c r="O47" s="5">
        <v>1.0</v>
      </c>
      <c r="P47" s="5">
        <v>50.0</v>
      </c>
      <c r="Q47" s="5"/>
      <c r="R47" s="5"/>
      <c r="S47" s="5"/>
      <c r="T47" s="5"/>
      <c r="U47" s="5"/>
      <c r="V47" s="5"/>
      <c r="W47" s="5"/>
      <c r="X47" s="5"/>
      <c r="Y47" s="5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33.0</v>
      </c>
      <c r="I48" s="5">
        <v>33.0</v>
      </c>
      <c r="J48" s="5">
        <v>29.0</v>
      </c>
      <c r="K48" s="5">
        <v>14.0</v>
      </c>
      <c r="L48" s="5">
        <v>20.0</v>
      </c>
      <c r="M48" s="5">
        <v>16.0</v>
      </c>
      <c r="N48" s="5">
        <v>127.0</v>
      </c>
      <c r="O48" s="5">
        <v>2.0</v>
      </c>
      <c r="P48" s="5">
        <v>55.0</v>
      </c>
      <c r="Q48" s="5"/>
      <c r="R48" s="5"/>
      <c r="S48" s="5"/>
      <c r="T48" s="5"/>
      <c r="U48" s="5"/>
      <c r="V48" s="5"/>
      <c r="W48" s="5"/>
      <c r="X48" s="5"/>
      <c r="Y48" s="5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33.0</v>
      </c>
      <c r="I49" s="5">
        <v>41.0</v>
      </c>
      <c r="J49" s="5">
        <v>30.0</v>
      </c>
      <c r="K49" s="5">
        <v>16.0</v>
      </c>
      <c r="L49" s="5">
        <v>21.0</v>
      </c>
      <c r="M49" s="5">
        <v>16.0</v>
      </c>
      <c r="N49" s="5">
        <v>133.0</v>
      </c>
      <c r="O49" s="5">
        <v>3.0</v>
      </c>
      <c r="P49" s="5">
        <v>60.0</v>
      </c>
      <c r="Q49" s="5"/>
      <c r="R49" s="5"/>
      <c r="S49" s="5"/>
      <c r="T49" s="5"/>
      <c r="U49" s="5"/>
      <c r="V49" s="5"/>
      <c r="W49" s="5"/>
      <c r="X49" s="5"/>
      <c r="Y49" s="5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34.0</v>
      </c>
      <c r="I50" s="5">
        <v>47.0</v>
      </c>
      <c r="J50" s="5">
        <v>30.0</v>
      </c>
      <c r="K50" s="5">
        <v>17.0</v>
      </c>
      <c r="L50" s="5">
        <v>22.0</v>
      </c>
      <c r="M50" s="5">
        <v>16.0</v>
      </c>
      <c r="N50" s="5">
        <v>141.0</v>
      </c>
      <c r="O50" s="5">
        <v>4.0</v>
      </c>
      <c r="P50" s="5">
        <v>65.0</v>
      </c>
      <c r="Q50" s="5"/>
      <c r="R50" s="5"/>
      <c r="S50" s="5"/>
      <c r="T50" s="5"/>
      <c r="U50" s="5"/>
      <c r="V50" s="5"/>
      <c r="W50" s="5"/>
      <c r="X50" s="5"/>
      <c r="Y50" s="5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34.0</v>
      </c>
      <c r="I51" s="5">
        <v>51.0</v>
      </c>
      <c r="J51" s="5">
        <v>31.0</v>
      </c>
      <c r="K51" s="5">
        <v>17.0</v>
      </c>
      <c r="L51" s="5">
        <v>24.0</v>
      </c>
      <c r="M51" s="5">
        <v>17.0</v>
      </c>
      <c r="N51" s="5">
        <v>152.0</v>
      </c>
      <c r="O51" s="5">
        <v>4.0</v>
      </c>
      <c r="P51" s="5">
        <v>70.0</v>
      </c>
      <c r="Q51" s="5"/>
      <c r="R51" s="5"/>
      <c r="S51" s="5"/>
      <c r="T51" s="5"/>
      <c r="U51" s="5"/>
      <c r="V51" s="5"/>
      <c r="W51" s="5"/>
      <c r="X51" s="5"/>
      <c r="Y51" s="5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35.0</v>
      </c>
      <c r="I52" s="5">
        <v>52.0</v>
      </c>
      <c r="J52" s="5">
        <v>32.0</v>
      </c>
      <c r="K52" s="5">
        <v>17.0</v>
      </c>
      <c r="L52" s="5">
        <v>26.0</v>
      </c>
      <c r="M52" s="5">
        <v>17.0</v>
      </c>
      <c r="N52" s="5">
        <v>157.0</v>
      </c>
      <c r="O52" s="5">
        <v>7.0</v>
      </c>
      <c r="P52" s="5">
        <v>75.0</v>
      </c>
      <c r="Q52" s="5"/>
      <c r="R52" s="5"/>
      <c r="S52" s="5"/>
      <c r="T52" s="5"/>
      <c r="U52" s="5"/>
      <c r="V52" s="5"/>
      <c r="W52" s="5"/>
      <c r="X52" s="5"/>
      <c r="Y52" s="5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37.0</v>
      </c>
      <c r="I53" s="5">
        <v>53.0</v>
      </c>
      <c r="J53" s="5">
        <v>34.0</v>
      </c>
      <c r="K53" s="5">
        <v>19.0</v>
      </c>
      <c r="L53" s="5">
        <v>26.0</v>
      </c>
      <c r="M53" s="5">
        <v>19.0</v>
      </c>
      <c r="N53" s="5">
        <v>165.0</v>
      </c>
      <c r="O53" s="5">
        <v>8.0</v>
      </c>
      <c r="P53" s="5">
        <v>80.0</v>
      </c>
      <c r="Q53" s="5"/>
      <c r="R53" s="5"/>
      <c r="S53" s="5"/>
      <c r="T53" s="5"/>
      <c r="U53" s="5"/>
      <c r="V53" s="5"/>
      <c r="W53" s="5"/>
      <c r="X53" s="5"/>
      <c r="Y53" s="5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38.0</v>
      </c>
      <c r="I54" s="5">
        <v>56.0</v>
      </c>
      <c r="J54" s="5">
        <v>37.0</v>
      </c>
      <c r="K54" s="5">
        <v>21.0</v>
      </c>
      <c r="L54" s="5">
        <v>26.0</v>
      </c>
      <c r="M54" s="5">
        <v>20.0</v>
      </c>
      <c r="N54" s="5">
        <v>170.0</v>
      </c>
      <c r="O54" s="5">
        <v>11.0</v>
      </c>
      <c r="P54" s="5">
        <v>85.0</v>
      </c>
      <c r="Q54" s="5"/>
      <c r="R54" s="5"/>
      <c r="S54" s="5"/>
      <c r="T54" s="5"/>
      <c r="U54" s="5"/>
      <c r="V54" s="5"/>
      <c r="W54" s="5"/>
      <c r="X54" s="5"/>
      <c r="Y54" s="5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39.0</v>
      </c>
      <c r="I55" s="5">
        <v>62.0</v>
      </c>
      <c r="J55" s="5">
        <v>49.0</v>
      </c>
      <c r="K55" s="5">
        <v>22.0</v>
      </c>
      <c r="L55" s="5">
        <v>27.0</v>
      </c>
      <c r="M55" s="5">
        <v>23.0</v>
      </c>
      <c r="N55" s="5">
        <v>199.0</v>
      </c>
      <c r="O55" s="5">
        <v>23.0</v>
      </c>
      <c r="P55" s="5">
        <v>90.0</v>
      </c>
      <c r="Q55" s="5"/>
      <c r="R55" s="5"/>
      <c r="S55" s="5"/>
      <c r="T55" s="5"/>
      <c r="U55" s="5"/>
      <c r="V55" s="5"/>
      <c r="W55" s="5"/>
      <c r="X55" s="5"/>
      <c r="Y55" s="5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45.0</v>
      </c>
      <c r="I56" s="5">
        <v>63.0</v>
      </c>
      <c r="J56" s="5">
        <v>51.0</v>
      </c>
      <c r="K56" s="5">
        <v>23.0</v>
      </c>
      <c r="L56" s="5">
        <v>40.0</v>
      </c>
      <c r="M56" s="5">
        <v>23.0</v>
      </c>
      <c r="N56" s="5">
        <v>204.0</v>
      </c>
      <c r="O56" s="5">
        <v>30.0</v>
      </c>
      <c r="P56" s="5">
        <v>95.0</v>
      </c>
      <c r="Q56" s="5"/>
      <c r="R56" s="5"/>
      <c r="S56" s="5"/>
      <c r="T56" s="5"/>
      <c r="U56" s="5"/>
      <c r="V56" s="5"/>
      <c r="W56" s="5"/>
      <c r="X56" s="5"/>
      <c r="Y56" s="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46.0</v>
      </c>
      <c r="I57" s="5">
        <v>64.0</v>
      </c>
      <c r="J57" s="5">
        <v>52.0</v>
      </c>
      <c r="K57" s="5">
        <v>24.0</v>
      </c>
      <c r="L57" s="5">
        <v>41.0</v>
      </c>
      <c r="M57" s="5">
        <v>24.0</v>
      </c>
      <c r="N57" s="5">
        <v>205.0</v>
      </c>
      <c r="O57" s="5">
        <v>31.0</v>
      </c>
      <c r="P57" s="5">
        <v>99.0</v>
      </c>
      <c r="Q57" s="5"/>
      <c r="R57" s="5"/>
      <c r="S57" s="5"/>
      <c r="T57" s="5"/>
      <c r="U57" s="5"/>
      <c r="V57" s="5"/>
      <c r="W57" s="5"/>
      <c r="X57" s="5"/>
      <c r="Y57" s="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>
      <c r="A71" s="1" t="s">
        <v>98</v>
      </c>
      <c r="B71" s="1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>
      <c r="A72" s="1" t="s">
        <v>99</v>
      </c>
      <c r="B72" s="1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>
      <c r="A73" s="1" t="s">
        <v>100</v>
      </c>
      <c r="B73" s="1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>
      <c r="A74" s="1" t="s">
        <v>101</v>
      </c>
      <c r="B74" s="1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>
      <c r="A75" s="1" t="s">
        <v>102</v>
      </c>
      <c r="B75" s="1">
        <v>3.0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>
      <c r="A76" s="1" t="s">
        <v>103</v>
      </c>
      <c r="B76" s="1">
        <v>3.0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>
      <c r="A77" s="1" t="s">
        <v>104</v>
      </c>
      <c r="B77" s="1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>
      <c r="A78" s="1" t="s">
        <v>105</v>
      </c>
      <c r="B78" s="1">
        <v>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>
      <c r="A79" s="1" t="s">
        <v>106</v>
      </c>
      <c r="B79" s="1">
        <v>2.0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>
      <c r="A80" s="1" t="s">
        <v>107</v>
      </c>
      <c r="B80" s="1">
        <v>3.0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>
      <c r="A81" s="1" t="s">
        <v>108</v>
      </c>
      <c r="B81" s="1">
        <v>3.0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36" width="8.63"/>
  </cols>
  <sheetData>
    <row r="1" ht="12.75" customHeight="1">
      <c r="A1" s="1" t="s">
        <v>0</v>
      </c>
      <c r="B1" s="2">
        <v>3.0</v>
      </c>
      <c r="D1" s="3" t="s">
        <v>1</v>
      </c>
      <c r="E1" s="3">
        <f>SUM(B1:B21)</f>
        <v>56</v>
      </c>
    </row>
    <row r="2" ht="12.75" customHeight="1">
      <c r="A2" s="1" t="s">
        <v>2</v>
      </c>
      <c r="B2" s="2">
        <v>2.0</v>
      </c>
      <c r="D2" s="3" t="s">
        <v>3</v>
      </c>
      <c r="E2" s="3">
        <f>SUM(B22:B45)</f>
        <v>81</v>
      </c>
      <c r="G2" s="5"/>
      <c r="H2" s="5"/>
      <c r="I2" s="5"/>
      <c r="J2" s="6"/>
    </row>
    <row r="3" ht="12.75" customHeight="1">
      <c r="A3" s="1" t="s">
        <v>4</v>
      </c>
      <c r="B3" s="2">
        <v>4.0</v>
      </c>
      <c r="D3" s="3" t="s">
        <v>5</v>
      </c>
      <c r="E3" s="3">
        <f>SUM(B46:B64)</f>
        <v>53</v>
      </c>
      <c r="G3" s="7"/>
      <c r="H3" s="7">
        <f>COUNTIF(B1:B89,"3")</f>
        <v>48</v>
      </c>
      <c r="I3" s="7"/>
      <c r="J3" s="6"/>
    </row>
    <row r="4" ht="12.75" customHeight="1">
      <c r="A4" s="1" t="s">
        <v>6</v>
      </c>
      <c r="B4" s="2">
        <v>2.0</v>
      </c>
      <c r="D4" s="3" t="s">
        <v>7</v>
      </c>
      <c r="E4" s="3">
        <f>SUM(B65:B76)</f>
        <v>30</v>
      </c>
      <c r="G4" s="7"/>
      <c r="H4" s="7">
        <f>COUNTIF(B1:B89,"4")</f>
        <v>24</v>
      </c>
      <c r="I4" s="7"/>
      <c r="J4" s="6"/>
    </row>
    <row r="5" ht="12.75" customHeight="1">
      <c r="A5" s="1" t="s">
        <v>8</v>
      </c>
      <c r="B5" s="2">
        <v>2.0</v>
      </c>
      <c r="D5" s="3" t="s">
        <v>9</v>
      </c>
      <c r="E5" s="3">
        <f>SUM(B77:B89)</f>
        <v>51</v>
      </c>
      <c r="G5" s="7"/>
      <c r="H5" s="7">
        <f>SUM(H3:H4)</f>
        <v>72</v>
      </c>
      <c r="I5" s="7"/>
      <c r="J5" s="6"/>
    </row>
    <row r="6" ht="12.75" customHeight="1">
      <c r="A6" s="1" t="s">
        <v>10</v>
      </c>
      <c r="B6" s="2">
        <v>3.0</v>
      </c>
      <c r="D6" s="3" t="s">
        <v>11</v>
      </c>
      <c r="E6" s="3">
        <f>SUM(B1,B6,B14,B16,B24,B49,B50,B55,B60,B65,B69)</f>
        <v>33</v>
      </c>
      <c r="G6" s="6"/>
      <c r="H6" s="6"/>
      <c r="I6" s="6"/>
      <c r="J6" s="6"/>
    </row>
    <row r="7" ht="12.75" customHeight="1">
      <c r="A7" s="1" t="s">
        <v>12</v>
      </c>
      <c r="B7" s="2">
        <v>3.0</v>
      </c>
      <c r="D7" s="3" t="s">
        <v>13</v>
      </c>
      <c r="E7" s="3">
        <f>SUM(E1:E5)</f>
        <v>271</v>
      </c>
    </row>
    <row r="8" ht="12.75" customHeight="1">
      <c r="A8" s="1" t="s">
        <v>14</v>
      </c>
      <c r="B8" s="2">
        <v>2.0</v>
      </c>
      <c r="D8" s="3" t="s">
        <v>15</v>
      </c>
      <c r="E8" s="3">
        <f>H5</f>
        <v>72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2.0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3.0</v>
      </c>
      <c r="D10" s="3" t="s">
        <v>1</v>
      </c>
      <c r="E10" s="3">
        <f>VLOOKUP(E1,H36:P57,9,1)</f>
        <v>99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3.0</v>
      </c>
      <c r="D11" s="3" t="s">
        <v>3</v>
      </c>
      <c r="E11" s="3">
        <f>VLOOKUP(E2,I37:P57,8,1)</f>
        <v>99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3.0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2">
        <v>3.0</v>
      </c>
      <c r="D13" s="3" t="s">
        <v>7</v>
      </c>
      <c r="E13" s="3">
        <f>VLOOKUP(E4,K37:P57,6,1)</f>
        <v>99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2.0</v>
      </c>
      <c r="D14" s="3" t="s">
        <v>9</v>
      </c>
      <c r="E14" s="3">
        <f>VLOOKUP(E5,L37:P57,5,1)</f>
        <v>99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2.0</v>
      </c>
      <c r="D15" s="3" t="s">
        <v>11</v>
      </c>
      <c r="E15" s="3">
        <f>VLOOKUP(E6,M37:P57,4,1)</f>
        <v>99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3.0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2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2.0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3.0</v>
      </c>
    </row>
    <row r="21" ht="12.75" customHeight="1">
      <c r="A21" s="1" t="s">
        <v>34</v>
      </c>
      <c r="B21" s="2">
        <v>3.0</v>
      </c>
      <c r="D21" s="3" t="s">
        <v>1</v>
      </c>
      <c r="E21" s="10" t="str">
        <f>VLOOKUP(E10,D39:E64,2,1)</f>
        <v>DEFICIÊNCIA SEVERA</v>
      </c>
    </row>
    <row r="22" ht="12.75" customHeight="1">
      <c r="A22" s="1" t="s">
        <v>35</v>
      </c>
      <c r="B22" s="2">
        <v>4.0</v>
      </c>
      <c r="D22" s="3" t="s">
        <v>3</v>
      </c>
      <c r="E22" s="10" t="str">
        <f>VLOOKUP(E11,D39:E64,2,1)</f>
        <v>DEFICIÊNCIA SEVERA</v>
      </c>
    </row>
    <row r="23" ht="12.75" customHeight="1">
      <c r="A23" s="1" t="s">
        <v>36</v>
      </c>
      <c r="B23" s="2">
        <v>4.0</v>
      </c>
      <c r="D23" s="3" t="s">
        <v>5</v>
      </c>
      <c r="E23" s="10" t="str">
        <f>VLOOKUP(E12,D39:E64,2,1)</f>
        <v>DEFICIÊNCIA SEVERA</v>
      </c>
    </row>
    <row r="24" ht="12.75" customHeight="1">
      <c r="A24" s="1" t="s">
        <v>37</v>
      </c>
      <c r="B24" s="2">
        <v>4.0</v>
      </c>
      <c r="D24" s="3" t="s">
        <v>7</v>
      </c>
      <c r="E24" s="10" t="str">
        <f>VLOOKUP(E13,D39:E64,2,1)</f>
        <v>DEFICIÊNCIA SEVERA</v>
      </c>
    </row>
    <row r="25" ht="12.75" customHeight="1">
      <c r="A25" s="1" t="s">
        <v>38</v>
      </c>
      <c r="B25" s="2">
        <v>4.0</v>
      </c>
      <c r="D25" s="3" t="s">
        <v>9</v>
      </c>
      <c r="E25" s="10" t="str">
        <f>VLOOKUP(E14,D39:E64,2,1)</f>
        <v>DEFICIÊNCIA SEVERA</v>
      </c>
    </row>
    <row r="26" ht="12.75" customHeight="1">
      <c r="A26" s="1" t="s">
        <v>39</v>
      </c>
      <c r="B26" s="2">
        <v>4.0</v>
      </c>
      <c r="D26" s="3" t="s">
        <v>11</v>
      </c>
      <c r="E26" s="10" t="str">
        <f>VLOOKUP(E15,D39:E64,2,1)</f>
        <v>DEFICIÊNCIA SEVERA</v>
      </c>
    </row>
    <row r="27" ht="12.75" customHeight="1">
      <c r="A27" s="1" t="s">
        <v>40</v>
      </c>
      <c r="B27" s="2">
        <v>4.0</v>
      </c>
      <c r="D27" s="3" t="s">
        <v>13</v>
      </c>
      <c r="E27" s="10" t="str">
        <f>VLOOKUP(E16,D39:E64,2,1)</f>
        <v>DEFICIÊNCIA SEVERA</v>
      </c>
    </row>
    <row r="28" ht="12.75" customHeight="1">
      <c r="A28" s="1" t="s">
        <v>41</v>
      </c>
      <c r="B28" s="2">
        <v>4.0</v>
      </c>
      <c r="D28" s="3" t="s">
        <v>15</v>
      </c>
      <c r="E28" s="10" t="str">
        <f>VLOOKUP(E17,D39:E64,2,1)</f>
        <v>DEFICIÊNCIA SEVERA</v>
      </c>
    </row>
    <row r="29" ht="12.75" customHeight="1">
      <c r="A29" s="1" t="s">
        <v>42</v>
      </c>
      <c r="B29" s="2">
        <v>3.0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2">
        <v>3.0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2.75" customHeight="1">
      <c r="A31" s="1" t="s">
        <v>44</v>
      </c>
      <c r="B31" s="2">
        <v>3.0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1" t="s">
        <v>45</v>
      </c>
      <c r="B32" s="2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1" t="s">
        <v>46</v>
      </c>
      <c r="B33" s="2">
        <v>3.0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1" t="s">
        <v>47</v>
      </c>
      <c r="B34" s="2">
        <v>3.0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2.75" customHeight="1">
      <c r="A35" s="1" t="s">
        <v>48</v>
      </c>
      <c r="B35" s="2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2.75" customHeight="1">
      <c r="A36" s="1" t="s">
        <v>49</v>
      </c>
      <c r="B36" s="2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2.75" customHeight="1">
      <c r="A37" s="1" t="s">
        <v>58</v>
      </c>
      <c r="B37" s="2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2.75" customHeight="1">
      <c r="A38" s="1" t="s">
        <v>59</v>
      </c>
      <c r="B38" s="2">
        <v>3.0</v>
      </c>
      <c r="D38" s="5"/>
      <c r="E38" s="5"/>
      <c r="F38" s="5"/>
      <c r="G38" s="5"/>
      <c r="H38" s="5">
        <v>21.0</v>
      </c>
      <c r="I38" s="5">
        <v>24.0</v>
      </c>
      <c r="J38" s="5">
        <v>21.0</v>
      </c>
      <c r="K38" s="5">
        <v>12.0</v>
      </c>
      <c r="L38" s="5">
        <v>14.0</v>
      </c>
      <c r="M38" s="5">
        <v>12.0</v>
      </c>
      <c r="N38" s="5">
        <v>92.0</v>
      </c>
      <c r="O38" s="5">
        <v>0.0</v>
      </c>
      <c r="P38" s="5">
        <v>5.0</v>
      </c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2.75" customHeight="1">
      <c r="A39" s="1" t="s">
        <v>60</v>
      </c>
      <c r="B39" s="2">
        <v>4.0</v>
      </c>
      <c r="D39" s="5">
        <v>1.0</v>
      </c>
      <c r="E39" s="5" t="s">
        <v>61</v>
      </c>
      <c r="F39" s="5"/>
      <c r="G39" s="5"/>
      <c r="H39" s="5">
        <v>21.0</v>
      </c>
      <c r="I39" s="5">
        <v>25.0</v>
      </c>
      <c r="J39" s="5">
        <v>22.0</v>
      </c>
      <c r="K39" s="5">
        <v>13.0</v>
      </c>
      <c r="L39" s="5">
        <v>14.0</v>
      </c>
      <c r="M39" s="5">
        <v>13.0</v>
      </c>
      <c r="N39" s="5">
        <v>99.0</v>
      </c>
      <c r="O39" s="5">
        <v>0.0</v>
      </c>
      <c r="P39" s="5">
        <v>10.0</v>
      </c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1" t="s">
        <v>62</v>
      </c>
      <c r="B40" s="2">
        <v>3.0</v>
      </c>
      <c r="D40" s="5">
        <v>75.0</v>
      </c>
      <c r="E40" s="5" t="s">
        <v>61</v>
      </c>
      <c r="F40" s="5"/>
      <c r="G40" s="5"/>
      <c r="H40" s="5">
        <v>24.0</v>
      </c>
      <c r="I40" s="5">
        <v>26.0</v>
      </c>
      <c r="J40" s="5">
        <v>22.0</v>
      </c>
      <c r="K40" s="5">
        <v>13.0</v>
      </c>
      <c r="L40" s="5">
        <v>14.0</v>
      </c>
      <c r="M40" s="5">
        <v>14.0</v>
      </c>
      <c r="N40" s="5">
        <v>105.0</v>
      </c>
      <c r="O40" s="5">
        <v>0.0</v>
      </c>
      <c r="P40" s="5">
        <v>15.0</v>
      </c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1" t="s">
        <v>63</v>
      </c>
      <c r="B41" s="2">
        <v>3.0</v>
      </c>
      <c r="D41" s="5">
        <v>76.0</v>
      </c>
      <c r="E41" s="5" t="s">
        <v>64</v>
      </c>
      <c r="F41" s="5"/>
      <c r="G41" s="5"/>
      <c r="H41" s="5">
        <v>26.0</v>
      </c>
      <c r="I41" s="5">
        <v>26.0</v>
      </c>
      <c r="J41" s="5">
        <v>24.0</v>
      </c>
      <c r="K41" s="5">
        <v>13.0</v>
      </c>
      <c r="L41" s="5">
        <v>15.0</v>
      </c>
      <c r="M41" s="5">
        <v>15.0</v>
      </c>
      <c r="N41" s="5">
        <v>112.0</v>
      </c>
      <c r="O41" s="5">
        <v>0.0</v>
      </c>
      <c r="P41" s="5">
        <v>20.0</v>
      </c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1" t="s">
        <v>65</v>
      </c>
      <c r="B42" s="2">
        <v>3.0</v>
      </c>
      <c r="D42" s="5">
        <v>77.0</v>
      </c>
      <c r="E42" s="5" t="s">
        <v>64</v>
      </c>
      <c r="F42" s="5"/>
      <c r="G42" s="5"/>
      <c r="H42" s="5">
        <v>28.0</v>
      </c>
      <c r="I42" s="5">
        <v>29.0</v>
      </c>
      <c r="J42" s="5">
        <v>26.0</v>
      </c>
      <c r="K42" s="5">
        <v>13.0</v>
      </c>
      <c r="L42" s="5">
        <v>15.0</v>
      </c>
      <c r="M42" s="5">
        <v>16.0</v>
      </c>
      <c r="N42" s="5">
        <v>118.0</v>
      </c>
      <c r="O42" s="5">
        <v>0.0</v>
      </c>
      <c r="P42" s="5">
        <v>25.0</v>
      </c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2.75" customHeight="1">
      <c r="A43" s="1" t="s">
        <v>66</v>
      </c>
      <c r="B43" s="2">
        <v>4.0</v>
      </c>
      <c r="D43" s="5">
        <v>78.0</v>
      </c>
      <c r="E43" s="5" t="s">
        <v>64</v>
      </c>
      <c r="F43" s="5"/>
      <c r="G43" s="5"/>
      <c r="H43" s="5">
        <v>31.0</v>
      </c>
      <c r="I43" s="5">
        <v>30.0</v>
      </c>
      <c r="J43" s="5">
        <v>26.0</v>
      </c>
      <c r="K43" s="5">
        <v>13.0</v>
      </c>
      <c r="L43" s="5">
        <v>15.0</v>
      </c>
      <c r="M43" s="5">
        <v>16.0</v>
      </c>
      <c r="N43" s="5">
        <v>121.0</v>
      </c>
      <c r="O43" s="5">
        <v>1.0</v>
      </c>
      <c r="P43" s="5">
        <v>30.0</v>
      </c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2.75" customHeight="1">
      <c r="A44" s="1" t="s">
        <v>67</v>
      </c>
      <c r="B44" s="2">
        <v>3.0</v>
      </c>
      <c r="D44" s="5">
        <v>79.0</v>
      </c>
      <c r="E44" s="5" t="s">
        <v>64</v>
      </c>
      <c r="F44" s="5"/>
      <c r="G44" s="5"/>
      <c r="H44" s="5">
        <v>32.0</v>
      </c>
      <c r="I44" s="5">
        <v>31.0</v>
      </c>
      <c r="J44" s="5">
        <v>26.0</v>
      </c>
      <c r="K44" s="5">
        <v>14.0</v>
      </c>
      <c r="L44" s="5">
        <v>16.0</v>
      </c>
      <c r="M44" s="5">
        <v>17.0</v>
      </c>
      <c r="N44" s="5">
        <v>124.0</v>
      </c>
      <c r="O44" s="5">
        <v>1.0</v>
      </c>
      <c r="P44" s="5">
        <v>35.0</v>
      </c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2.75" customHeight="1">
      <c r="A45" s="1" t="s">
        <v>68</v>
      </c>
      <c r="B45" s="2">
        <v>3.0</v>
      </c>
      <c r="D45" s="5">
        <v>80.0</v>
      </c>
      <c r="E45" s="5" t="s">
        <v>64</v>
      </c>
      <c r="F45" s="5"/>
      <c r="G45" s="5"/>
      <c r="H45" s="5">
        <v>33.0</v>
      </c>
      <c r="I45" s="5">
        <v>34.0</v>
      </c>
      <c r="J45" s="5">
        <v>26.0</v>
      </c>
      <c r="K45" s="5">
        <v>14.0</v>
      </c>
      <c r="L45" s="5">
        <v>17.0</v>
      </c>
      <c r="M45" s="5">
        <v>17.0</v>
      </c>
      <c r="N45" s="5">
        <v>126.0</v>
      </c>
      <c r="O45" s="5">
        <v>2.0</v>
      </c>
      <c r="P45" s="5">
        <v>40.0</v>
      </c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2.75" customHeight="1">
      <c r="A46" s="1" t="s">
        <v>69</v>
      </c>
      <c r="B46" s="2">
        <v>3.0</v>
      </c>
      <c r="D46" s="5">
        <v>81.0</v>
      </c>
      <c r="E46" s="5" t="s">
        <v>64</v>
      </c>
      <c r="F46" s="5"/>
      <c r="G46" s="5"/>
      <c r="H46" s="5">
        <v>35.0</v>
      </c>
      <c r="I46" s="5">
        <v>35.0</v>
      </c>
      <c r="J46" s="5">
        <v>27.0</v>
      </c>
      <c r="K46" s="5">
        <v>14.0</v>
      </c>
      <c r="L46" s="5">
        <v>18.0</v>
      </c>
      <c r="M46" s="5">
        <v>17.0</v>
      </c>
      <c r="N46" s="5">
        <v>129.0</v>
      </c>
      <c r="O46" s="5">
        <v>3.0</v>
      </c>
      <c r="P46" s="5">
        <v>45.0</v>
      </c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2.75" customHeight="1">
      <c r="A47" s="1" t="s">
        <v>70</v>
      </c>
      <c r="B47" s="2">
        <v>2.0</v>
      </c>
      <c r="D47" s="5">
        <v>82.0</v>
      </c>
      <c r="E47" s="5" t="s">
        <v>64</v>
      </c>
      <c r="F47" s="5"/>
      <c r="G47" s="5"/>
      <c r="H47" s="5">
        <v>35.0</v>
      </c>
      <c r="I47" s="5">
        <v>36.0</v>
      </c>
      <c r="J47" s="5">
        <v>27.0</v>
      </c>
      <c r="K47" s="5">
        <v>14.0</v>
      </c>
      <c r="L47" s="5">
        <v>20.0</v>
      </c>
      <c r="M47" s="5">
        <v>17.0</v>
      </c>
      <c r="N47" s="5">
        <v>135.0</v>
      </c>
      <c r="O47" s="5">
        <v>5.0</v>
      </c>
      <c r="P47" s="5">
        <v>50.0</v>
      </c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1" t="s">
        <v>71</v>
      </c>
      <c r="B48" s="2">
        <v>3.0</v>
      </c>
      <c r="D48" s="5">
        <v>83.0</v>
      </c>
      <c r="E48" s="5" t="s">
        <v>64</v>
      </c>
      <c r="F48" s="5"/>
      <c r="G48" s="5"/>
      <c r="H48" s="5">
        <v>37.0</v>
      </c>
      <c r="I48" s="5">
        <v>39.0</v>
      </c>
      <c r="J48" s="5">
        <v>28.0</v>
      </c>
      <c r="K48" s="5">
        <v>15.0</v>
      </c>
      <c r="L48" s="5">
        <v>20.0</v>
      </c>
      <c r="M48" s="5">
        <v>17.0</v>
      </c>
      <c r="N48" s="5">
        <v>136.0</v>
      </c>
      <c r="O48" s="5">
        <v>6.0</v>
      </c>
      <c r="P48" s="5">
        <v>55.0</v>
      </c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1" t="s">
        <v>72</v>
      </c>
      <c r="B49" s="2">
        <v>2.0</v>
      </c>
      <c r="D49" s="5">
        <v>84.0</v>
      </c>
      <c r="E49" s="5" t="s">
        <v>64</v>
      </c>
      <c r="F49" s="5"/>
      <c r="G49" s="5"/>
      <c r="H49" s="5">
        <v>38.0</v>
      </c>
      <c r="I49" s="5">
        <v>41.0</v>
      </c>
      <c r="J49" s="5">
        <v>29.0</v>
      </c>
      <c r="K49" s="5">
        <v>16.0</v>
      </c>
      <c r="L49" s="5">
        <v>23.0</v>
      </c>
      <c r="M49" s="5">
        <v>17.0</v>
      </c>
      <c r="N49" s="5">
        <v>143.0</v>
      </c>
      <c r="O49" s="5">
        <v>7.0</v>
      </c>
      <c r="P49" s="5">
        <v>60.0</v>
      </c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1" t="s">
        <v>73</v>
      </c>
      <c r="B50" s="2">
        <v>3.0</v>
      </c>
      <c r="D50" s="5">
        <v>85.0</v>
      </c>
      <c r="E50" s="5" t="s">
        <v>74</v>
      </c>
      <c r="F50" s="5"/>
      <c r="G50" s="5"/>
      <c r="H50" s="5">
        <v>39.0</v>
      </c>
      <c r="I50" s="5">
        <v>43.0</v>
      </c>
      <c r="J50" s="5">
        <v>30.0</v>
      </c>
      <c r="K50" s="5">
        <v>17.0</v>
      </c>
      <c r="L50" s="5">
        <v>24.0</v>
      </c>
      <c r="M50" s="5">
        <v>18.0</v>
      </c>
      <c r="N50" s="5">
        <v>160.0</v>
      </c>
      <c r="O50" s="5">
        <v>8.0</v>
      </c>
      <c r="P50" s="5">
        <v>65.0</v>
      </c>
      <c r="Q50" s="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2.75" customHeight="1">
      <c r="A51" s="1" t="s">
        <v>75</v>
      </c>
      <c r="B51" s="2">
        <v>2.0</v>
      </c>
      <c r="D51" s="5">
        <v>86.0</v>
      </c>
      <c r="E51" s="5" t="s">
        <v>74</v>
      </c>
      <c r="F51" s="5"/>
      <c r="G51" s="5"/>
      <c r="H51" s="5">
        <v>40.0</v>
      </c>
      <c r="I51" s="5">
        <v>47.0</v>
      </c>
      <c r="J51" s="5">
        <v>31.0</v>
      </c>
      <c r="K51" s="5">
        <v>17.0</v>
      </c>
      <c r="L51" s="5">
        <v>25.0</v>
      </c>
      <c r="M51" s="5">
        <v>20.0</v>
      </c>
      <c r="N51" s="5">
        <v>162.0</v>
      </c>
      <c r="O51" s="5">
        <v>11.0</v>
      </c>
      <c r="P51" s="5">
        <v>70.0</v>
      </c>
      <c r="Q51" s="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2.75" customHeight="1">
      <c r="A52" s="1" t="s">
        <v>76</v>
      </c>
      <c r="B52" s="2">
        <v>3.0</v>
      </c>
      <c r="D52" s="5">
        <v>87.0</v>
      </c>
      <c r="E52" s="5" t="s">
        <v>74</v>
      </c>
      <c r="F52" s="5"/>
      <c r="G52" s="5"/>
      <c r="H52" s="5">
        <v>41.0</v>
      </c>
      <c r="I52" s="5">
        <v>53.0</v>
      </c>
      <c r="J52" s="5">
        <v>31.0</v>
      </c>
      <c r="K52" s="5">
        <v>19.0</v>
      </c>
      <c r="L52" s="5">
        <v>26.0</v>
      </c>
      <c r="M52" s="5">
        <v>20.0</v>
      </c>
      <c r="N52" s="5">
        <v>166.0</v>
      </c>
      <c r="O52" s="5">
        <v>16.0</v>
      </c>
      <c r="P52" s="5">
        <v>75.0</v>
      </c>
      <c r="Q52" s="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2.75" customHeight="1">
      <c r="A53" s="1" t="s">
        <v>77</v>
      </c>
      <c r="B53" s="2">
        <v>3.0</v>
      </c>
      <c r="D53" s="5">
        <v>88.0</v>
      </c>
      <c r="E53" s="5" t="s">
        <v>74</v>
      </c>
      <c r="F53" s="5"/>
      <c r="G53" s="5"/>
      <c r="H53" s="5">
        <v>42.0</v>
      </c>
      <c r="I53" s="5">
        <v>56.0</v>
      </c>
      <c r="J53" s="5">
        <v>32.0</v>
      </c>
      <c r="K53" s="5">
        <v>21.0</v>
      </c>
      <c r="L53" s="5">
        <v>26.0</v>
      </c>
      <c r="M53" s="5">
        <v>21.0</v>
      </c>
      <c r="N53" s="5">
        <v>175.0</v>
      </c>
      <c r="O53" s="5">
        <v>19.0</v>
      </c>
      <c r="P53" s="5">
        <v>80.0</v>
      </c>
      <c r="Q53" s="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2.75" customHeight="1">
      <c r="A54" s="1" t="s">
        <v>78</v>
      </c>
      <c r="B54" s="2">
        <v>3.0</v>
      </c>
      <c r="D54" s="5">
        <v>89.0</v>
      </c>
      <c r="E54" s="5" t="s">
        <v>74</v>
      </c>
      <c r="F54" s="5"/>
      <c r="G54" s="5"/>
      <c r="H54" s="5">
        <v>43.0</v>
      </c>
      <c r="I54" s="5">
        <v>61.0</v>
      </c>
      <c r="J54" s="5">
        <v>40.0</v>
      </c>
      <c r="K54" s="5">
        <v>23.0</v>
      </c>
      <c r="L54" s="5">
        <v>32.0</v>
      </c>
      <c r="M54" s="5">
        <v>23.0</v>
      </c>
      <c r="N54" s="5">
        <v>178.0</v>
      </c>
      <c r="O54" s="5">
        <v>25.0</v>
      </c>
      <c r="P54" s="5">
        <v>85.0</v>
      </c>
      <c r="Q54" s="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2.75" customHeight="1">
      <c r="A55" s="1" t="s">
        <v>79</v>
      </c>
      <c r="B55" s="2">
        <v>3.0</v>
      </c>
      <c r="D55" s="5">
        <v>90.0</v>
      </c>
      <c r="E55" s="5" t="s">
        <v>74</v>
      </c>
      <c r="F55" s="5"/>
      <c r="G55" s="5"/>
      <c r="H55" s="5">
        <v>45.0</v>
      </c>
      <c r="I55" s="5">
        <v>62.0</v>
      </c>
      <c r="J55" s="5">
        <v>42.0</v>
      </c>
      <c r="K55" s="5">
        <v>25.0</v>
      </c>
      <c r="L55" s="5">
        <v>36.0</v>
      </c>
      <c r="M55" s="5">
        <v>23.0</v>
      </c>
      <c r="N55" s="5">
        <v>188.0</v>
      </c>
      <c r="O55" s="5">
        <v>32.0</v>
      </c>
      <c r="P55" s="5">
        <v>90.0</v>
      </c>
      <c r="Q55" s="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2.75" customHeight="1">
      <c r="A56" s="1" t="s">
        <v>80</v>
      </c>
      <c r="B56" s="2">
        <v>3.0</v>
      </c>
      <c r="D56" s="5">
        <v>91.0</v>
      </c>
      <c r="E56" s="5" t="s">
        <v>74</v>
      </c>
      <c r="F56" s="5"/>
      <c r="G56" s="5"/>
      <c r="H56" s="5">
        <v>51.0</v>
      </c>
      <c r="I56" s="5">
        <v>76.0</v>
      </c>
      <c r="J56" s="5">
        <v>52.0</v>
      </c>
      <c r="K56" s="5">
        <v>27.0</v>
      </c>
      <c r="L56" s="5">
        <v>41.0</v>
      </c>
      <c r="M56" s="5">
        <v>25.0</v>
      </c>
      <c r="N56" s="5">
        <v>211.0</v>
      </c>
      <c r="O56" s="5">
        <v>44.0</v>
      </c>
      <c r="P56" s="5">
        <v>95.0</v>
      </c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2.75" customHeight="1">
      <c r="A57" s="1" t="s">
        <v>81</v>
      </c>
      <c r="B57" s="2">
        <v>3.0</v>
      </c>
      <c r="D57" s="5">
        <v>92.0</v>
      </c>
      <c r="E57" s="5" t="s">
        <v>74</v>
      </c>
      <c r="F57" s="5"/>
      <c r="G57" s="5"/>
      <c r="H57" s="5">
        <v>52.0</v>
      </c>
      <c r="I57" s="5">
        <v>63.0</v>
      </c>
      <c r="J57" s="5">
        <v>53.0</v>
      </c>
      <c r="K57" s="5">
        <v>28.0</v>
      </c>
      <c r="L57" s="5">
        <v>42.0</v>
      </c>
      <c r="M57" s="5">
        <v>26.0</v>
      </c>
      <c r="N57" s="5">
        <v>212.0</v>
      </c>
      <c r="O57" s="5">
        <v>58.0</v>
      </c>
      <c r="P57" s="5">
        <v>99.0</v>
      </c>
      <c r="Q57" s="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2.75" customHeight="1">
      <c r="A58" s="1" t="s">
        <v>82</v>
      </c>
      <c r="B58" s="2">
        <v>4.0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2.75" customHeight="1">
      <c r="A59" s="1" t="s">
        <v>84</v>
      </c>
      <c r="B59" s="2">
        <v>2.0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2.75" customHeight="1">
      <c r="A60" s="1" t="s">
        <v>85</v>
      </c>
      <c r="B60" s="2">
        <v>4.0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2.75" customHeight="1">
      <c r="A61" s="1" t="s">
        <v>86</v>
      </c>
      <c r="B61" s="2">
        <v>3.0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2.75" customHeight="1">
      <c r="A62" s="1" t="s">
        <v>88</v>
      </c>
      <c r="B62" s="2">
        <v>3.0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2.75" customHeight="1">
      <c r="A63" s="1" t="s">
        <v>89</v>
      </c>
      <c r="B63" s="2">
        <v>2.0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2.75" customHeight="1">
      <c r="A64" s="1" t="s">
        <v>90</v>
      </c>
      <c r="B64" s="2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2.75" customHeight="1">
      <c r="A65" s="1" t="s">
        <v>92</v>
      </c>
      <c r="B65" s="2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2.75" customHeight="1">
      <c r="A66" s="1" t="s">
        <v>93</v>
      </c>
      <c r="B66" s="2">
        <v>3.0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2.75" customHeight="1">
      <c r="A67" s="1" t="s">
        <v>94</v>
      </c>
      <c r="B67" s="2">
        <v>2.0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2.75" customHeight="1">
      <c r="A68" s="1" t="s">
        <v>95</v>
      </c>
      <c r="B68" s="2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2.75" customHeight="1">
      <c r="A69" s="1" t="s">
        <v>96</v>
      </c>
      <c r="B69" s="2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2.75" customHeight="1">
      <c r="A70" s="1" t="s">
        <v>97</v>
      </c>
      <c r="B70" s="2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2.75" customHeight="1">
      <c r="A71" s="1" t="s">
        <v>98</v>
      </c>
      <c r="B71" s="2">
        <v>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2.75" customHeight="1">
      <c r="A72" s="1" t="s">
        <v>99</v>
      </c>
      <c r="B72" s="2">
        <v>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2.75" customHeight="1">
      <c r="A73" s="1" t="s">
        <v>100</v>
      </c>
      <c r="B73" s="2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2.75" customHeight="1">
      <c r="A74" s="1" t="s">
        <v>101</v>
      </c>
      <c r="B74" s="2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2.75" customHeight="1">
      <c r="A75" s="1" t="s">
        <v>102</v>
      </c>
      <c r="B75" s="2">
        <v>3.0</v>
      </c>
    </row>
    <row r="76" ht="12.75" customHeight="1">
      <c r="A76" s="1" t="s">
        <v>103</v>
      </c>
      <c r="B76" s="2">
        <v>3.0</v>
      </c>
    </row>
    <row r="77" ht="12.75" customHeight="1">
      <c r="A77" s="1" t="s">
        <v>104</v>
      </c>
      <c r="B77" s="2">
        <v>4.0</v>
      </c>
    </row>
    <row r="78" ht="12.75" customHeight="1">
      <c r="A78" s="1" t="s">
        <v>105</v>
      </c>
      <c r="B78" s="2">
        <v>4.0</v>
      </c>
    </row>
    <row r="79" ht="12.75" customHeight="1">
      <c r="A79" s="1" t="s">
        <v>106</v>
      </c>
      <c r="B79" s="2">
        <v>4.0</v>
      </c>
    </row>
    <row r="80" ht="12.75" customHeight="1">
      <c r="A80" s="1" t="s">
        <v>107</v>
      </c>
      <c r="B80" s="2">
        <v>4.0</v>
      </c>
    </row>
    <row r="81" ht="12.75" customHeight="1">
      <c r="A81" s="1" t="s">
        <v>108</v>
      </c>
      <c r="B81" s="2">
        <v>4.0</v>
      </c>
    </row>
    <row r="82" ht="12.75" customHeight="1">
      <c r="A82" s="1" t="s">
        <v>109</v>
      </c>
      <c r="B82" s="2">
        <v>4.0</v>
      </c>
    </row>
    <row r="83" ht="12.75" customHeight="1">
      <c r="A83" s="1" t="s">
        <v>110</v>
      </c>
      <c r="B83" s="2">
        <v>4.0</v>
      </c>
    </row>
    <row r="84" ht="12.75" customHeight="1">
      <c r="A84" s="1" t="s">
        <v>111</v>
      </c>
      <c r="B84" s="2">
        <v>4.0</v>
      </c>
    </row>
    <row r="85" ht="12.75" customHeight="1">
      <c r="A85" s="1" t="s">
        <v>112</v>
      </c>
      <c r="B85" s="2">
        <v>4.0</v>
      </c>
    </row>
    <row r="86" ht="12.75" customHeight="1">
      <c r="A86" s="1" t="s">
        <v>113</v>
      </c>
      <c r="B86" s="2">
        <v>3.0</v>
      </c>
    </row>
    <row r="87" ht="12.75" customHeight="1">
      <c r="A87" s="1" t="s">
        <v>114</v>
      </c>
      <c r="B87" s="2">
        <v>4.0</v>
      </c>
    </row>
    <row r="88" ht="12.75" customHeight="1">
      <c r="A88" s="1" t="s">
        <v>115</v>
      </c>
      <c r="B88" s="2">
        <v>4.0</v>
      </c>
    </row>
    <row r="89" ht="12.75" customHeight="1">
      <c r="A89" s="1" t="s">
        <v>116</v>
      </c>
      <c r="B89" s="2">
        <v>4.0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2">
        <v>1.0</v>
      </c>
      <c r="D1" s="3" t="s">
        <v>1</v>
      </c>
      <c r="E1" s="4">
        <v>21.0</v>
      </c>
    </row>
    <row r="2" ht="12.75" customHeight="1">
      <c r="A2" s="1" t="s">
        <v>2</v>
      </c>
      <c r="B2" s="2">
        <v>1.0</v>
      </c>
      <c r="D2" s="3" t="s">
        <v>3</v>
      </c>
      <c r="E2" s="4">
        <v>24.0</v>
      </c>
      <c r="G2" s="5"/>
      <c r="H2" s="5"/>
      <c r="I2" s="5"/>
      <c r="J2" s="6"/>
    </row>
    <row r="3" ht="12.75" customHeight="1">
      <c r="A3" s="1" t="s">
        <v>4</v>
      </c>
      <c r="B3" s="2">
        <v>1.0</v>
      </c>
      <c r="D3" s="3" t="s">
        <v>5</v>
      </c>
      <c r="E3" s="4">
        <v>20.0</v>
      </c>
      <c r="G3" s="7"/>
      <c r="H3" s="7">
        <f>COUNTIF(B1:B89,"3")</f>
        <v>16</v>
      </c>
      <c r="I3" s="7"/>
      <c r="J3" s="6"/>
    </row>
    <row r="4" ht="12.75" customHeight="1">
      <c r="A4" s="1" t="s">
        <v>6</v>
      </c>
      <c r="B4" s="2">
        <v>1.0</v>
      </c>
      <c r="D4" s="3" t="s">
        <v>7</v>
      </c>
      <c r="E4" s="4">
        <v>12.0</v>
      </c>
      <c r="G4" s="7"/>
      <c r="H4" s="7">
        <f>COUNTIF(B1:B89,"4")</f>
        <v>7</v>
      </c>
      <c r="I4" s="7"/>
      <c r="J4" s="6"/>
    </row>
    <row r="5" ht="12.75" customHeight="1">
      <c r="A5" s="1" t="s">
        <v>8</v>
      </c>
      <c r="B5" s="2"/>
      <c r="D5" s="3" t="s">
        <v>9</v>
      </c>
      <c r="E5" s="4">
        <v>13.0</v>
      </c>
      <c r="G5" s="7"/>
      <c r="H5" s="7">
        <f>SUM(H3:H4)</f>
        <v>23</v>
      </c>
      <c r="I5" s="7"/>
      <c r="J5" s="6"/>
    </row>
    <row r="6" ht="12.75" customHeight="1">
      <c r="A6" s="1" t="s">
        <v>10</v>
      </c>
      <c r="B6" s="2">
        <v>2.0</v>
      </c>
      <c r="D6" s="3" t="s">
        <v>11</v>
      </c>
      <c r="E6" s="4">
        <v>13.0</v>
      </c>
      <c r="G6" s="6"/>
      <c r="H6" s="6"/>
      <c r="I6" s="6"/>
      <c r="J6" s="6"/>
    </row>
    <row r="7" ht="12.75" customHeight="1">
      <c r="A7" s="1" t="s">
        <v>12</v>
      </c>
      <c r="B7" s="2">
        <v>1.0</v>
      </c>
      <c r="D7" s="3" t="s">
        <v>13</v>
      </c>
      <c r="E7" s="3">
        <f>SUM(E1:E5)</f>
        <v>90</v>
      </c>
    </row>
    <row r="8" ht="12.75" customHeight="1">
      <c r="A8" s="1" t="s">
        <v>14</v>
      </c>
      <c r="B8" s="2">
        <v>2.0</v>
      </c>
      <c r="D8" s="3" t="s">
        <v>15</v>
      </c>
      <c r="E8" s="3">
        <f>H5</f>
        <v>23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1.0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2.0</v>
      </c>
      <c r="D10" s="3" t="s">
        <v>1</v>
      </c>
      <c r="E10" s="4">
        <v>21.0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1.0</v>
      </c>
      <c r="D11" s="3" t="s">
        <v>3</v>
      </c>
      <c r="E11" s="4">
        <v>24.0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1.0</v>
      </c>
      <c r="D12" s="3" t="s">
        <v>5</v>
      </c>
      <c r="E12" s="4">
        <v>20.0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2">
        <v>2.0</v>
      </c>
      <c r="D13" s="3" t="s">
        <v>7</v>
      </c>
      <c r="E13" s="4">
        <v>12.0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2.0</v>
      </c>
      <c r="D14" s="3" t="s">
        <v>9</v>
      </c>
      <c r="E14" s="4">
        <v>13.0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2.0</v>
      </c>
      <c r="D15" s="3" t="s">
        <v>11</v>
      </c>
      <c r="E15" s="4">
        <v>13.0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2.0</v>
      </c>
      <c r="D16" s="3" t="s">
        <v>13</v>
      </c>
      <c r="E16" s="3">
        <f>VLOOKUP(E7,N37:P57,3,1)</f>
        <v>1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2">
        <v>1.0</v>
      </c>
      <c r="D17" s="3" t="s">
        <v>15</v>
      </c>
      <c r="E17" s="3">
        <f>VLOOKUP(E8,O37:P57,2,1)</f>
        <v>75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1.0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1.0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1.0</v>
      </c>
    </row>
    <row r="21" ht="12.75" customHeight="1">
      <c r="A21" s="1" t="s">
        <v>34</v>
      </c>
      <c r="B21" s="2">
        <v>1.0</v>
      </c>
      <c r="D21" s="3" t="s">
        <v>1</v>
      </c>
      <c r="E21" s="3" t="str">
        <f>VLOOKUP(E10,D39:E64,2,1)</f>
        <v>SEM SIGNIFICÂNCIA CLINICA</v>
      </c>
    </row>
    <row r="22" ht="12.75" customHeight="1">
      <c r="A22" s="1" t="s">
        <v>35</v>
      </c>
      <c r="B22" s="2">
        <v>1.0</v>
      </c>
      <c r="D22" s="3" t="s">
        <v>3</v>
      </c>
      <c r="E22" s="3" t="str">
        <f>VLOOKUP(E11,D39:E64,2,1)</f>
        <v>SEM SIGNIFICÂNCIA CLINICA</v>
      </c>
    </row>
    <row r="23" ht="12.75" customHeight="1">
      <c r="A23" s="1" t="s">
        <v>36</v>
      </c>
      <c r="B23" s="2">
        <v>3.0</v>
      </c>
      <c r="D23" s="3" t="s">
        <v>5</v>
      </c>
      <c r="E23" s="3" t="str">
        <f>VLOOKUP(E12,D39:E64,2,1)</f>
        <v>SEM SIGNIFICÂNCIA CLINICA</v>
      </c>
    </row>
    <row r="24" ht="12.75" customHeight="1">
      <c r="A24" s="1" t="s">
        <v>37</v>
      </c>
      <c r="B24" s="2">
        <v>3.0</v>
      </c>
      <c r="D24" s="3" t="s">
        <v>7</v>
      </c>
      <c r="E24" s="3" t="str">
        <f>VLOOKUP(E13,D39:E64,2,1)</f>
        <v>SEM SIGNIFICÂNCIA CLINICA</v>
      </c>
    </row>
    <row r="25" ht="12.75" customHeight="1">
      <c r="A25" s="1" t="s">
        <v>38</v>
      </c>
      <c r="B25" s="2">
        <v>3.0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2">
        <v>3.0</v>
      </c>
      <c r="D26" s="3" t="s">
        <v>11</v>
      </c>
      <c r="E26" s="3" t="str">
        <f>VLOOKUP(E15,D39:E64,2,1)</f>
        <v>SEM SIGNIFICÂNCIA CLINICA</v>
      </c>
    </row>
    <row r="27" ht="12.75" customHeight="1">
      <c r="A27" s="1" t="s">
        <v>40</v>
      </c>
      <c r="B27" s="2">
        <v>3.0</v>
      </c>
      <c r="D27" s="3" t="s">
        <v>13</v>
      </c>
      <c r="E27" s="3" t="str">
        <f>VLOOKUP(E16,D39:E64,2,1)</f>
        <v>SEM SIGNIFICÂNCIA CLINICA</v>
      </c>
    </row>
    <row r="28" ht="12.75" customHeight="1">
      <c r="A28" s="1" t="s">
        <v>41</v>
      </c>
      <c r="B28" s="2">
        <v>2.0</v>
      </c>
      <c r="D28" s="3" t="s">
        <v>15</v>
      </c>
      <c r="E28" s="3" t="str">
        <f>VLOOKUP(E17,D39:E64,2,1)</f>
        <v>SEM SIGNIFICÂNCIA CLINICA</v>
      </c>
    </row>
    <row r="29" ht="12.75" customHeight="1">
      <c r="A29" s="1" t="s">
        <v>42</v>
      </c>
      <c r="B29" s="2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2">
        <v>4.0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2">
        <v>3.0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 t="s">
        <v>45</v>
      </c>
      <c r="B32" s="2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2.75" customHeight="1">
      <c r="A33" s="1" t="s">
        <v>46</v>
      </c>
      <c r="B33" s="2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"/>
    </row>
    <row r="34" ht="12.75" customHeight="1">
      <c r="A34" s="1" t="s">
        <v>47</v>
      </c>
      <c r="B34" s="2">
        <v>4.0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</row>
    <row r="35" ht="12.75" customHeight="1">
      <c r="A35" s="1" t="s">
        <v>48</v>
      </c>
      <c r="B35" s="2">
        <v>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</row>
    <row r="36" ht="12.75" customHeight="1">
      <c r="A36" s="1" t="s">
        <v>49</v>
      </c>
      <c r="B36" s="2">
        <v>4.0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</row>
    <row r="37" ht="12.75" customHeight="1">
      <c r="A37" s="1" t="s">
        <v>58</v>
      </c>
      <c r="B37" s="2">
        <v>4.0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</row>
    <row r="38" ht="12.75" customHeight="1">
      <c r="A38" s="1" t="s">
        <v>59</v>
      </c>
      <c r="B38" s="2">
        <v>4.0</v>
      </c>
      <c r="D38" s="5"/>
      <c r="E38" s="5"/>
      <c r="F38" s="5"/>
      <c r="G38" s="5"/>
      <c r="H38" s="5">
        <v>22.0</v>
      </c>
      <c r="I38" s="5">
        <v>26.0</v>
      </c>
      <c r="J38" s="5">
        <v>21.0</v>
      </c>
      <c r="K38" s="5">
        <v>12.0</v>
      </c>
      <c r="L38" s="5">
        <v>13.0</v>
      </c>
      <c r="M38" s="5">
        <v>13.0</v>
      </c>
      <c r="N38" s="5">
        <v>95.0</v>
      </c>
      <c r="O38" s="5">
        <v>0.0</v>
      </c>
      <c r="P38" s="5">
        <v>5.0</v>
      </c>
      <c r="Q38" s="5"/>
      <c r="R38" s="1"/>
    </row>
    <row r="39" ht="12.75" customHeight="1">
      <c r="A39" s="1" t="s">
        <v>60</v>
      </c>
      <c r="B39" s="2">
        <v>3.0</v>
      </c>
      <c r="D39" s="5">
        <v>1.0</v>
      </c>
      <c r="E39" s="5" t="s">
        <v>61</v>
      </c>
      <c r="F39" s="5"/>
      <c r="G39" s="5"/>
      <c r="H39" s="5">
        <v>24.0</v>
      </c>
      <c r="I39" s="5">
        <v>26.0</v>
      </c>
      <c r="J39" s="5">
        <v>21.0</v>
      </c>
      <c r="K39" s="5">
        <v>12.0</v>
      </c>
      <c r="L39" s="5">
        <v>14.0</v>
      </c>
      <c r="M39" s="5">
        <v>13.0</v>
      </c>
      <c r="N39" s="5">
        <v>111.0</v>
      </c>
      <c r="O39" s="5">
        <v>0.0</v>
      </c>
      <c r="P39" s="5">
        <v>10.0</v>
      </c>
      <c r="Q39" s="5"/>
      <c r="R39" s="1"/>
    </row>
    <row r="40" ht="12.75" customHeight="1">
      <c r="A40" s="1" t="s">
        <v>62</v>
      </c>
      <c r="B40" s="2">
        <v>3.0</v>
      </c>
      <c r="D40" s="5">
        <v>75.0</v>
      </c>
      <c r="E40" s="5" t="s">
        <v>61</v>
      </c>
      <c r="F40" s="5"/>
      <c r="G40" s="5"/>
      <c r="H40" s="5">
        <v>27.0</v>
      </c>
      <c r="I40" s="5">
        <v>27.0</v>
      </c>
      <c r="J40" s="5">
        <v>23.0</v>
      </c>
      <c r="K40" s="5">
        <v>12.0</v>
      </c>
      <c r="L40" s="5">
        <v>14.0</v>
      </c>
      <c r="M40" s="5">
        <v>13.0</v>
      </c>
      <c r="N40" s="5">
        <v>115.0</v>
      </c>
      <c r="O40" s="5">
        <v>0.0</v>
      </c>
      <c r="P40" s="5">
        <v>15.0</v>
      </c>
      <c r="Q40" s="5"/>
      <c r="R40" s="1"/>
    </row>
    <row r="41" ht="12.75" customHeight="1">
      <c r="A41" s="1" t="s">
        <v>63</v>
      </c>
      <c r="B41" s="2">
        <v>3.0</v>
      </c>
      <c r="D41" s="5">
        <v>76.0</v>
      </c>
      <c r="E41" s="5" t="s">
        <v>64</v>
      </c>
      <c r="F41" s="5"/>
      <c r="G41" s="5"/>
      <c r="H41" s="5">
        <v>28.0</v>
      </c>
      <c r="I41" s="5">
        <v>31.0</v>
      </c>
      <c r="J41" s="5">
        <v>24.0</v>
      </c>
      <c r="K41" s="5">
        <v>14.0</v>
      </c>
      <c r="L41" s="5">
        <v>15.0</v>
      </c>
      <c r="M41" s="5">
        <v>15.0</v>
      </c>
      <c r="N41" s="5">
        <v>119.0</v>
      </c>
      <c r="O41" s="5">
        <v>0.0</v>
      </c>
      <c r="P41" s="5">
        <v>20.0</v>
      </c>
      <c r="Q41" s="5"/>
      <c r="R41" s="1"/>
    </row>
    <row r="42" ht="12.75" customHeight="1">
      <c r="A42" s="1" t="s">
        <v>65</v>
      </c>
      <c r="B42" s="2">
        <v>3.0</v>
      </c>
      <c r="D42" s="5">
        <v>77.0</v>
      </c>
      <c r="E42" s="5" t="s">
        <v>64</v>
      </c>
      <c r="F42" s="5"/>
      <c r="G42" s="5"/>
      <c r="H42" s="5">
        <v>29.0</v>
      </c>
      <c r="I42" s="5">
        <v>33.0</v>
      </c>
      <c r="J42" s="5">
        <v>25.0</v>
      </c>
      <c r="K42" s="5">
        <v>14.0</v>
      </c>
      <c r="L42" s="5">
        <v>16.0</v>
      </c>
      <c r="M42" s="5">
        <v>16.0</v>
      </c>
      <c r="N42" s="5">
        <v>127.0</v>
      </c>
      <c r="O42" s="5">
        <v>1.0</v>
      </c>
      <c r="P42" s="5">
        <v>25.0</v>
      </c>
      <c r="Q42" s="5"/>
      <c r="R42" s="1"/>
    </row>
    <row r="43" ht="12.75" customHeight="1">
      <c r="A43" s="1" t="s">
        <v>66</v>
      </c>
      <c r="B43" s="2">
        <v>2.0</v>
      </c>
      <c r="D43" s="5">
        <v>78.0</v>
      </c>
      <c r="E43" s="5" t="s">
        <v>64</v>
      </c>
      <c r="F43" s="5"/>
      <c r="G43" s="5"/>
      <c r="H43" s="5">
        <v>30.0</v>
      </c>
      <c r="I43" s="5">
        <v>33.0</v>
      </c>
      <c r="J43" s="5">
        <v>25.0</v>
      </c>
      <c r="K43" s="5">
        <v>14.0</v>
      </c>
      <c r="L43" s="5">
        <v>16.0</v>
      </c>
      <c r="M43" s="5">
        <v>17.0</v>
      </c>
      <c r="N43" s="5">
        <v>131.0</v>
      </c>
      <c r="O43" s="5">
        <v>1.0</v>
      </c>
      <c r="P43" s="5">
        <v>30.0</v>
      </c>
      <c r="Q43" s="5"/>
      <c r="R43" s="1"/>
    </row>
    <row r="44" ht="12.75" customHeight="1">
      <c r="A44" s="1" t="s">
        <v>67</v>
      </c>
      <c r="B44" s="2">
        <v>2.0</v>
      </c>
      <c r="D44" s="5">
        <v>79.0</v>
      </c>
      <c r="E44" s="5" t="s">
        <v>64</v>
      </c>
      <c r="F44" s="5"/>
      <c r="G44" s="5"/>
      <c r="H44" s="5">
        <v>31.0</v>
      </c>
      <c r="I44" s="5">
        <v>34.0</v>
      </c>
      <c r="J44" s="5">
        <v>28.0</v>
      </c>
      <c r="K44" s="5">
        <v>16.0</v>
      </c>
      <c r="L44" s="5">
        <v>18.0</v>
      </c>
      <c r="M44" s="5">
        <v>17.0</v>
      </c>
      <c r="N44" s="5">
        <v>137.0</v>
      </c>
      <c r="O44" s="5">
        <v>2.0</v>
      </c>
      <c r="P44" s="5">
        <v>35.0</v>
      </c>
      <c r="Q44" s="5"/>
      <c r="R44" s="1"/>
    </row>
    <row r="45" ht="12.75" customHeight="1">
      <c r="A45" s="1" t="s">
        <v>68</v>
      </c>
      <c r="B45" s="2">
        <v>1.0</v>
      </c>
      <c r="D45" s="5">
        <v>80.0</v>
      </c>
      <c r="E45" s="5" t="s">
        <v>64</v>
      </c>
      <c r="F45" s="5"/>
      <c r="G45" s="5"/>
      <c r="H45" s="5">
        <v>34.0</v>
      </c>
      <c r="I45" s="5">
        <v>35.0</v>
      </c>
      <c r="J45" s="5">
        <v>32.0</v>
      </c>
      <c r="K45" s="5">
        <v>16.0</v>
      </c>
      <c r="L45" s="5">
        <v>18.0</v>
      </c>
      <c r="M45" s="5">
        <v>17.0</v>
      </c>
      <c r="N45" s="5">
        <v>146.0</v>
      </c>
      <c r="O45" s="5">
        <v>3.0</v>
      </c>
      <c r="P45" s="5">
        <v>40.0</v>
      </c>
      <c r="Q45" s="5"/>
      <c r="R45" s="1"/>
    </row>
    <row r="46" ht="12.75" customHeight="1">
      <c r="A46" s="1" t="s">
        <v>69</v>
      </c>
      <c r="B46" s="2">
        <v>1.0</v>
      </c>
      <c r="D46" s="5">
        <v>81.0</v>
      </c>
      <c r="E46" s="5" t="s">
        <v>64</v>
      </c>
      <c r="F46" s="5"/>
      <c r="G46" s="5"/>
      <c r="H46" s="5">
        <v>35.0</v>
      </c>
      <c r="I46" s="5">
        <v>35.0</v>
      </c>
      <c r="J46" s="5">
        <v>32.0</v>
      </c>
      <c r="K46" s="5">
        <v>16.0</v>
      </c>
      <c r="L46" s="5">
        <v>20.0</v>
      </c>
      <c r="M46" s="5">
        <v>18.0</v>
      </c>
      <c r="N46" s="5">
        <v>152.0</v>
      </c>
      <c r="O46" s="5">
        <v>3.0</v>
      </c>
      <c r="P46" s="5">
        <v>45.0</v>
      </c>
      <c r="Q46" s="5"/>
      <c r="R46" s="1"/>
    </row>
    <row r="47" ht="12.75" customHeight="1">
      <c r="A47" s="1" t="s">
        <v>70</v>
      </c>
      <c r="B47" s="2">
        <v>1.0</v>
      </c>
      <c r="D47" s="5">
        <v>82.0</v>
      </c>
      <c r="E47" s="5" t="s">
        <v>64</v>
      </c>
      <c r="F47" s="5"/>
      <c r="G47" s="5"/>
      <c r="H47" s="5">
        <v>37.0</v>
      </c>
      <c r="I47" s="5">
        <v>36.0</v>
      </c>
      <c r="J47" s="5">
        <v>33.0</v>
      </c>
      <c r="K47" s="5">
        <v>17.0</v>
      </c>
      <c r="L47" s="5">
        <v>23.0</v>
      </c>
      <c r="M47" s="5">
        <v>20.0</v>
      </c>
      <c r="N47" s="5">
        <v>156.0</v>
      </c>
      <c r="O47" s="5">
        <v>5.0</v>
      </c>
      <c r="P47" s="5">
        <v>50.0</v>
      </c>
      <c r="Q47" s="5"/>
      <c r="R47" s="1"/>
    </row>
    <row r="48" ht="12.75" customHeight="1">
      <c r="A48" s="1" t="s">
        <v>71</v>
      </c>
      <c r="B48" s="2">
        <v>1.0</v>
      </c>
      <c r="D48" s="5">
        <v>83.0</v>
      </c>
      <c r="E48" s="5" t="s">
        <v>64</v>
      </c>
      <c r="F48" s="5"/>
      <c r="G48" s="5"/>
      <c r="H48" s="5">
        <v>44.0</v>
      </c>
      <c r="I48" s="5">
        <v>38.0</v>
      </c>
      <c r="J48" s="5">
        <v>34.0</v>
      </c>
      <c r="K48" s="5">
        <v>17.0</v>
      </c>
      <c r="L48" s="5">
        <v>27.0</v>
      </c>
      <c r="M48" s="5">
        <v>20.0</v>
      </c>
      <c r="N48" s="5">
        <v>164.0</v>
      </c>
      <c r="O48" s="5">
        <v>7.0</v>
      </c>
      <c r="P48" s="5">
        <v>55.0</v>
      </c>
      <c r="Q48" s="5"/>
      <c r="R48" s="1"/>
    </row>
    <row r="49" ht="12.75" customHeight="1">
      <c r="A49" s="1" t="s">
        <v>72</v>
      </c>
      <c r="B49" s="2">
        <v>1.0</v>
      </c>
      <c r="D49" s="5">
        <v>84.0</v>
      </c>
      <c r="E49" s="5" t="s">
        <v>64</v>
      </c>
      <c r="F49" s="5"/>
      <c r="G49" s="5"/>
      <c r="H49" s="5">
        <v>47.0</v>
      </c>
      <c r="I49" s="5">
        <v>40.0</v>
      </c>
      <c r="J49" s="5">
        <v>35.0</v>
      </c>
      <c r="K49" s="5">
        <v>18.0</v>
      </c>
      <c r="L49" s="5">
        <v>28.0</v>
      </c>
      <c r="M49" s="5">
        <v>21.0</v>
      </c>
      <c r="N49" s="5">
        <v>168.0</v>
      </c>
      <c r="O49" s="5">
        <v>9.0</v>
      </c>
      <c r="P49" s="5">
        <v>60.0</v>
      </c>
      <c r="Q49" s="5"/>
      <c r="R49" s="1"/>
    </row>
    <row r="50" ht="12.75" customHeight="1">
      <c r="A50" s="1" t="s">
        <v>73</v>
      </c>
      <c r="B50" s="2">
        <v>2.0</v>
      </c>
      <c r="D50" s="5">
        <v>85.0</v>
      </c>
      <c r="E50" s="5" t="s">
        <v>74</v>
      </c>
      <c r="F50" s="5"/>
      <c r="G50" s="5"/>
      <c r="H50" s="5">
        <v>48.0</v>
      </c>
      <c r="I50" s="5">
        <v>41.0</v>
      </c>
      <c r="J50" s="5">
        <v>38.0</v>
      </c>
      <c r="K50" s="5">
        <v>20.0</v>
      </c>
      <c r="L50" s="5">
        <v>31.0</v>
      </c>
      <c r="M50" s="5">
        <v>24.0</v>
      </c>
      <c r="N50" s="5">
        <v>177.0</v>
      </c>
      <c r="O50" s="5">
        <v>12.0</v>
      </c>
      <c r="P50" s="5">
        <v>65.0</v>
      </c>
      <c r="Q50" s="5"/>
      <c r="R50" s="1"/>
    </row>
    <row r="51" ht="12.75" customHeight="1">
      <c r="A51" s="1" t="s">
        <v>75</v>
      </c>
      <c r="B51" s="2">
        <v>1.0</v>
      </c>
      <c r="D51" s="5">
        <v>86.0</v>
      </c>
      <c r="E51" s="5" t="s">
        <v>74</v>
      </c>
      <c r="F51" s="5"/>
      <c r="G51" s="5"/>
      <c r="H51" s="5">
        <v>53.0</v>
      </c>
      <c r="I51" s="5">
        <v>43.0</v>
      </c>
      <c r="J51" s="5">
        <v>41.0</v>
      </c>
      <c r="K51" s="5">
        <v>22.0</v>
      </c>
      <c r="L51" s="5">
        <v>34.0</v>
      </c>
      <c r="M51" s="5">
        <v>25.0</v>
      </c>
      <c r="N51" s="5">
        <v>187.0</v>
      </c>
      <c r="O51" s="5">
        <v>16.0</v>
      </c>
      <c r="P51" s="5">
        <v>70.0</v>
      </c>
      <c r="Q51" s="5"/>
      <c r="R51" s="1"/>
    </row>
    <row r="52" ht="12.75" customHeight="1">
      <c r="A52" s="1" t="s">
        <v>76</v>
      </c>
      <c r="B52" s="2">
        <v>2.0</v>
      </c>
      <c r="D52" s="5">
        <v>87.0</v>
      </c>
      <c r="E52" s="5" t="s">
        <v>74</v>
      </c>
      <c r="F52" s="5"/>
      <c r="G52" s="5"/>
      <c r="H52" s="5">
        <v>56.0</v>
      </c>
      <c r="I52" s="5">
        <v>47.0</v>
      </c>
      <c r="J52" s="5">
        <v>43.0</v>
      </c>
      <c r="K52" s="5">
        <v>25.0</v>
      </c>
      <c r="L52" s="5">
        <v>36.0</v>
      </c>
      <c r="M52" s="5">
        <v>26.0</v>
      </c>
      <c r="N52" s="5">
        <v>194.0</v>
      </c>
      <c r="O52" s="5">
        <v>20.0</v>
      </c>
      <c r="P52" s="5">
        <v>75.0</v>
      </c>
      <c r="Q52" s="5"/>
      <c r="R52" s="1"/>
    </row>
    <row r="53" ht="12.75" customHeight="1">
      <c r="A53" s="1" t="s">
        <v>77</v>
      </c>
      <c r="B53" s="2">
        <v>1.0</v>
      </c>
      <c r="D53" s="5">
        <v>88.0</v>
      </c>
      <c r="E53" s="5" t="s">
        <v>74</v>
      </c>
      <c r="F53" s="5"/>
      <c r="G53" s="5"/>
      <c r="H53" s="5">
        <v>56.0</v>
      </c>
      <c r="I53" s="5">
        <v>51.0</v>
      </c>
      <c r="J53" s="5">
        <v>48.0</v>
      </c>
      <c r="K53" s="5">
        <v>26.0</v>
      </c>
      <c r="L53" s="5">
        <v>38.0</v>
      </c>
      <c r="M53" s="5">
        <v>27.0</v>
      </c>
      <c r="N53" s="5">
        <v>210.0</v>
      </c>
      <c r="O53" s="5">
        <v>25.0</v>
      </c>
      <c r="P53" s="5">
        <v>80.0</v>
      </c>
      <c r="Q53" s="5"/>
      <c r="R53" s="1"/>
    </row>
    <row r="54" ht="12.75" customHeight="1">
      <c r="A54" s="1" t="s">
        <v>78</v>
      </c>
      <c r="B54" s="2">
        <v>1.0</v>
      </c>
      <c r="D54" s="5">
        <v>89.0</v>
      </c>
      <c r="E54" s="5" t="s">
        <v>74</v>
      </c>
      <c r="F54" s="5"/>
      <c r="G54" s="5"/>
      <c r="H54" s="5">
        <v>60.0</v>
      </c>
      <c r="I54" s="5">
        <v>55.0</v>
      </c>
      <c r="J54" s="5">
        <v>50.0</v>
      </c>
      <c r="K54" s="5">
        <v>27.0</v>
      </c>
      <c r="L54" s="5">
        <v>44.0</v>
      </c>
      <c r="M54" s="5">
        <v>28.0</v>
      </c>
      <c r="N54" s="5">
        <v>214.0</v>
      </c>
      <c r="O54" s="5">
        <v>33.0</v>
      </c>
      <c r="P54" s="5">
        <v>85.0</v>
      </c>
      <c r="Q54" s="5"/>
      <c r="R54" s="1"/>
    </row>
    <row r="55" ht="12.75" customHeight="1">
      <c r="A55" s="1" t="s">
        <v>79</v>
      </c>
      <c r="B55" s="2">
        <v>3.0</v>
      </c>
      <c r="D55" s="5">
        <v>90.0</v>
      </c>
      <c r="E55" s="5" t="s">
        <v>74</v>
      </c>
      <c r="F55" s="5"/>
      <c r="G55" s="5"/>
      <c r="H55" s="5">
        <v>64.0</v>
      </c>
      <c r="I55" s="5">
        <v>63.0</v>
      </c>
      <c r="J55" s="5">
        <v>52.0</v>
      </c>
      <c r="K55" s="5">
        <v>30.0</v>
      </c>
      <c r="L55" s="5">
        <v>46.0</v>
      </c>
      <c r="M55" s="5">
        <v>31.0</v>
      </c>
      <c r="N55" s="5">
        <v>227.0</v>
      </c>
      <c r="O55" s="5">
        <v>38.0</v>
      </c>
      <c r="P55" s="5">
        <v>90.0</v>
      </c>
      <c r="Q55" s="5"/>
      <c r="R55" s="1"/>
    </row>
    <row r="56" ht="12.75" customHeight="1">
      <c r="A56" s="1" t="s">
        <v>80</v>
      </c>
      <c r="B56" s="2">
        <v>2.0</v>
      </c>
      <c r="D56" s="5">
        <v>91.0</v>
      </c>
      <c r="E56" s="5" t="s">
        <v>74</v>
      </c>
      <c r="F56" s="5"/>
      <c r="G56" s="5"/>
      <c r="H56" s="5">
        <v>73.0</v>
      </c>
      <c r="I56" s="5">
        <v>76.0</v>
      </c>
      <c r="J56" s="5">
        <v>58.0</v>
      </c>
      <c r="K56" s="5">
        <v>37.0</v>
      </c>
      <c r="L56" s="5">
        <v>49.0</v>
      </c>
      <c r="M56" s="5">
        <v>33.0</v>
      </c>
      <c r="N56" s="5">
        <v>266.0</v>
      </c>
      <c r="O56" s="5">
        <v>49.0</v>
      </c>
      <c r="P56" s="5">
        <v>95.0</v>
      </c>
      <c r="Q56" s="5"/>
      <c r="R56" s="1"/>
    </row>
    <row r="57" ht="12.75" customHeight="1">
      <c r="A57" s="1" t="s">
        <v>81</v>
      </c>
      <c r="B57" s="2">
        <v>1.0</v>
      </c>
      <c r="D57" s="5">
        <v>92.0</v>
      </c>
      <c r="E57" s="5" t="s">
        <v>74</v>
      </c>
      <c r="F57" s="5"/>
      <c r="G57" s="5"/>
      <c r="H57" s="5">
        <v>74.0</v>
      </c>
      <c r="I57" s="5">
        <v>77.0</v>
      </c>
      <c r="J57" s="5">
        <v>59.0</v>
      </c>
      <c r="K57" s="5">
        <v>38.0</v>
      </c>
      <c r="L57" s="5">
        <v>50.0</v>
      </c>
      <c r="M57" s="5">
        <v>34.0</v>
      </c>
      <c r="N57" s="5">
        <v>267.0</v>
      </c>
      <c r="O57" s="5">
        <v>67.0</v>
      </c>
      <c r="P57" s="5">
        <v>99.0</v>
      </c>
      <c r="Q57" s="5"/>
      <c r="R57" s="1"/>
    </row>
    <row r="58" ht="12.75" customHeight="1">
      <c r="A58" s="1" t="s">
        <v>82</v>
      </c>
      <c r="B58" s="2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</row>
    <row r="59" ht="12.75" customHeight="1">
      <c r="A59" s="1" t="s">
        <v>84</v>
      </c>
      <c r="B59" s="2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</row>
    <row r="60" ht="12.75" customHeight="1">
      <c r="A60" s="1" t="s">
        <v>85</v>
      </c>
      <c r="B60" s="2">
        <v>1.0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</row>
    <row r="61" ht="12.75" customHeight="1">
      <c r="A61" s="1" t="s">
        <v>86</v>
      </c>
      <c r="B61" s="2">
        <v>1.0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</row>
    <row r="62" ht="12.75" customHeight="1">
      <c r="A62" s="1" t="s">
        <v>88</v>
      </c>
      <c r="B62" s="2">
        <v>1.0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</row>
    <row r="63" ht="12.75" customHeight="1">
      <c r="A63" s="1" t="s">
        <v>89</v>
      </c>
      <c r="B63" s="2">
        <v>1.0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</row>
    <row r="64" ht="12.75" customHeight="1">
      <c r="A64" s="1" t="s">
        <v>90</v>
      </c>
      <c r="B64" s="2">
        <v>1.0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</row>
    <row r="65" ht="12.75" customHeight="1">
      <c r="A65" s="1" t="s">
        <v>92</v>
      </c>
      <c r="B65" s="2">
        <v>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</row>
    <row r="66" ht="12.75" customHeight="1">
      <c r="A66" s="1" t="s">
        <v>93</v>
      </c>
      <c r="B66" s="2">
        <v>1.0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1" t="s">
        <v>94</v>
      </c>
      <c r="B67" s="2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1" t="s">
        <v>95</v>
      </c>
      <c r="B68" s="2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2.75" customHeight="1">
      <c r="A69" s="1" t="s">
        <v>96</v>
      </c>
      <c r="B69" s="2">
        <v>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2.75" customHeight="1">
      <c r="A70" s="1" t="s">
        <v>97</v>
      </c>
      <c r="B70" s="2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2.75" customHeight="1">
      <c r="A71" s="1" t="s">
        <v>98</v>
      </c>
      <c r="B71" s="2">
        <v>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2.75" customHeight="1">
      <c r="A72" s="1" t="s">
        <v>99</v>
      </c>
      <c r="B72" s="2">
        <v>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2.75" customHeight="1">
      <c r="A73" s="1" t="s">
        <v>100</v>
      </c>
      <c r="B73" s="2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2.75" customHeight="1">
      <c r="A74" s="1" t="s">
        <v>101</v>
      </c>
      <c r="B74" s="2">
        <v>1.0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2.75" customHeight="1">
      <c r="A75" s="1" t="s">
        <v>102</v>
      </c>
      <c r="B75" s="2">
        <v>1.0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2.75" customHeight="1">
      <c r="A76" s="1" t="s">
        <v>103</v>
      </c>
      <c r="B76" s="2">
        <v>1.0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2.75" customHeight="1">
      <c r="A77" s="1" t="s">
        <v>104</v>
      </c>
      <c r="B77" s="2">
        <v>2.0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2.75" customHeight="1">
      <c r="A78" s="1" t="s">
        <v>105</v>
      </c>
      <c r="B78" s="2">
        <v>2.0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2.75" customHeight="1">
      <c r="A79" s="1" t="s">
        <v>106</v>
      </c>
      <c r="B79" s="2">
        <v>1.0</v>
      </c>
    </row>
    <row r="80" ht="12.75" customHeight="1">
      <c r="A80" s="1" t="s">
        <v>107</v>
      </c>
      <c r="B80" s="2">
        <v>1.0</v>
      </c>
    </row>
    <row r="81" ht="12.75" customHeight="1">
      <c r="A81" s="1" t="s">
        <v>108</v>
      </c>
      <c r="B81" s="2">
        <v>2.0</v>
      </c>
    </row>
    <row r="82" ht="12.75" customHeight="1">
      <c r="A82" s="1" t="s">
        <v>109</v>
      </c>
      <c r="B82" s="2">
        <v>2.0</v>
      </c>
    </row>
    <row r="83" ht="12.75" customHeight="1">
      <c r="A83" s="1" t="s">
        <v>110</v>
      </c>
      <c r="B83" s="2">
        <v>3.0</v>
      </c>
    </row>
    <row r="84" ht="12.75" customHeight="1">
      <c r="A84" s="1" t="s">
        <v>111</v>
      </c>
      <c r="B84" s="2">
        <v>2.0</v>
      </c>
    </row>
    <row r="85" ht="12.75" customHeight="1">
      <c r="A85" s="1" t="s">
        <v>112</v>
      </c>
      <c r="B85" s="2">
        <v>2.0</v>
      </c>
    </row>
    <row r="86" ht="12.75" customHeight="1">
      <c r="A86" s="1" t="s">
        <v>113</v>
      </c>
      <c r="B86" s="2">
        <v>3.0</v>
      </c>
    </row>
    <row r="87" ht="12.75" customHeight="1">
      <c r="A87" s="1" t="s">
        <v>114</v>
      </c>
      <c r="B87" s="2">
        <v>1.0</v>
      </c>
    </row>
    <row r="88" ht="12.75" customHeight="1">
      <c r="A88" s="1" t="s">
        <v>115</v>
      </c>
      <c r="B88" s="2">
        <v>1.0</v>
      </c>
    </row>
    <row r="89" ht="12.75" customHeight="1">
      <c r="A89" s="1" t="s">
        <v>116</v>
      </c>
      <c r="B89" s="2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30" width="8.63"/>
  </cols>
  <sheetData>
    <row r="1" ht="12.75" customHeight="1">
      <c r="A1" s="1" t="s">
        <v>0</v>
      </c>
      <c r="B1" s="2">
        <v>1.0</v>
      </c>
      <c r="D1" s="3" t="s">
        <v>1</v>
      </c>
      <c r="E1" s="3">
        <f>SUM(B1:B21)</f>
        <v>27</v>
      </c>
    </row>
    <row r="2" ht="12.75" customHeight="1">
      <c r="A2" s="1" t="s">
        <v>2</v>
      </c>
      <c r="B2" s="2">
        <v>1.0</v>
      </c>
      <c r="D2" s="3" t="s">
        <v>3</v>
      </c>
      <c r="E2" s="3">
        <f>SUM(B22:B45)</f>
        <v>72</v>
      </c>
      <c r="G2" s="5"/>
      <c r="H2" s="5"/>
      <c r="I2" s="5"/>
      <c r="J2" s="6"/>
    </row>
    <row r="3" ht="12.75" customHeight="1">
      <c r="A3" s="1" t="s">
        <v>4</v>
      </c>
      <c r="B3" s="2">
        <v>1.0</v>
      </c>
      <c r="D3" s="3" t="s">
        <v>5</v>
      </c>
      <c r="E3" s="3">
        <f>SUM(B46:B64)</f>
        <v>25</v>
      </c>
      <c r="G3" s="7"/>
      <c r="H3" s="7">
        <f>COUNTIF(B1:B89,"3")</f>
        <v>16</v>
      </c>
      <c r="I3" s="7"/>
      <c r="J3" s="6"/>
    </row>
    <row r="4" ht="12.75" customHeight="1">
      <c r="A4" s="1" t="s">
        <v>6</v>
      </c>
      <c r="B4" s="2">
        <v>1.0</v>
      </c>
      <c r="D4" s="3" t="s">
        <v>7</v>
      </c>
      <c r="E4" s="3">
        <f>SUM(B65:B76)</f>
        <v>12</v>
      </c>
      <c r="G4" s="7"/>
      <c r="H4" s="7">
        <f>COUNTIF(B1:B89,"4")</f>
        <v>7</v>
      </c>
      <c r="I4" s="7"/>
      <c r="J4" s="6"/>
    </row>
    <row r="5" ht="12.75" customHeight="1">
      <c r="A5" s="1" t="s">
        <v>8</v>
      </c>
      <c r="B5" s="2"/>
      <c r="D5" s="3" t="s">
        <v>9</v>
      </c>
      <c r="E5" s="3">
        <f>SUM(B77:B89)</f>
        <v>25</v>
      </c>
      <c r="G5" s="7"/>
      <c r="H5" s="7">
        <f>SUM(H3:H4)</f>
        <v>23</v>
      </c>
      <c r="I5" s="7"/>
      <c r="J5" s="6"/>
    </row>
    <row r="6" ht="12.75" customHeight="1">
      <c r="A6" s="1" t="s">
        <v>10</v>
      </c>
      <c r="B6" s="2">
        <v>2.0</v>
      </c>
      <c r="D6" s="3" t="s">
        <v>11</v>
      </c>
      <c r="E6" s="3">
        <f>SUM(B1,B6,B14,B16,B24,B49,B50,B55,B60,B65,B69)</f>
        <v>19</v>
      </c>
      <c r="G6" s="6"/>
      <c r="H6" s="6"/>
      <c r="I6" s="6"/>
      <c r="J6" s="6"/>
    </row>
    <row r="7" ht="12.75" customHeight="1">
      <c r="A7" s="1" t="s">
        <v>12</v>
      </c>
      <c r="B7" s="2">
        <v>1.0</v>
      </c>
      <c r="D7" s="3" t="s">
        <v>13</v>
      </c>
      <c r="E7" s="3">
        <f>SUM(E1:E5)</f>
        <v>161</v>
      </c>
    </row>
    <row r="8" ht="12.75" customHeight="1">
      <c r="A8" s="1" t="s">
        <v>14</v>
      </c>
      <c r="B8" s="2">
        <v>2.0</v>
      </c>
      <c r="D8" s="3" t="s">
        <v>15</v>
      </c>
      <c r="E8" s="3">
        <f>H5</f>
        <v>23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1.0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2.0</v>
      </c>
      <c r="D10" s="3" t="s">
        <v>1</v>
      </c>
      <c r="E10" s="3">
        <f>VLOOKUP(E1,H36:P57,9,1)</f>
        <v>15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1.0</v>
      </c>
      <c r="D11" s="3" t="s">
        <v>3</v>
      </c>
      <c r="E11" s="3">
        <f>VLOOKUP(E2,I37:P57,8,1)</f>
        <v>90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1.0</v>
      </c>
      <c r="D12" s="3" t="s">
        <v>5</v>
      </c>
      <c r="E12" s="3">
        <f>VLOOKUP(E3,J37:P57,7,1)</f>
        <v>30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2">
        <v>2.0</v>
      </c>
      <c r="D13" s="3" t="s">
        <v>7</v>
      </c>
      <c r="E13" s="3">
        <f>VLOOKUP(E4,K37:P57,6,1)</f>
        <v>10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2.0</v>
      </c>
      <c r="D14" s="3" t="s">
        <v>9</v>
      </c>
      <c r="E14" s="3">
        <f>VLOOKUP(E5,L37:P57,5,1)</f>
        <v>55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2.0</v>
      </c>
      <c r="D15" s="3" t="s">
        <v>11</v>
      </c>
      <c r="E15" s="3">
        <f>VLOOKUP(E6,M37:P57,4,1)</f>
        <v>55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2.0</v>
      </c>
      <c r="D16" s="3" t="s">
        <v>13</v>
      </c>
      <c r="E16" s="3">
        <f>VLOOKUP(E7,N37:P57,3,1)</f>
        <v>55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2">
        <v>1.0</v>
      </c>
      <c r="D17" s="3" t="s">
        <v>15</v>
      </c>
      <c r="E17" s="3">
        <f>VLOOKUP(E8,O37:P57,2,1)</f>
        <v>70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1.0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1.0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1.0</v>
      </c>
    </row>
    <row r="21" ht="12.75" customHeight="1">
      <c r="A21" s="1" t="s">
        <v>34</v>
      </c>
      <c r="B21" s="2">
        <v>1.0</v>
      </c>
      <c r="D21" s="3" t="s">
        <v>1</v>
      </c>
      <c r="E21" s="3" t="str">
        <f>VLOOKUP(E10,D39:E64,2,1)</f>
        <v>SEM SIGNIFICÂNCIA CLINICA</v>
      </c>
    </row>
    <row r="22" ht="12.75" customHeight="1">
      <c r="A22" s="1" t="s">
        <v>35</v>
      </c>
      <c r="B22" s="2">
        <v>1.0</v>
      </c>
      <c r="D22" s="3" t="s">
        <v>3</v>
      </c>
      <c r="E22" s="10" t="str">
        <f>VLOOKUP(E11,D39:E64,2,1)</f>
        <v>LIMITROFE</v>
      </c>
    </row>
    <row r="23" ht="12.75" customHeight="1">
      <c r="A23" s="1" t="s">
        <v>36</v>
      </c>
      <c r="B23" s="2">
        <v>3.0</v>
      </c>
      <c r="D23" s="3" t="s">
        <v>5</v>
      </c>
      <c r="E23" s="3" t="str">
        <f>VLOOKUP(E12,D39:E64,2,1)</f>
        <v>SEM SIGNIFICÂNCIA CLINICA</v>
      </c>
    </row>
    <row r="24" ht="12.75" customHeight="1">
      <c r="A24" s="1" t="s">
        <v>37</v>
      </c>
      <c r="B24" s="2">
        <v>3.0</v>
      </c>
      <c r="D24" s="3" t="s">
        <v>7</v>
      </c>
      <c r="E24" s="3" t="str">
        <f>VLOOKUP(E13,D39:E64,2,1)</f>
        <v>SEM SIGNIFICÂNCIA CLINICA</v>
      </c>
    </row>
    <row r="25" ht="12.75" customHeight="1">
      <c r="A25" s="1" t="s">
        <v>38</v>
      </c>
      <c r="B25" s="2">
        <v>3.0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2">
        <v>3.0</v>
      </c>
      <c r="D26" s="3" t="s">
        <v>11</v>
      </c>
      <c r="E26" s="3" t="str">
        <f>VLOOKUP(E15,D39:E64,2,1)</f>
        <v>SEM SIGNIFICÂNCIA CLINICA</v>
      </c>
    </row>
    <row r="27" ht="12.75" customHeight="1">
      <c r="A27" s="1" t="s">
        <v>40</v>
      </c>
      <c r="B27" s="2">
        <v>3.0</v>
      </c>
      <c r="D27" s="3" t="s">
        <v>13</v>
      </c>
      <c r="E27" s="3" t="str">
        <f>VLOOKUP(E16,D39:E64,2,1)</f>
        <v>SEM SIGNIFICÂNCIA CLINICA</v>
      </c>
    </row>
    <row r="28" ht="12.75" customHeight="1">
      <c r="A28" s="1" t="s">
        <v>41</v>
      </c>
      <c r="B28" s="2">
        <v>2.0</v>
      </c>
      <c r="D28" s="3" t="s">
        <v>15</v>
      </c>
      <c r="E28" s="3" t="str">
        <f>VLOOKUP(E17,D39:E64,2,1)</f>
        <v>SEM SIGNIFICÂNCIA CLINICA</v>
      </c>
    </row>
    <row r="29" ht="12.75" customHeight="1">
      <c r="A29" s="1" t="s">
        <v>42</v>
      </c>
      <c r="B29" s="2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2">
        <v>4.0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2.75" customHeight="1">
      <c r="A31" s="1" t="s">
        <v>44</v>
      </c>
      <c r="B31" s="2">
        <v>3.0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2.75" customHeight="1">
      <c r="A32" s="1" t="s">
        <v>45</v>
      </c>
      <c r="B32" s="2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2.75" customHeight="1">
      <c r="A33" s="1" t="s">
        <v>46</v>
      </c>
      <c r="B33" s="2">
        <v>3.0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2.75" customHeight="1">
      <c r="A34" s="1" t="s">
        <v>47</v>
      </c>
      <c r="B34" s="2">
        <v>4.0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>
      <c r="A35" s="1" t="s">
        <v>48</v>
      </c>
      <c r="B35" s="2">
        <v>4.0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>
      <c r="A36" s="1" t="s">
        <v>49</v>
      </c>
      <c r="B36" s="2">
        <v>4.0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>
      <c r="A37" s="1" t="s">
        <v>58</v>
      </c>
      <c r="B37" s="2">
        <v>4.0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>
      <c r="A38" s="1" t="s">
        <v>59</v>
      </c>
      <c r="B38" s="2">
        <v>4.0</v>
      </c>
      <c r="D38" s="5"/>
      <c r="E38" s="5"/>
      <c r="F38" s="5"/>
      <c r="G38" s="5"/>
      <c r="H38" s="5">
        <v>24.0</v>
      </c>
      <c r="I38" s="5">
        <v>25.0</v>
      </c>
      <c r="J38" s="5">
        <v>22.0</v>
      </c>
      <c r="K38" s="5">
        <v>12.0</v>
      </c>
      <c r="L38" s="5">
        <v>13.0</v>
      </c>
      <c r="M38" s="5">
        <v>12.0</v>
      </c>
      <c r="N38" s="5">
        <v>102.0</v>
      </c>
      <c r="O38" s="5">
        <v>0.0</v>
      </c>
      <c r="P38" s="5">
        <v>5.0</v>
      </c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>
      <c r="A39" s="1" t="s">
        <v>60</v>
      </c>
      <c r="B39" s="2">
        <v>3.0</v>
      </c>
      <c r="D39" s="5">
        <v>1.0</v>
      </c>
      <c r="E39" s="5" t="s">
        <v>61</v>
      </c>
      <c r="F39" s="5"/>
      <c r="G39" s="5"/>
      <c r="H39" s="5">
        <v>24.0</v>
      </c>
      <c r="I39" s="5">
        <v>27.0</v>
      </c>
      <c r="J39" s="5">
        <v>23.0</v>
      </c>
      <c r="K39" s="5">
        <v>12.0</v>
      </c>
      <c r="L39" s="5">
        <v>15.0</v>
      </c>
      <c r="M39" s="5">
        <v>13.0</v>
      </c>
      <c r="N39" s="5">
        <v>111.0</v>
      </c>
      <c r="O39" s="5">
        <v>0.0</v>
      </c>
      <c r="P39" s="5">
        <v>10.0</v>
      </c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>
      <c r="A40" s="1" t="s">
        <v>62</v>
      </c>
      <c r="B40" s="2">
        <v>3.0</v>
      </c>
      <c r="D40" s="5">
        <v>75.0</v>
      </c>
      <c r="E40" s="5" t="s">
        <v>61</v>
      </c>
      <c r="F40" s="5"/>
      <c r="G40" s="5"/>
      <c r="H40" s="5">
        <v>26.0</v>
      </c>
      <c r="I40" s="5">
        <v>28.0</v>
      </c>
      <c r="J40" s="5">
        <v>23.0</v>
      </c>
      <c r="K40" s="5">
        <v>13.0</v>
      </c>
      <c r="L40" s="5">
        <v>16.0</v>
      </c>
      <c r="M40" s="5">
        <v>14.0</v>
      </c>
      <c r="N40" s="5">
        <v>111.0</v>
      </c>
      <c r="O40" s="5">
        <v>1.0</v>
      </c>
      <c r="P40" s="5">
        <v>15.0</v>
      </c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>
      <c r="A41" s="1" t="s">
        <v>63</v>
      </c>
      <c r="B41" s="2">
        <v>3.0</v>
      </c>
      <c r="D41" s="5">
        <v>76.0</v>
      </c>
      <c r="E41" s="5" t="s">
        <v>64</v>
      </c>
      <c r="F41" s="5"/>
      <c r="G41" s="5"/>
      <c r="H41" s="5">
        <v>28.0</v>
      </c>
      <c r="I41" s="5">
        <v>29.0</v>
      </c>
      <c r="J41" s="5">
        <v>24.0</v>
      </c>
      <c r="K41" s="5">
        <v>13.0</v>
      </c>
      <c r="L41" s="5">
        <v>17.0</v>
      </c>
      <c r="M41" s="5">
        <v>14.0</v>
      </c>
      <c r="N41" s="5">
        <v>117.0</v>
      </c>
      <c r="O41" s="5">
        <v>2.0</v>
      </c>
      <c r="P41" s="5">
        <v>20.0</v>
      </c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>
      <c r="A42" s="1" t="s">
        <v>65</v>
      </c>
      <c r="B42" s="2">
        <v>3.0</v>
      </c>
      <c r="D42" s="5">
        <v>77.0</v>
      </c>
      <c r="E42" s="5" t="s">
        <v>64</v>
      </c>
      <c r="F42" s="5"/>
      <c r="G42" s="5"/>
      <c r="H42" s="5">
        <v>30.0</v>
      </c>
      <c r="I42" s="5">
        <v>29.0</v>
      </c>
      <c r="J42" s="5">
        <v>24.0</v>
      </c>
      <c r="K42" s="5">
        <v>13.0</v>
      </c>
      <c r="L42" s="5">
        <v>17.0</v>
      </c>
      <c r="M42" s="5">
        <v>15.0</v>
      </c>
      <c r="N42" s="5">
        <v>122.0</v>
      </c>
      <c r="O42" s="5">
        <v>2.0</v>
      </c>
      <c r="P42" s="5">
        <v>25.0</v>
      </c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2.75" customHeight="1">
      <c r="A43" s="1" t="s">
        <v>66</v>
      </c>
      <c r="B43" s="2">
        <v>2.0</v>
      </c>
      <c r="D43" s="5">
        <v>78.0</v>
      </c>
      <c r="E43" s="5" t="s">
        <v>64</v>
      </c>
      <c r="F43" s="5"/>
      <c r="G43" s="5"/>
      <c r="H43" s="5">
        <v>32.0</v>
      </c>
      <c r="I43" s="5">
        <v>31.0</v>
      </c>
      <c r="J43" s="5">
        <v>25.0</v>
      </c>
      <c r="K43" s="5">
        <v>14.0</v>
      </c>
      <c r="L43" s="5">
        <v>19.0</v>
      </c>
      <c r="M43" s="5">
        <v>16.0</v>
      </c>
      <c r="N43" s="5">
        <v>126.0</v>
      </c>
      <c r="O43" s="5">
        <v>3.0</v>
      </c>
      <c r="P43" s="5">
        <v>30.0</v>
      </c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2.75" customHeight="1">
      <c r="A44" s="1" t="s">
        <v>67</v>
      </c>
      <c r="B44" s="2">
        <v>2.0</v>
      </c>
      <c r="D44" s="5">
        <v>79.0</v>
      </c>
      <c r="E44" s="5" t="s">
        <v>64</v>
      </c>
      <c r="F44" s="5"/>
      <c r="G44" s="5"/>
      <c r="H44" s="5">
        <v>33.0</v>
      </c>
      <c r="I44" s="5">
        <v>33.0</v>
      </c>
      <c r="J44" s="5">
        <v>26.0</v>
      </c>
      <c r="K44" s="5">
        <v>14.0</v>
      </c>
      <c r="L44" s="5">
        <v>20.0</v>
      </c>
      <c r="M44" s="5">
        <v>16.0</v>
      </c>
      <c r="N44" s="5">
        <v>129.0</v>
      </c>
      <c r="O44" s="5">
        <v>3.0</v>
      </c>
      <c r="P44" s="5">
        <v>35.0</v>
      </c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2.75" customHeight="1">
      <c r="A45" s="1" t="s">
        <v>68</v>
      </c>
      <c r="B45" s="2">
        <v>1.0</v>
      </c>
      <c r="D45" s="5">
        <v>80.0</v>
      </c>
      <c r="E45" s="5" t="s">
        <v>64</v>
      </c>
      <c r="F45" s="5"/>
      <c r="G45" s="5"/>
      <c r="H45" s="5">
        <v>36.0</v>
      </c>
      <c r="I45" s="5">
        <v>34.0</v>
      </c>
      <c r="J45" s="5">
        <v>28.0</v>
      </c>
      <c r="K45" s="5">
        <v>14.0</v>
      </c>
      <c r="L45" s="5">
        <v>22.0</v>
      </c>
      <c r="M45" s="5">
        <v>17.0</v>
      </c>
      <c r="N45" s="5">
        <v>133.0</v>
      </c>
      <c r="O45" s="5">
        <v>4.0</v>
      </c>
      <c r="P45" s="5">
        <v>40.0</v>
      </c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2.75" customHeight="1">
      <c r="A46" s="1" t="s">
        <v>69</v>
      </c>
      <c r="B46" s="2">
        <v>1.0</v>
      </c>
      <c r="D46" s="5">
        <v>81.0</v>
      </c>
      <c r="E46" s="5" t="s">
        <v>64</v>
      </c>
      <c r="F46" s="5"/>
      <c r="G46" s="5"/>
      <c r="H46" s="5">
        <v>38.0</v>
      </c>
      <c r="I46" s="5">
        <v>35.0</v>
      </c>
      <c r="J46" s="5">
        <v>29.0</v>
      </c>
      <c r="K46" s="5">
        <v>15.0</v>
      </c>
      <c r="L46" s="5">
        <v>23.0</v>
      </c>
      <c r="M46" s="5">
        <v>18.0</v>
      </c>
      <c r="N46" s="5">
        <v>140.0</v>
      </c>
      <c r="O46" s="5">
        <v>5.0</v>
      </c>
      <c r="P46" s="5">
        <v>45.0</v>
      </c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2.75" customHeight="1">
      <c r="A47" s="1" t="s">
        <v>70</v>
      </c>
      <c r="B47" s="2">
        <v>1.0</v>
      </c>
      <c r="D47" s="5">
        <v>82.0</v>
      </c>
      <c r="E47" s="5" t="s">
        <v>64</v>
      </c>
      <c r="F47" s="5"/>
      <c r="G47" s="5"/>
      <c r="H47" s="5">
        <v>39.0</v>
      </c>
      <c r="I47" s="5">
        <v>36.0</v>
      </c>
      <c r="J47" s="5">
        <v>31.0</v>
      </c>
      <c r="K47" s="5">
        <v>16.0</v>
      </c>
      <c r="L47" s="5">
        <v>24.0</v>
      </c>
      <c r="M47" s="5">
        <v>19.0</v>
      </c>
      <c r="N47" s="5">
        <v>151.0</v>
      </c>
      <c r="O47" s="5">
        <v>7.0</v>
      </c>
      <c r="P47" s="5">
        <v>50.0</v>
      </c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2.75" customHeight="1">
      <c r="A48" s="1" t="s">
        <v>71</v>
      </c>
      <c r="B48" s="2">
        <v>1.0</v>
      </c>
      <c r="D48" s="5">
        <v>83.0</v>
      </c>
      <c r="E48" s="5" t="s">
        <v>64</v>
      </c>
      <c r="F48" s="5"/>
      <c r="G48" s="5"/>
      <c r="H48" s="5">
        <v>41.0</v>
      </c>
      <c r="I48" s="5">
        <v>39.0</v>
      </c>
      <c r="J48" s="5">
        <v>33.0</v>
      </c>
      <c r="K48" s="5">
        <v>17.0</v>
      </c>
      <c r="L48" s="5">
        <v>25.0</v>
      </c>
      <c r="M48" s="5">
        <v>19.0</v>
      </c>
      <c r="N48" s="5">
        <v>157.0</v>
      </c>
      <c r="O48" s="5">
        <v>9.0</v>
      </c>
      <c r="P48" s="5">
        <v>55.0</v>
      </c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2.75" customHeight="1">
      <c r="A49" s="1" t="s">
        <v>72</v>
      </c>
      <c r="B49" s="2">
        <v>1.0</v>
      </c>
      <c r="D49" s="5">
        <v>84.0</v>
      </c>
      <c r="E49" s="5" t="s">
        <v>64</v>
      </c>
      <c r="F49" s="5"/>
      <c r="G49" s="5"/>
      <c r="H49" s="5">
        <v>44.0</v>
      </c>
      <c r="I49" s="5">
        <v>41.0</v>
      </c>
      <c r="J49" s="5">
        <v>34.0</v>
      </c>
      <c r="K49" s="5">
        <v>19.0</v>
      </c>
      <c r="L49" s="5">
        <v>26.0</v>
      </c>
      <c r="M49" s="5">
        <v>20.0</v>
      </c>
      <c r="N49" s="5">
        <v>169.0</v>
      </c>
      <c r="O49" s="5">
        <v>13.0</v>
      </c>
      <c r="P49" s="5">
        <v>60.0</v>
      </c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>
      <c r="A50" s="1" t="s">
        <v>73</v>
      </c>
      <c r="B50" s="2">
        <v>2.0</v>
      </c>
      <c r="D50" s="5">
        <v>85.0</v>
      </c>
      <c r="E50" s="5" t="s">
        <v>74</v>
      </c>
      <c r="F50" s="5"/>
      <c r="G50" s="5"/>
      <c r="H50" s="5">
        <v>44.0</v>
      </c>
      <c r="I50" s="5">
        <v>48.0</v>
      </c>
      <c r="J50" s="5">
        <v>36.0</v>
      </c>
      <c r="K50" s="5">
        <v>19.0</v>
      </c>
      <c r="L50" s="5">
        <v>28.0</v>
      </c>
      <c r="M50" s="5">
        <v>20.0</v>
      </c>
      <c r="N50" s="5">
        <v>174.0</v>
      </c>
      <c r="O50" s="5">
        <v>15.0</v>
      </c>
      <c r="P50" s="5">
        <v>65.0</v>
      </c>
      <c r="Q50" s="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>
      <c r="A51" s="1" t="s">
        <v>75</v>
      </c>
      <c r="B51" s="2">
        <v>1.0</v>
      </c>
      <c r="D51" s="5">
        <v>86.0</v>
      </c>
      <c r="E51" s="5" t="s">
        <v>74</v>
      </c>
      <c r="F51" s="5"/>
      <c r="G51" s="5"/>
      <c r="H51" s="5">
        <v>48.0</v>
      </c>
      <c r="I51" s="5">
        <v>53.0</v>
      </c>
      <c r="J51" s="5">
        <v>38.0</v>
      </c>
      <c r="K51" s="5">
        <v>20.0</v>
      </c>
      <c r="L51" s="5">
        <v>28.0</v>
      </c>
      <c r="M51" s="5">
        <v>21.0</v>
      </c>
      <c r="N51" s="5">
        <v>183.0</v>
      </c>
      <c r="O51" s="5">
        <v>21.0</v>
      </c>
      <c r="P51" s="5">
        <v>70.0</v>
      </c>
      <c r="Q51" s="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>
      <c r="A52" s="1" t="s">
        <v>76</v>
      </c>
      <c r="B52" s="2">
        <v>2.0</v>
      </c>
      <c r="D52" s="5">
        <v>87.0</v>
      </c>
      <c r="E52" s="5" t="s">
        <v>74</v>
      </c>
      <c r="F52" s="5"/>
      <c r="G52" s="5"/>
      <c r="H52" s="5">
        <v>50.0</v>
      </c>
      <c r="I52" s="5">
        <v>54.0</v>
      </c>
      <c r="J52" s="5">
        <v>41.0</v>
      </c>
      <c r="K52" s="5">
        <v>22.0</v>
      </c>
      <c r="L52" s="5">
        <v>30.0</v>
      </c>
      <c r="M52" s="5">
        <v>23.0</v>
      </c>
      <c r="N52" s="5">
        <v>200.0</v>
      </c>
      <c r="O52" s="5">
        <v>27.0</v>
      </c>
      <c r="P52" s="5">
        <v>75.0</v>
      </c>
      <c r="Q52" s="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>
      <c r="A53" s="1" t="s">
        <v>77</v>
      </c>
      <c r="B53" s="2">
        <v>1.0</v>
      </c>
      <c r="D53" s="5">
        <v>88.0</v>
      </c>
      <c r="E53" s="5" t="s">
        <v>74</v>
      </c>
      <c r="F53" s="5"/>
      <c r="G53" s="5"/>
      <c r="H53" s="5">
        <v>54.0</v>
      </c>
      <c r="I53" s="5">
        <v>59.0</v>
      </c>
      <c r="J53" s="5">
        <v>43.0</v>
      </c>
      <c r="K53" s="5">
        <v>24.0</v>
      </c>
      <c r="L53" s="5">
        <v>31.0</v>
      </c>
      <c r="M53" s="5">
        <v>23.0</v>
      </c>
      <c r="N53" s="5">
        <v>208.0</v>
      </c>
      <c r="O53" s="5">
        <v>32.0</v>
      </c>
      <c r="P53" s="5">
        <v>80.0</v>
      </c>
      <c r="Q53" s="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2.75" customHeight="1">
      <c r="A54" s="1" t="s">
        <v>78</v>
      </c>
      <c r="B54" s="2">
        <v>1.0</v>
      </c>
      <c r="D54" s="5">
        <v>89.0</v>
      </c>
      <c r="E54" s="5" t="s">
        <v>74</v>
      </c>
      <c r="F54" s="5"/>
      <c r="G54" s="5"/>
      <c r="H54" s="5">
        <v>57.0</v>
      </c>
      <c r="I54" s="5">
        <v>62.0</v>
      </c>
      <c r="J54" s="5">
        <v>45.0</v>
      </c>
      <c r="K54" s="5">
        <v>25.0</v>
      </c>
      <c r="L54" s="5">
        <v>37.0</v>
      </c>
      <c r="M54" s="5">
        <v>27.0</v>
      </c>
      <c r="N54" s="5">
        <v>212.0</v>
      </c>
      <c r="O54" s="5">
        <v>36.0</v>
      </c>
      <c r="P54" s="5">
        <v>85.0</v>
      </c>
      <c r="Q54" s="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>
      <c r="A55" s="1" t="s">
        <v>79</v>
      </c>
      <c r="B55" s="2">
        <v>3.0</v>
      </c>
      <c r="D55" s="5">
        <v>90.0</v>
      </c>
      <c r="E55" s="5" t="s">
        <v>74</v>
      </c>
      <c r="F55" s="5"/>
      <c r="G55" s="5"/>
      <c r="H55" s="5">
        <v>69.0</v>
      </c>
      <c r="I55" s="5">
        <v>68.0</v>
      </c>
      <c r="J55" s="5">
        <v>47.0</v>
      </c>
      <c r="K55" s="5">
        <v>35.0</v>
      </c>
      <c r="L55" s="5">
        <v>39.0</v>
      </c>
      <c r="M55" s="5">
        <v>31.0</v>
      </c>
      <c r="N55" s="5">
        <v>225.0</v>
      </c>
      <c r="O55" s="5">
        <v>41.0</v>
      </c>
      <c r="P55" s="5">
        <v>90.0</v>
      </c>
      <c r="Q55" s="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>
      <c r="A56" s="1" t="s">
        <v>80</v>
      </c>
      <c r="B56" s="2">
        <v>2.0</v>
      </c>
      <c r="D56" s="5">
        <v>91.0</v>
      </c>
      <c r="E56" s="5" t="s">
        <v>74</v>
      </c>
      <c r="F56" s="5"/>
      <c r="G56" s="5"/>
      <c r="H56" s="5">
        <v>76.0</v>
      </c>
      <c r="I56" s="5">
        <v>77.0</v>
      </c>
      <c r="J56" s="5">
        <v>54.0</v>
      </c>
      <c r="K56" s="5">
        <v>39.0</v>
      </c>
      <c r="L56" s="5">
        <v>48.0</v>
      </c>
      <c r="M56" s="5">
        <v>36.0</v>
      </c>
      <c r="N56" s="5">
        <v>282.0</v>
      </c>
      <c r="O56" s="5">
        <v>52.0</v>
      </c>
      <c r="P56" s="5">
        <v>95.0</v>
      </c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>
      <c r="A57" s="1" t="s">
        <v>81</v>
      </c>
      <c r="B57" s="2">
        <v>1.0</v>
      </c>
      <c r="D57" s="5">
        <v>92.0</v>
      </c>
      <c r="E57" s="5" t="s">
        <v>74</v>
      </c>
      <c r="F57" s="5"/>
      <c r="G57" s="5"/>
      <c r="H57" s="5">
        <v>77.0</v>
      </c>
      <c r="I57" s="5">
        <v>78.0</v>
      </c>
      <c r="J57" s="5">
        <v>55.0</v>
      </c>
      <c r="K57" s="5">
        <v>40.0</v>
      </c>
      <c r="L57" s="5">
        <v>49.0</v>
      </c>
      <c r="M57" s="5">
        <v>37.0</v>
      </c>
      <c r="N57" s="5">
        <v>283.0</v>
      </c>
      <c r="O57" s="5">
        <v>72.0</v>
      </c>
      <c r="P57" s="5">
        <v>99.0</v>
      </c>
      <c r="Q57" s="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>
      <c r="A58" s="1" t="s">
        <v>82</v>
      </c>
      <c r="B58" s="2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>
      <c r="A59" s="1" t="s">
        <v>84</v>
      </c>
      <c r="B59" s="2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>
      <c r="A60" s="1" t="s">
        <v>85</v>
      </c>
      <c r="B60" s="2">
        <v>1.0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>
      <c r="A61" s="1" t="s">
        <v>86</v>
      </c>
      <c r="B61" s="2">
        <v>1.0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>
      <c r="A62" s="2">
        <v>3.0</v>
      </c>
      <c r="B62" s="2">
        <v>1.0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>
      <c r="A63" s="2">
        <v>2.0</v>
      </c>
      <c r="B63" s="2">
        <v>1.0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2.75" customHeight="1">
      <c r="A64" s="2">
        <v>1.0</v>
      </c>
      <c r="B64" s="2">
        <v>1.0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2.75" customHeight="1">
      <c r="A65" s="1"/>
      <c r="B65" s="2">
        <v>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2.75" customHeight="1">
      <c r="A66" s="1" t="s">
        <v>93</v>
      </c>
      <c r="B66" s="2">
        <v>1.0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2.75" customHeight="1">
      <c r="A67" s="1" t="s">
        <v>94</v>
      </c>
      <c r="B67" s="2">
        <v>1.0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2.75" customHeight="1">
      <c r="A68" s="1" t="s">
        <v>95</v>
      </c>
      <c r="B68" s="2">
        <v>1.0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2.75" customHeight="1">
      <c r="A69" s="1" t="s">
        <v>96</v>
      </c>
      <c r="B69" s="2">
        <v>1.0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2.75" customHeight="1">
      <c r="A70" s="1" t="s">
        <v>97</v>
      </c>
      <c r="B70" s="2">
        <v>1.0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2.75" customHeight="1">
      <c r="A71" s="1" t="s">
        <v>98</v>
      </c>
      <c r="B71" s="2">
        <v>1.0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2.75" customHeight="1">
      <c r="A72" s="1" t="s">
        <v>99</v>
      </c>
      <c r="B72" s="2">
        <v>1.0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2.75" customHeight="1">
      <c r="A73" s="1" t="s">
        <v>100</v>
      </c>
      <c r="B73" s="2">
        <v>1.0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2.75" customHeight="1">
      <c r="A74" s="1" t="s">
        <v>101</v>
      </c>
      <c r="B74" s="2">
        <v>1.0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2.75" customHeight="1">
      <c r="A75" s="1" t="s">
        <v>102</v>
      </c>
      <c r="B75" s="2">
        <v>1.0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2.75" customHeight="1">
      <c r="A76" s="1" t="s">
        <v>103</v>
      </c>
      <c r="B76" s="2">
        <v>1.0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2.75" customHeight="1">
      <c r="A77" s="1" t="s">
        <v>104</v>
      </c>
      <c r="B77" s="2">
        <v>2.0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2.75" customHeight="1">
      <c r="A78" s="1" t="s">
        <v>105</v>
      </c>
      <c r="B78" s="2">
        <v>2.0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2.75" customHeight="1">
      <c r="A79" s="1" t="s">
        <v>106</v>
      </c>
      <c r="B79" s="2">
        <v>1.0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2.75" customHeight="1">
      <c r="A80" s="1" t="s">
        <v>107</v>
      </c>
      <c r="B80" s="2">
        <v>1.0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2.75" customHeight="1">
      <c r="A81" s="1" t="s">
        <v>108</v>
      </c>
      <c r="B81" s="2">
        <v>2.0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2.75" customHeight="1">
      <c r="A82" s="1" t="s">
        <v>109</v>
      </c>
      <c r="B82" s="2">
        <v>2.0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2.75" customHeight="1">
      <c r="A83" s="1" t="s">
        <v>110</v>
      </c>
      <c r="B83" s="2">
        <v>3.0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 t="s">
        <v>111</v>
      </c>
      <c r="B84" s="2">
        <v>2.0</v>
      </c>
    </row>
    <row r="85" ht="12.75" customHeight="1">
      <c r="A85" s="1" t="s">
        <v>112</v>
      </c>
      <c r="B85" s="2">
        <v>2.0</v>
      </c>
    </row>
    <row r="86" ht="12.75" customHeight="1">
      <c r="A86" s="1" t="s">
        <v>113</v>
      </c>
      <c r="B86" s="2">
        <v>3.0</v>
      </c>
    </row>
    <row r="87" ht="12.75" customHeight="1">
      <c r="A87" s="1" t="s">
        <v>114</v>
      </c>
      <c r="B87" s="2">
        <v>1.0</v>
      </c>
    </row>
    <row r="88" ht="12.75" customHeight="1">
      <c r="A88" s="1" t="s">
        <v>115</v>
      </c>
      <c r="B88" s="2">
        <v>1.0</v>
      </c>
    </row>
    <row r="89" ht="12.75" customHeight="1">
      <c r="A89" s="1" t="s">
        <v>116</v>
      </c>
      <c r="B89" s="2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/>
      <c r="B1" s="11">
        <v>4.0</v>
      </c>
      <c r="D1" s="3" t="s">
        <v>1</v>
      </c>
      <c r="E1" s="3">
        <f>SUM(B1:B21)</f>
        <v>69</v>
      </c>
    </row>
    <row r="2" ht="12.75" customHeight="1">
      <c r="A2" s="1"/>
      <c r="B2" s="11">
        <v>3.0</v>
      </c>
      <c r="D2" s="3" t="s">
        <v>3</v>
      </c>
      <c r="E2" s="3">
        <f>SUM(B22:B45)</f>
        <v>73</v>
      </c>
      <c r="G2" s="5"/>
      <c r="H2" s="5"/>
      <c r="I2" s="5"/>
      <c r="J2" s="6"/>
    </row>
    <row r="3" ht="12.75" customHeight="1">
      <c r="A3" s="1"/>
      <c r="B3" s="11">
        <v>4.0</v>
      </c>
      <c r="D3" s="3" t="s">
        <v>5</v>
      </c>
      <c r="E3" s="3">
        <f>SUM(B46:B64)</f>
        <v>29</v>
      </c>
      <c r="G3" s="7"/>
      <c r="H3" s="7">
        <f>COUNTIF(B1:B89,"3")</f>
        <v>26</v>
      </c>
      <c r="I3" s="7"/>
      <c r="J3" s="6"/>
    </row>
    <row r="4" ht="12.75" customHeight="1">
      <c r="A4" s="1"/>
      <c r="B4" s="11">
        <v>1.0</v>
      </c>
      <c r="D4" s="3" t="s">
        <v>7</v>
      </c>
      <c r="E4" s="3">
        <f>SUM(B65:B76)</f>
        <v>35</v>
      </c>
      <c r="G4" s="7"/>
      <c r="H4" s="7">
        <f>COUNTIF(B1:B89,"4")</f>
        <v>22</v>
      </c>
      <c r="I4" s="7"/>
      <c r="J4" s="6"/>
    </row>
    <row r="5" ht="12.75" customHeight="1">
      <c r="A5" s="1"/>
      <c r="B5" s="11">
        <v>1.0</v>
      </c>
      <c r="D5" s="3" t="s">
        <v>9</v>
      </c>
      <c r="E5" s="3">
        <f>SUM(B77:B89)</f>
        <v>26</v>
      </c>
      <c r="G5" s="7"/>
      <c r="H5" s="7">
        <f>SUM(H3:H4)</f>
        <v>48</v>
      </c>
      <c r="I5" s="7"/>
      <c r="J5" s="6"/>
    </row>
    <row r="6" ht="12.75" customHeight="1">
      <c r="A6" s="1"/>
      <c r="B6" s="11">
        <v>3.0</v>
      </c>
      <c r="D6" s="3" t="s">
        <v>11</v>
      </c>
      <c r="E6" s="3">
        <f>SUM(B1,B6,B14,B16,B24,B49,B50,B55,B60,B65,B69)</f>
        <v>27</v>
      </c>
      <c r="G6" s="6"/>
      <c r="H6" s="6"/>
      <c r="I6" s="6"/>
      <c r="J6" s="6"/>
    </row>
    <row r="7" ht="12.75" customHeight="1">
      <c r="A7" s="1"/>
      <c r="B7" s="11">
        <v>3.0</v>
      </c>
      <c r="D7" s="3" t="s">
        <v>13</v>
      </c>
      <c r="E7" s="3">
        <f>SUM(E1:E5)</f>
        <v>232</v>
      </c>
    </row>
    <row r="8" ht="12.75" customHeight="1">
      <c r="A8" s="1"/>
      <c r="B8" s="11">
        <v>4.0</v>
      </c>
      <c r="D8" s="3" t="s">
        <v>15</v>
      </c>
      <c r="E8" s="3">
        <f>H5</f>
        <v>48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/>
      <c r="B9" s="11">
        <v>2.0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/>
      <c r="B10" s="11">
        <v>4.0</v>
      </c>
      <c r="D10" s="3" t="s">
        <v>1</v>
      </c>
      <c r="E10" s="3">
        <f>VLOOKUP(E1,H36:P57,9,1)</f>
        <v>90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/>
      <c r="B11" s="11">
        <v>4.0</v>
      </c>
      <c r="D11" s="3" t="s">
        <v>3</v>
      </c>
      <c r="E11" s="3">
        <f>VLOOKUP(E2,I37:P57,8,1)</f>
        <v>90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/>
      <c r="B12" s="11">
        <v>3.0</v>
      </c>
      <c r="D12" s="3" t="s">
        <v>5</v>
      </c>
      <c r="E12" s="3">
        <f>VLOOKUP(E3,J37:P57,7,1)</f>
        <v>40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/>
      <c r="B13" s="11">
        <v>4.0</v>
      </c>
      <c r="D13" s="3" t="s">
        <v>7</v>
      </c>
      <c r="E13" s="3">
        <f>VLOOKUP(E4,K37:P57,6,1)</f>
        <v>90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/>
      <c r="B14" s="11">
        <v>4.0</v>
      </c>
      <c r="D14" s="3" t="s">
        <v>9</v>
      </c>
      <c r="E14" s="3">
        <f>VLOOKUP(E5,L37:P57,5,1)</f>
        <v>65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/>
      <c r="B15" s="11">
        <v>4.0</v>
      </c>
      <c r="D15" s="3" t="s">
        <v>11</v>
      </c>
      <c r="E15" s="3">
        <f>VLOOKUP(E6,M37:P57,4,1)</f>
        <v>85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/>
      <c r="B16" s="11">
        <v>4.0</v>
      </c>
      <c r="D16" s="3" t="s">
        <v>13</v>
      </c>
      <c r="E16" s="3">
        <f>VLOOKUP(E7,N37:P57,3,1)</f>
        <v>90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/>
      <c r="B17" s="11">
        <v>4.0</v>
      </c>
      <c r="D17" s="3" t="s">
        <v>15</v>
      </c>
      <c r="E17" s="3">
        <f>VLOOKUP(E8,O37:P57,2,1)</f>
        <v>90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/>
      <c r="B18" s="1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/>
      <c r="B19" s="11">
        <v>4.0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/>
      <c r="B20" s="11">
        <v>3.0</v>
      </c>
    </row>
    <row r="21" ht="12.75" customHeight="1">
      <c r="A21" s="1"/>
      <c r="B21" s="11">
        <v>3.0</v>
      </c>
      <c r="D21" s="3" t="s">
        <v>1</v>
      </c>
      <c r="E21" s="10" t="str">
        <f>VLOOKUP(E10,D39:E64,2,1)</f>
        <v>LIMITROFE</v>
      </c>
    </row>
    <row r="22" ht="12.75" customHeight="1">
      <c r="A22" s="1"/>
      <c r="B22" s="11">
        <v>3.0</v>
      </c>
      <c r="D22" s="3" t="s">
        <v>3</v>
      </c>
      <c r="E22" s="10" t="str">
        <f>VLOOKUP(E11,D39:E64,2,1)</f>
        <v>LIMITROFE</v>
      </c>
    </row>
    <row r="23" ht="12.75" customHeight="1">
      <c r="A23" s="1"/>
      <c r="B23" s="11">
        <v>4.0</v>
      </c>
      <c r="D23" s="3" t="s">
        <v>5</v>
      </c>
      <c r="E23" s="3" t="str">
        <f>VLOOKUP(E12,D39:E64,2,1)</f>
        <v>SEM SIGNIFICÂNCIA CLINICA</v>
      </c>
    </row>
    <row r="24" ht="12.75" customHeight="1">
      <c r="A24" s="1"/>
      <c r="B24" s="11">
        <v>3.0</v>
      </c>
      <c r="D24" s="3" t="s">
        <v>7</v>
      </c>
      <c r="E24" s="10" t="str">
        <f>VLOOKUP(E13,D39:E64,2,1)</f>
        <v>LIMITROFE</v>
      </c>
    </row>
    <row r="25" ht="12.75" customHeight="1">
      <c r="A25" s="1"/>
      <c r="B25" s="11">
        <v>3.0</v>
      </c>
      <c r="D25" s="3" t="s">
        <v>9</v>
      </c>
      <c r="E25" s="3" t="str">
        <f>VLOOKUP(E14,D39:E64,2,1)</f>
        <v>SEM SIGNIFICÂNCIA CLINICA</v>
      </c>
    </row>
    <row r="26" ht="12.75" customHeight="1">
      <c r="A26" s="1"/>
      <c r="B26" s="11">
        <v>3.0</v>
      </c>
      <c r="D26" s="3" t="s">
        <v>11</v>
      </c>
      <c r="E26" s="10" t="str">
        <f>VLOOKUP(E15,D39:E64,2,1)</f>
        <v>LIMITROFE</v>
      </c>
    </row>
    <row r="27" ht="12.75" customHeight="1">
      <c r="A27" s="1"/>
      <c r="B27" s="11">
        <v>4.0</v>
      </c>
      <c r="D27" s="3" t="s">
        <v>13</v>
      </c>
      <c r="E27" s="10" t="str">
        <f>VLOOKUP(E16,D39:E64,2,1)</f>
        <v>LIMITROFE</v>
      </c>
    </row>
    <row r="28" ht="12.75" customHeight="1">
      <c r="A28" s="1"/>
      <c r="B28" s="11">
        <v>2.0</v>
      </c>
      <c r="D28" s="3" t="s">
        <v>15</v>
      </c>
      <c r="E28" s="10" t="str">
        <f>VLOOKUP(E17,D39:E64,2,1)</f>
        <v>LIMITROFE</v>
      </c>
    </row>
    <row r="29" ht="12.75" customHeight="1">
      <c r="A29" s="1"/>
      <c r="B29" s="11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/>
      <c r="B30" s="11">
        <v>3.0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/>
      <c r="B31" s="11">
        <v>3.0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/>
      <c r="B32" s="11">
        <v>2.0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2.75" customHeight="1">
      <c r="A33" s="1"/>
      <c r="B33" s="11">
        <v>2.0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2.75" customHeight="1">
      <c r="A34" s="1"/>
      <c r="B34" s="11">
        <v>2.0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</row>
    <row r="35" ht="12.75" customHeight="1">
      <c r="A35" s="1"/>
      <c r="B35" s="1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</row>
    <row r="36" ht="12.75" customHeight="1">
      <c r="A36" s="1"/>
      <c r="B36" s="11">
        <v>2.0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</row>
    <row r="37" ht="12.75" customHeight="1">
      <c r="A37" s="1"/>
      <c r="B37" s="1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</row>
    <row r="38" ht="12.75" customHeight="1">
      <c r="A38" s="1"/>
      <c r="B38" s="11">
        <v>4.0</v>
      </c>
      <c r="D38" s="5"/>
      <c r="E38" s="5"/>
      <c r="F38" s="5"/>
      <c r="G38" s="5"/>
      <c r="H38" s="5">
        <v>25.0</v>
      </c>
      <c r="I38" s="5">
        <v>27.0</v>
      </c>
      <c r="J38" s="5">
        <v>22.0</v>
      </c>
      <c r="K38" s="5">
        <v>12.0</v>
      </c>
      <c r="L38" s="5">
        <v>14.0</v>
      </c>
      <c r="M38" s="5">
        <v>13.0</v>
      </c>
      <c r="N38" s="5">
        <v>106.0</v>
      </c>
      <c r="O38" s="5">
        <v>0.0</v>
      </c>
      <c r="P38" s="5">
        <v>5.0</v>
      </c>
      <c r="Q38" s="5"/>
      <c r="R38" s="1"/>
    </row>
    <row r="39" ht="12.75" customHeight="1">
      <c r="A39" s="1"/>
      <c r="B39" s="11">
        <v>4.0</v>
      </c>
      <c r="D39" s="5">
        <v>1.0</v>
      </c>
      <c r="E39" s="5" t="s">
        <v>61</v>
      </c>
      <c r="F39" s="5"/>
      <c r="G39" s="5"/>
      <c r="H39" s="5">
        <v>27.0</v>
      </c>
      <c r="I39" s="5">
        <v>28.0</v>
      </c>
      <c r="J39" s="5">
        <v>23.0</v>
      </c>
      <c r="K39" s="5">
        <v>12.0</v>
      </c>
      <c r="L39" s="5">
        <v>15.0</v>
      </c>
      <c r="M39" s="5">
        <v>14.0</v>
      </c>
      <c r="N39" s="5">
        <v>113.0</v>
      </c>
      <c r="O39" s="5">
        <v>1.0</v>
      </c>
      <c r="P39" s="5">
        <v>10.0</v>
      </c>
      <c r="Q39" s="5"/>
      <c r="R39" s="1"/>
    </row>
    <row r="40" ht="12.75" customHeight="1">
      <c r="A40" s="1"/>
      <c r="B40" s="11">
        <v>3.0</v>
      </c>
      <c r="D40" s="5">
        <v>75.0</v>
      </c>
      <c r="E40" s="5" t="s">
        <v>61</v>
      </c>
      <c r="F40" s="5"/>
      <c r="G40" s="5"/>
      <c r="H40" s="5">
        <v>30.0</v>
      </c>
      <c r="I40" s="5">
        <v>29.0</v>
      </c>
      <c r="J40" s="5">
        <v>23.0</v>
      </c>
      <c r="K40" s="5">
        <v>13.0</v>
      </c>
      <c r="L40" s="5">
        <v>16.0</v>
      </c>
      <c r="M40" s="5">
        <v>14.0</v>
      </c>
      <c r="N40" s="5">
        <v>118.0</v>
      </c>
      <c r="O40" s="5">
        <v>1.0</v>
      </c>
      <c r="P40" s="5">
        <v>15.0</v>
      </c>
      <c r="Q40" s="5"/>
      <c r="R40" s="1"/>
    </row>
    <row r="41" ht="12.75" customHeight="1">
      <c r="A41" s="1"/>
      <c r="B41" s="11">
        <v>3.0</v>
      </c>
      <c r="D41" s="5">
        <v>76.0</v>
      </c>
      <c r="E41" s="5" t="s">
        <v>64</v>
      </c>
      <c r="F41" s="5"/>
      <c r="G41" s="5"/>
      <c r="H41" s="5">
        <v>31.0</v>
      </c>
      <c r="I41" s="5">
        <v>30.0</v>
      </c>
      <c r="J41" s="5">
        <v>25.0</v>
      </c>
      <c r="K41" s="5">
        <v>14.0</v>
      </c>
      <c r="L41" s="5">
        <v>17.0</v>
      </c>
      <c r="M41" s="5">
        <v>15.0</v>
      </c>
      <c r="N41" s="5">
        <v>124.0</v>
      </c>
      <c r="O41" s="5">
        <v>2.0</v>
      </c>
      <c r="P41" s="5">
        <v>20.0</v>
      </c>
      <c r="Q41" s="5"/>
      <c r="R41" s="1"/>
    </row>
    <row r="42" ht="12.75" customHeight="1">
      <c r="A42" s="1"/>
      <c r="B42" s="11">
        <v>3.0</v>
      </c>
      <c r="D42" s="5">
        <v>77.0</v>
      </c>
      <c r="E42" s="5" t="s">
        <v>64</v>
      </c>
      <c r="F42" s="5"/>
      <c r="G42" s="5"/>
      <c r="H42" s="5">
        <v>33.0</v>
      </c>
      <c r="I42" s="5">
        <v>31.0</v>
      </c>
      <c r="J42" s="5">
        <v>26.0</v>
      </c>
      <c r="K42" s="5">
        <v>15.0</v>
      </c>
      <c r="L42" s="5">
        <v>18.0</v>
      </c>
      <c r="M42" s="5">
        <v>16.0</v>
      </c>
      <c r="N42" s="5">
        <v>127.0</v>
      </c>
      <c r="O42" s="5">
        <v>3.0</v>
      </c>
      <c r="P42" s="5">
        <v>25.0</v>
      </c>
      <c r="Q42" s="5"/>
      <c r="R42" s="1"/>
    </row>
    <row r="43" ht="12.75" customHeight="1">
      <c r="A43" s="1"/>
      <c r="B43" s="11">
        <v>4.0</v>
      </c>
      <c r="D43" s="5">
        <v>78.0</v>
      </c>
      <c r="E43" s="5" t="s">
        <v>64</v>
      </c>
      <c r="F43" s="5"/>
      <c r="G43" s="5"/>
      <c r="H43" s="5">
        <v>34.0</v>
      </c>
      <c r="I43" s="5">
        <v>33.0</v>
      </c>
      <c r="J43" s="5">
        <v>27.0</v>
      </c>
      <c r="K43" s="5">
        <v>15.0</v>
      </c>
      <c r="L43" s="5">
        <v>19.0</v>
      </c>
      <c r="M43" s="5">
        <v>16.0</v>
      </c>
      <c r="N43" s="5">
        <v>132.0</v>
      </c>
      <c r="O43" s="5">
        <v>5.0</v>
      </c>
      <c r="P43" s="5">
        <v>30.0</v>
      </c>
      <c r="Q43" s="5"/>
      <c r="R43" s="1"/>
    </row>
    <row r="44" ht="12.75" customHeight="1">
      <c r="A44" s="1"/>
      <c r="B44" s="11">
        <v>3.0</v>
      </c>
      <c r="D44" s="5">
        <v>79.0</v>
      </c>
      <c r="E44" s="5" t="s">
        <v>64</v>
      </c>
      <c r="F44" s="5"/>
      <c r="G44" s="5"/>
      <c r="H44" s="5">
        <v>35.0</v>
      </c>
      <c r="I44" s="5">
        <v>35.0</v>
      </c>
      <c r="J44" s="5">
        <v>27.0</v>
      </c>
      <c r="K44" s="5">
        <v>16.0</v>
      </c>
      <c r="L44" s="5">
        <v>21.0</v>
      </c>
      <c r="M44" s="5">
        <v>17.0</v>
      </c>
      <c r="N44" s="5">
        <v>144.0</v>
      </c>
      <c r="O44" s="5">
        <v>6.0</v>
      </c>
      <c r="P44" s="5">
        <v>35.0</v>
      </c>
      <c r="Q44" s="5"/>
      <c r="R44" s="1"/>
    </row>
    <row r="45" ht="12.75" customHeight="1">
      <c r="A45" s="1"/>
      <c r="B45" s="11">
        <v>3.0</v>
      </c>
      <c r="D45" s="5">
        <v>80.0</v>
      </c>
      <c r="E45" s="5" t="s">
        <v>64</v>
      </c>
      <c r="F45" s="5"/>
      <c r="G45" s="5"/>
      <c r="H45" s="5">
        <v>37.0</v>
      </c>
      <c r="I45" s="5">
        <v>37.0</v>
      </c>
      <c r="J45" s="5">
        <v>29.0</v>
      </c>
      <c r="K45" s="5">
        <v>17.0</v>
      </c>
      <c r="L45" s="5">
        <v>21.0</v>
      </c>
      <c r="M45" s="5">
        <v>18.0</v>
      </c>
      <c r="N45" s="5">
        <v>147.0</v>
      </c>
      <c r="O45" s="5">
        <v>8.0</v>
      </c>
      <c r="P45" s="5">
        <v>40.0</v>
      </c>
      <c r="Q45" s="5"/>
      <c r="R45" s="1"/>
    </row>
    <row r="46" ht="12.75" customHeight="1">
      <c r="A46" s="1"/>
      <c r="B46" s="11">
        <v>3.0</v>
      </c>
      <c r="D46" s="5">
        <v>81.0</v>
      </c>
      <c r="E46" s="5" t="s">
        <v>64</v>
      </c>
      <c r="F46" s="5"/>
      <c r="G46" s="5"/>
      <c r="H46" s="5">
        <v>39.0</v>
      </c>
      <c r="I46" s="5">
        <v>39.0</v>
      </c>
      <c r="J46" s="5">
        <v>30.0</v>
      </c>
      <c r="K46" s="5">
        <v>17.0</v>
      </c>
      <c r="L46" s="5">
        <v>21.0</v>
      </c>
      <c r="M46" s="5">
        <v>19.0</v>
      </c>
      <c r="N46" s="5">
        <v>154.0</v>
      </c>
      <c r="O46" s="5">
        <v>10.0</v>
      </c>
      <c r="P46" s="5">
        <v>45.0</v>
      </c>
      <c r="Q46" s="5"/>
      <c r="R46" s="1"/>
    </row>
    <row r="47" ht="12.75" customHeight="1">
      <c r="A47" s="1"/>
      <c r="B47" s="11">
        <v>1.0</v>
      </c>
      <c r="D47" s="5">
        <v>82.0</v>
      </c>
      <c r="E47" s="5" t="s">
        <v>64</v>
      </c>
      <c r="F47" s="5"/>
      <c r="G47" s="5"/>
      <c r="H47" s="5">
        <v>40.0</v>
      </c>
      <c r="I47" s="5">
        <v>40.0</v>
      </c>
      <c r="J47" s="5">
        <v>30.0</v>
      </c>
      <c r="K47" s="5">
        <v>18.0</v>
      </c>
      <c r="L47" s="5">
        <v>22.0</v>
      </c>
      <c r="M47" s="5">
        <v>19.0</v>
      </c>
      <c r="N47" s="5">
        <v>158.0</v>
      </c>
      <c r="O47" s="5">
        <v>12.0</v>
      </c>
      <c r="P47" s="5">
        <v>50.0</v>
      </c>
      <c r="Q47" s="5"/>
      <c r="R47" s="1"/>
    </row>
    <row r="48" ht="12.75" customHeight="1">
      <c r="A48" s="1"/>
      <c r="B48" s="11">
        <v>2.0</v>
      </c>
      <c r="D48" s="5">
        <v>83.0</v>
      </c>
      <c r="E48" s="5" t="s">
        <v>64</v>
      </c>
      <c r="F48" s="5"/>
      <c r="G48" s="5"/>
      <c r="H48" s="5">
        <v>41.0</v>
      </c>
      <c r="I48" s="5">
        <v>41.0</v>
      </c>
      <c r="J48" s="5">
        <v>32.0</v>
      </c>
      <c r="K48" s="5">
        <v>20.0</v>
      </c>
      <c r="L48" s="5">
        <v>24.0</v>
      </c>
      <c r="M48" s="5">
        <v>20.0</v>
      </c>
      <c r="N48" s="5">
        <v>161.0</v>
      </c>
      <c r="O48" s="5">
        <v>14.0</v>
      </c>
      <c r="P48" s="5">
        <v>55.0</v>
      </c>
      <c r="Q48" s="5"/>
      <c r="R48" s="1"/>
    </row>
    <row r="49" ht="12.75" customHeight="1">
      <c r="A49" s="1"/>
      <c r="B49" s="11">
        <v>2.0</v>
      </c>
      <c r="D49" s="5">
        <v>84.0</v>
      </c>
      <c r="E49" s="5" t="s">
        <v>64</v>
      </c>
      <c r="F49" s="5"/>
      <c r="G49" s="5"/>
      <c r="H49" s="5">
        <v>44.0</v>
      </c>
      <c r="I49" s="5">
        <v>46.0</v>
      </c>
      <c r="J49" s="5">
        <v>33.0</v>
      </c>
      <c r="K49" s="5">
        <v>21.0</v>
      </c>
      <c r="L49" s="5">
        <v>25.0</v>
      </c>
      <c r="M49" s="5">
        <v>21.0</v>
      </c>
      <c r="N49" s="5">
        <v>167.0</v>
      </c>
      <c r="O49" s="5">
        <v>17.0</v>
      </c>
      <c r="P49" s="5">
        <v>60.0</v>
      </c>
      <c r="Q49" s="5"/>
      <c r="R49" s="1"/>
    </row>
    <row r="50" ht="12.75" customHeight="1">
      <c r="A50" s="1"/>
      <c r="B50" s="11">
        <v>2.0</v>
      </c>
      <c r="D50" s="5">
        <v>85.0</v>
      </c>
      <c r="E50" s="5" t="s">
        <v>74</v>
      </c>
      <c r="F50" s="5"/>
      <c r="G50" s="5"/>
      <c r="H50" s="5">
        <v>46.0</v>
      </c>
      <c r="I50" s="5">
        <v>48.0</v>
      </c>
      <c r="J50" s="5">
        <v>33.0</v>
      </c>
      <c r="K50" s="5">
        <v>22.0</v>
      </c>
      <c r="L50" s="5">
        <v>26.0</v>
      </c>
      <c r="M50" s="5">
        <v>22.0</v>
      </c>
      <c r="N50" s="5">
        <v>175.0</v>
      </c>
      <c r="O50" s="5">
        <v>21.0</v>
      </c>
      <c r="P50" s="5">
        <v>65.0</v>
      </c>
      <c r="Q50" s="5"/>
      <c r="R50" s="1"/>
    </row>
    <row r="51" ht="12.75" customHeight="1">
      <c r="A51" s="1"/>
      <c r="B51" s="11">
        <v>1.0</v>
      </c>
      <c r="D51" s="5">
        <v>86.0</v>
      </c>
      <c r="E51" s="5" t="s">
        <v>74</v>
      </c>
      <c r="F51" s="5"/>
      <c r="G51" s="5"/>
      <c r="H51" s="5">
        <v>49.0</v>
      </c>
      <c r="I51" s="5">
        <v>49.0</v>
      </c>
      <c r="J51" s="5">
        <v>35.0</v>
      </c>
      <c r="K51" s="5">
        <v>24.0</v>
      </c>
      <c r="L51" s="5">
        <v>28.0</v>
      </c>
      <c r="M51" s="5">
        <v>22.0</v>
      </c>
      <c r="N51" s="5">
        <v>179.0</v>
      </c>
      <c r="O51" s="5">
        <v>23.0</v>
      </c>
      <c r="P51" s="5">
        <v>70.0</v>
      </c>
      <c r="Q51" s="5"/>
    </row>
    <row r="52" ht="12.75" customHeight="1">
      <c r="A52" s="1"/>
      <c r="B52" s="11">
        <v>1.0</v>
      </c>
      <c r="D52" s="5">
        <v>87.0</v>
      </c>
      <c r="E52" s="5" t="s">
        <v>74</v>
      </c>
      <c r="F52" s="5"/>
      <c r="G52" s="5"/>
      <c r="H52" s="5">
        <v>52.0</v>
      </c>
      <c r="I52" s="5">
        <v>53.0</v>
      </c>
      <c r="J52" s="5">
        <v>36.0</v>
      </c>
      <c r="K52" s="5">
        <v>25.0</v>
      </c>
      <c r="L52" s="5">
        <v>29.0</v>
      </c>
      <c r="M52" s="5">
        <v>23.0</v>
      </c>
      <c r="N52" s="5">
        <v>187.0</v>
      </c>
      <c r="O52" s="5">
        <v>27.0</v>
      </c>
      <c r="P52" s="5">
        <v>75.0</v>
      </c>
      <c r="Q52" s="5"/>
    </row>
    <row r="53" ht="12.75" customHeight="1">
      <c r="A53" s="1"/>
      <c r="B53" s="11">
        <v>2.0</v>
      </c>
      <c r="D53" s="5">
        <v>88.0</v>
      </c>
      <c r="E53" s="5" t="s">
        <v>74</v>
      </c>
      <c r="F53" s="5"/>
      <c r="G53" s="5"/>
      <c r="H53" s="5">
        <v>55.0</v>
      </c>
      <c r="I53" s="5">
        <v>56.0</v>
      </c>
      <c r="J53" s="5">
        <v>38.0</v>
      </c>
      <c r="K53" s="5">
        <v>26.0</v>
      </c>
      <c r="L53" s="5">
        <v>31.0</v>
      </c>
      <c r="M53" s="5">
        <v>24.0</v>
      </c>
      <c r="N53" s="5">
        <v>198.0</v>
      </c>
      <c r="O53" s="5">
        <v>30.0</v>
      </c>
      <c r="P53" s="5">
        <v>80.0</v>
      </c>
      <c r="Q53" s="5"/>
    </row>
    <row r="54" ht="12.75" customHeight="1">
      <c r="A54" s="1"/>
      <c r="B54" s="11">
        <v>1.0</v>
      </c>
      <c r="D54" s="5">
        <v>89.0</v>
      </c>
      <c r="E54" s="5" t="s">
        <v>74</v>
      </c>
      <c r="F54" s="5"/>
      <c r="G54" s="5"/>
      <c r="H54" s="5">
        <v>61.0</v>
      </c>
      <c r="I54" s="5">
        <v>59.0</v>
      </c>
      <c r="J54" s="5">
        <v>41.0</v>
      </c>
      <c r="K54" s="5">
        <v>29.0</v>
      </c>
      <c r="L54" s="5">
        <v>35.0</v>
      </c>
      <c r="M54" s="5">
        <v>26.0</v>
      </c>
      <c r="N54" s="5">
        <v>213.0</v>
      </c>
      <c r="O54" s="5">
        <v>36.0</v>
      </c>
      <c r="P54" s="5">
        <v>85.0</v>
      </c>
      <c r="Q54" s="5"/>
    </row>
    <row r="55" ht="12.75" customHeight="1">
      <c r="A55" s="1"/>
      <c r="B55" s="11">
        <v>1.0</v>
      </c>
      <c r="D55" s="5">
        <v>90.0</v>
      </c>
      <c r="E55" s="5" t="s">
        <v>74</v>
      </c>
      <c r="F55" s="5"/>
      <c r="G55" s="5"/>
      <c r="H55" s="5">
        <v>66.0</v>
      </c>
      <c r="I55" s="5">
        <v>66.0</v>
      </c>
      <c r="J55" s="5">
        <v>45.0</v>
      </c>
      <c r="K55" s="5">
        <v>34.0</v>
      </c>
      <c r="L55" s="5">
        <v>37.0</v>
      </c>
      <c r="M55" s="5">
        <v>29.0</v>
      </c>
      <c r="N55" s="5">
        <v>230.0</v>
      </c>
      <c r="O55" s="5">
        <v>45.0</v>
      </c>
      <c r="P55" s="5">
        <v>90.0</v>
      </c>
      <c r="Q55" s="5"/>
    </row>
    <row r="56" ht="12.75" customHeight="1">
      <c r="A56" s="1"/>
      <c r="B56" s="11">
        <v>2.0</v>
      </c>
      <c r="D56" s="5">
        <v>91.0</v>
      </c>
      <c r="E56" s="5" t="s">
        <v>74</v>
      </c>
      <c r="F56" s="5"/>
      <c r="G56" s="5"/>
      <c r="H56" s="5">
        <v>74.0</v>
      </c>
      <c r="I56" s="5">
        <v>77.0</v>
      </c>
      <c r="J56" s="5">
        <v>59.0</v>
      </c>
      <c r="K56" s="5">
        <v>42.0</v>
      </c>
      <c r="L56" s="5">
        <v>45.0</v>
      </c>
      <c r="M56" s="5">
        <v>34.0</v>
      </c>
      <c r="N56" s="5">
        <v>274.0</v>
      </c>
      <c r="O56" s="5">
        <v>58.0</v>
      </c>
      <c r="P56" s="5">
        <v>95.0</v>
      </c>
      <c r="Q56" s="5"/>
    </row>
    <row r="57" ht="12.75" customHeight="1">
      <c r="A57" s="1"/>
      <c r="B57" s="11">
        <v>2.0</v>
      </c>
      <c r="D57" s="5">
        <v>92.0</v>
      </c>
      <c r="E57" s="5" t="s">
        <v>74</v>
      </c>
      <c r="F57" s="5"/>
      <c r="G57" s="5"/>
      <c r="H57" s="5">
        <v>75.0</v>
      </c>
      <c r="I57" s="5">
        <v>78.0</v>
      </c>
      <c r="J57" s="5">
        <v>60.0</v>
      </c>
      <c r="K57" s="5">
        <v>43.0</v>
      </c>
      <c r="L57" s="5">
        <v>46.0</v>
      </c>
      <c r="M57" s="5">
        <v>35.0</v>
      </c>
      <c r="N57" s="5">
        <v>275.0</v>
      </c>
      <c r="O57" s="5">
        <v>80.0</v>
      </c>
      <c r="P57" s="5">
        <v>99.0</v>
      </c>
      <c r="Q57" s="5"/>
    </row>
    <row r="58" ht="12.75" customHeight="1">
      <c r="A58" s="1"/>
      <c r="B58" s="11">
        <v>1.0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12.75" customHeight="1">
      <c r="A59" s="1"/>
      <c r="B59" s="1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12.75" customHeight="1">
      <c r="A60" s="1"/>
      <c r="B60" s="11">
        <v>1.0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12.75" customHeight="1">
      <c r="A61" s="1"/>
      <c r="B61" s="11">
        <v>2.0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12.75" customHeight="1">
      <c r="A62" s="1"/>
      <c r="B62" s="11">
        <v>2.0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12.75" customHeight="1">
      <c r="A63" s="1"/>
      <c r="B63" s="11">
        <v>1.0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12.75" customHeight="1">
      <c r="A64" s="1"/>
      <c r="B64" s="11">
        <v>1.0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2.75" customHeight="1">
      <c r="A65" s="1"/>
      <c r="B65" s="11">
        <v>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2.75" customHeight="1">
      <c r="A66" s="1"/>
      <c r="B66" s="1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1"/>
      <c r="B67" s="11">
        <v>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1"/>
      <c r="B68" s="11">
        <v>3.0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1">
        <v>2.0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1">
        <v>3.0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1">
        <v>4.0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1">
        <v>4.0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1">
        <v>2.0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1">
        <v>4.0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1">
        <v>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1">
        <v>3.0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1">
        <v>2.0</v>
      </c>
    </row>
    <row r="78" ht="12.75" customHeight="1">
      <c r="A78" s="1"/>
      <c r="B78" s="11">
        <v>1.0</v>
      </c>
    </row>
    <row r="79" ht="12.75" customHeight="1">
      <c r="A79" s="1"/>
      <c r="B79" s="11">
        <v>2.0</v>
      </c>
    </row>
    <row r="80" ht="12.75" customHeight="1">
      <c r="A80" s="1"/>
      <c r="B80" s="11">
        <v>2.0</v>
      </c>
    </row>
    <row r="81" ht="12.75" customHeight="1">
      <c r="A81" s="1"/>
      <c r="B81" s="11">
        <v>1.0</v>
      </c>
    </row>
    <row r="82" ht="12.75" customHeight="1">
      <c r="A82" s="1"/>
      <c r="B82" s="11">
        <v>1.0</v>
      </c>
    </row>
    <row r="83" ht="12.75" customHeight="1">
      <c r="A83" s="1"/>
      <c r="B83" s="11">
        <v>2.0</v>
      </c>
    </row>
    <row r="84" ht="12.75" customHeight="1">
      <c r="A84" s="1"/>
      <c r="B84" s="11">
        <v>2.0</v>
      </c>
    </row>
    <row r="85" ht="12.75" customHeight="1">
      <c r="A85" s="1"/>
      <c r="B85" s="11">
        <v>2.0</v>
      </c>
    </row>
    <row r="86" ht="12.75" customHeight="1">
      <c r="A86" s="1"/>
      <c r="B86" s="11">
        <v>4.0</v>
      </c>
    </row>
    <row r="87" ht="12.75" customHeight="1">
      <c r="A87" s="1"/>
      <c r="B87" s="11">
        <v>2.0</v>
      </c>
    </row>
    <row r="88" ht="12.75" customHeight="1">
      <c r="A88" s="1"/>
      <c r="B88" s="11">
        <v>3.0</v>
      </c>
    </row>
    <row r="89" ht="12.75" customHeight="1">
      <c r="A89" s="1"/>
      <c r="B89" s="11">
        <v>2.0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7" width="8.63"/>
  </cols>
  <sheetData>
    <row r="1" ht="12.75" customHeight="1">
      <c r="A1" s="2"/>
      <c r="B1" s="11">
        <v>3.0</v>
      </c>
      <c r="D1" s="3" t="s">
        <v>1</v>
      </c>
      <c r="E1" s="3">
        <f>SUM(B1:B21)</f>
        <v>30</v>
      </c>
    </row>
    <row r="2" ht="12.75" customHeight="1">
      <c r="A2" s="2"/>
      <c r="B2" s="11">
        <v>2.0</v>
      </c>
      <c r="D2" s="3" t="s">
        <v>3</v>
      </c>
      <c r="E2" s="3">
        <f>SUM(B22:B45)</f>
        <v>54</v>
      </c>
      <c r="G2" s="5"/>
      <c r="H2" s="5"/>
      <c r="I2" s="5"/>
      <c r="J2" s="6"/>
    </row>
    <row r="3" ht="12.75" customHeight="1">
      <c r="A3" s="2"/>
      <c r="B3" s="11">
        <v>1.0</v>
      </c>
      <c r="D3" s="3" t="s">
        <v>5</v>
      </c>
      <c r="E3" s="3">
        <f>SUM(B46:B64)</f>
        <v>51</v>
      </c>
      <c r="G3" s="7"/>
      <c r="H3" s="7">
        <f>COUNTIF(B1:B89,"3")</f>
        <v>19</v>
      </c>
      <c r="I3" s="7"/>
      <c r="J3" s="6"/>
    </row>
    <row r="4" ht="12.75" customHeight="1">
      <c r="A4" s="2"/>
      <c r="B4" s="11">
        <v>1.0</v>
      </c>
      <c r="D4" s="3" t="s">
        <v>7</v>
      </c>
      <c r="E4" s="3">
        <f>SUM(B65:B76)</f>
        <v>17</v>
      </c>
      <c r="G4" s="7"/>
      <c r="H4" s="7">
        <f>COUNTIF(B1:B89,"4")</f>
        <v>14</v>
      </c>
      <c r="I4" s="7"/>
      <c r="J4" s="6"/>
    </row>
    <row r="5" ht="12.75" customHeight="1">
      <c r="A5" s="2"/>
      <c r="B5" s="11">
        <v>1.0</v>
      </c>
      <c r="D5" s="3" t="s">
        <v>9</v>
      </c>
      <c r="E5" s="3">
        <f>SUM(B77:B89)</f>
        <v>45</v>
      </c>
      <c r="G5" s="7"/>
      <c r="H5" s="7">
        <f>SUM(H3:H4)</f>
        <v>33</v>
      </c>
      <c r="I5" s="7"/>
      <c r="J5" s="6"/>
    </row>
    <row r="6" ht="12.75" customHeight="1">
      <c r="A6" s="2"/>
      <c r="B6" s="11">
        <v>1.0</v>
      </c>
      <c r="D6" s="3" t="s">
        <v>11</v>
      </c>
      <c r="E6" s="3">
        <f>SUM(B1,B6,B14,B16,B24,B49,B50,B55,B60,B65,B69)</f>
        <v>26</v>
      </c>
      <c r="G6" s="6"/>
      <c r="H6" s="6"/>
      <c r="I6" s="6"/>
      <c r="J6" s="6"/>
    </row>
    <row r="7" ht="12.75" customHeight="1">
      <c r="A7" s="2"/>
      <c r="B7" s="11">
        <v>2.0</v>
      </c>
      <c r="D7" s="3" t="s">
        <v>13</v>
      </c>
      <c r="E7" s="3">
        <f>SUM(E1:E5)</f>
        <v>197</v>
      </c>
    </row>
    <row r="8" ht="12.75" customHeight="1">
      <c r="A8" s="2"/>
      <c r="B8" s="11">
        <v>1.0</v>
      </c>
      <c r="D8" s="3" t="s">
        <v>15</v>
      </c>
      <c r="E8" s="3">
        <f>H5</f>
        <v>33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2"/>
      <c r="B9" s="11">
        <v>1.0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2"/>
      <c r="B10" s="11">
        <v>1.0</v>
      </c>
      <c r="D10" s="3" t="s">
        <v>1</v>
      </c>
      <c r="E10" s="3">
        <f>VLOOKUP(E1,H36:P57,9,1)</f>
        <v>30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2"/>
      <c r="B11" s="11">
        <v>2.0</v>
      </c>
      <c r="D11" s="3" t="s">
        <v>3</v>
      </c>
      <c r="E11" s="3">
        <f>VLOOKUP(E2,I37:P57,8,1)</f>
        <v>65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2"/>
      <c r="B12" s="11">
        <v>1.0</v>
      </c>
      <c r="D12" s="3" t="s">
        <v>5</v>
      </c>
      <c r="E12" s="3">
        <f>VLOOKUP(E3,J37:P57,7,1)</f>
        <v>90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2"/>
      <c r="B13" s="11">
        <v>2.0</v>
      </c>
      <c r="D13" s="3" t="s">
        <v>7</v>
      </c>
      <c r="E13" s="3">
        <f>VLOOKUP(E4,K37:P57,6,1)</f>
        <v>55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2"/>
      <c r="B14" s="11">
        <v>2.0</v>
      </c>
      <c r="D14" s="3" t="s">
        <v>9</v>
      </c>
      <c r="E14" s="3">
        <f>VLOOKUP(E5,L37:P57,5,1)</f>
        <v>99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2"/>
      <c r="B15" s="11">
        <v>1.0</v>
      </c>
      <c r="D15" s="3" t="s">
        <v>11</v>
      </c>
      <c r="E15" s="3">
        <f>VLOOKUP(E6,M37:P57,4,1)</f>
        <v>85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2"/>
      <c r="B16" s="11">
        <v>1.0</v>
      </c>
      <c r="D16" s="3" t="s">
        <v>13</v>
      </c>
      <c r="E16" s="3">
        <f>VLOOKUP(E7,N37:P57,3,1)</f>
        <v>85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2"/>
      <c r="B17" s="11">
        <v>2.0</v>
      </c>
      <c r="D17" s="3" t="s">
        <v>15</v>
      </c>
      <c r="E17" s="3">
        <f>VLOOKUP(E8,O37:P57,2,1)</f>
        <v>80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2"/>
      <c r="B18" s="11">
        <v>1.0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2"/>
      <c r="B19" s="11">
        <v>2.0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2"/>
      <c r="B20" s="11">
        <v>1.0</v>
      </c>
    </row>
    <row r="21" ht="12.75" customHeight="1">
      <c r="A21" s="2"/>
      <c r="B21" s="11">
        <v>1.0</v>
      </c>
      <c r="D21" s="3" t="s">
        <v>1</v>
      </c>
      <c r="E21" s="3" t="str">
        <f>VLOOKUP(E10,D39:E64,2,1)</f>
        <v>SEM SIGNIFICÂNCIA CLINICA</v>
      </c>
    </row>
    <row r="22" ht="12.75" customHeight="1">
      <c r="A22" s="2"/>
      <c r="B22" s="11">
        <v>1.0</v>
      </c>
      <c r="D22" s="3" t="s">
        <v>3</v>
      </c>
      <c r="E22" s="3" t="str">
        <f>VLOOKUP(E11,D39:E64,2,1)</f>
        <v>SEM SIGNIFICÂNCIA CLINICA</v>
      </c>
    </row>
    <row r="23" ht="12.75" customHeight="1">
      <c r="A23" s="2"/>
      <c r="B23" s="11">
        <v>2.0</v>
      </c>
      <c r="D23" s="3" t="s">
        <v>5</v>
      </c>
      <c r="E23" s="10" t="str">
        <f>VLOOKUP(E12,D39:E64,2,1)</f>
        <v>LIMITROFE</v>
      </c>
    </row>
    <row r="24" ht="12.75" customHeight="1">
      <c r="A24" s="2"/>
      <c r="B24" s="11">
        <v>3.0</v>
      </c>
      <c r="D24" s="3" t="s">
        <v>7</v>
      </c>
      <c r="E24" s="3" t="str">
        <f>VLOOKUP(E13,D39:E64,2,1)</f>
        <v>SEM SIGNIFICÂNCIA CLINICA</v>
      </c>
    </row>
    <row r="25" ht="12.75" customHeight="1">
      <c r="A25" s="2"/>
      <c r="B25" s="11">
        <v>3.0</v>
      </c>
      <c r="D25" s="3" t="s">
        <v>9</v>
      </c>
      <c r="E25" s="10" t="str">
        <f>VLOOKUP(E14,D39:E64,2,1)</f>
        <v>DEFICIÊNCIA SEVERA</v>
      </c>
    </row>
    <row r="26" ht="12.75" customHeight="1">
      <c r="A26" s="2"/>
      <c r="B26" s="11">
        <v>2.0</v>
      </c>
      <c r="D26" s="3" t="s">
        <v>11</v>
      </c>
      <c r="E26" s="10" t="str">
        <f>VLOOKUP(E15,D39:E64,2,1)</f>
        <v>LIMITROFE</v>
      </c>
    </row>
    <row r="27" ht="12.75" customHeight="1">
      <c r="A27" s="2"/>
      <c r="B27" s="11">
        <v>2.0</v>
      </c>
      <c r="D27" s="3" t="s">
        <v>13</v>
      </c>
      <c r="E27" s="10" t="str">
        <f>VLOOKUP(E16,D39:E64,2,1)</f>
        <v>LIMITROFE</v>
      </c>
    </row>
    <row r="28" ht="12.75" customHeight="1">
      <c r="A28" s="2"/>
      <c r="B28" s="11">
        <v>3.0</v>
      </c>
      <c r="D28" s="3" t="s">
        <v>15</v>
      </c>
      <c r="E28" s="3" t="str">
        <f>VLOOKUP(E17,D39:E64,2,1)</f>
        <v>SIGNIFICÂNCIA CLINICA MINIMA</v>
      </c>
    </row>
    <row r="29" ht="12.75" customHeight="1">
      <c r="A29" s="2"/>
      <c r="B29" s="11">
        <v>2.0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2"/>
      <c r="B30" s="11">
        <v>3.0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2"/>
      <c r="B31" s="11">
        <v>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2"/>
      <c r="B32" s="11">
        <v>2.0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2"/>
      <c r="B33" s="11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2"/>
      <c r="B34" s="11">
        <v>2.0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2"/>
      <c r="B35" s="1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2"/>
      <c r="B36" s="11">
        <v>1.0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2"/>
      <c r="B37" s="1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2"/>
      <c r="B38" s="11">
        <v>2.0</v>
      </c>
      <c r="D38" s="5"/>
      <c r="E38" s="5"/>
      <c r="F38" s="5"/>
      <c r="G38" s="5"/>
      <c r="H38" s="5">
        <v>24.0</v>
      </c>
      <c r="I38" s="5">
        <v>26.0</v>
      </c>
      <c r="J38" s="5">
        <v>20.0</v>
      </c>
      <c r="K38" s="5">
        <v>12.0</v>
      </c>
      <c r="L38" s="5">
        <v>13.0</v>
      </c>
      <c r="M38" s="5">
        <v>11.0</v>
      </c>
      <c r="N38" s="5">
        <v>99.0</v>
      </c>
      <c r="O38" s="5">
        <v>1.0</v>
      </c>
      <c r="P38" s="5">
        <v>5.0</v>
      </c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2"/>
      <c r="B39" s="11">
        <v>3.0</v>
      </c>
      <c r="D39" s="5">
        <v>1.0</v>
      </c>
      <c r="E39" s="5" t="s">
        <v>61</v>
      </c>
      <c r="F39" s="5"/>
      <c r="G39" s="5"/>
      <c r="H39" s="5">
        <v>25.0</v>
      </c>
      <c r="I39" s="5">
        <v>27.0</v>
      </c>
      <c r="J39" s="5">
        <v>22.0</v>
      </c>
      <c r="K39" s="5">
        <v>12.0</v>
      </c>
      <c r="L39" s="5">
        <v>15.0</v>
      </c>
      <c r="M39" s="5">
        <v>12.0</v>
      </c>
      <c r="N39" s="5">
        <v>108.0</v>
      </c>
      <c r="O39" s="5">
        <v>2.0</v>
      </c>
      <c r="P39" s="5">
        <v>10.0</v>
      </c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2"/>
      <c r="B40" s="11">
        <v>2.0</v>
      </c>
      <c r="D40" s="5">
        <v>75.0</v>
      </c>
      <c r="E40" s="5" t="s">
        <v>61</v>
      </c>
      <c r="F40" s="5"/>
      <c r="G40" s="5"/>
      <c r="H40" s="5">
        <v>26.0</v>
      </c>
      <c r="I40" s="5">
        <v>29.0</v>
      </c>
      <c r="J40" s="5">
        <v>23.0</v>
      </c>
      <c r="K40" s="5">
        <v>12.0</v>
      </c>
      <c r="L40" s="5">
        <v>16.0</v>
      </c>
      <c r="M40" s="5">
        <v>13.0</v>
      </c>
      <c r="N40" s="5">
        <v>116.0</v>
      </c>
      <c r="O40" s="5">
        <v>3.0</v>
      </c>
      <c r="P40" s="5">
        <v>15.0</v>
      </c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2"/>
      <c r="B41" s="11">
        <v>2.0</v>
      </c>
      <c r="D41" s="5">
        <v>76.0</v>
      </c>
      <c r="E41" s="5" t="s">
        <v>64</v>
      </c>
      <c r="F41" s="5"/>
      <c r="G41" s="5"/>
      <c r="H41" s="5">
        <v>27.0</v>
      </c>
      <c r="I41" s="5">
        <v>31.0</v>
      </c>
      <c r="J41" s="5">
        <v>24.0</v>
      </c>
      <c r="K41" s="5">
        <v>13.0</v>
      </c>
      <c r="L41" s="5">
        <v>17.0</v>
      </c>
      <c r="M41" s="5">
        <v>14.0</v>
      </c>
      <c r="N41" s="5">
        <v>119.0</v>
      </c>
      <c r="O41" s="5">
        <v>5.0</v>
      </c>
      <c r="P41" s="5">
        <v>20.0</v>
      </c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2"/>
      <c r="B42" s="11">
        <v>3.0</v>
      </c>
      <c r="D42" s="5">
        <v>77.0</v>
      </c>
      <c r="E42" s="5" t="s">
        <v>64</v>
      </c>
      <c r="F42" s="5"/>
      <c r="G42" s="5"/>
      <c r="H42" s="5">
        <v>28.0</v>
      </c>
      <c r="I42" s="5">
        <v>33.0</v>
      </c>
      <c r="J42" s="5">
        <v>25.0</v>
      </c>
      <c r="K42" s="5">
        <v>14.0</v>
      </c>
      <c r="L42" s="5">
        <v>18.0</v>
      </c>
      <c r="M42" s="5">
        <v>15.0</v>
      </c>
      <c r="N42" s="5">
        <v>125.0</v>
      </c>
      <c r="O42" s="5">
        <v>6.0</v>
      </c>
      <c r="P42" s="5">
        <v>25.0</v>
      </c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2"/>
      <c r="B43" s="11">
        <v>2.0</v>
      </c>
      <c r="D43" s="5">
        <v>78.0</v>
      </c>
      <c r="E43" s="5" t="s">
        <v>64</v>
      </c>
      <c r="F43" s="5"/>
      <c r="G43" s="5"/>
      <c r="H43" s="5">
        <v>29.0</v>
      </c>
      <c r="I43" s="5">
        <v>35.0</v>
      </c>
      <c r="J43" s="5">
        <v>26.0</v>
      </c>
      <c r="K43" s="5">
        <v>14.0</v>
      </c>
      <c r="L43" s="5">
        <v>19.0</v>
      </c>
      <c r="M43" s="5">
        <v>16.0</v>
      </c>
      <c r="N43" s="5">
        <v>130.0</v>
      </c>
      <c r="O43" s="5">
        <v>8.0</v>
      </c>
      <c r="P43" s="5">
        <v>30.0</v>
      </c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2"/>
      <c r="B44" s="11">
        <v>1.0</v>
      </c>
      <c r="D44" s="5">
        <v>79.0</v>
      </c>
      <c r="E44" s="5" t="s">
        <v>64</v>
      </c>
      <c r="F44" s="5"/>
      <c r="G44" s="5"/>
      <c r="H44" s="5">
        <v>32.0</v>
      </c>
      <c r="I44" s="5">
        <v>36.0</v>
      </c>
      <c r="J44" s="5">
        <v>26.0</v>
      </c>
      <c r="K44" s="5">
        <v>14.0</v>
      </c>
      <c r="L44" s="5">
        <v>20.0</v>
      </c>
      <c r="M44" s="5">
        <v>17.0</v>
      </c>
      <c r="N44" s="5">
        <v>139.0</v>
      </c>
      <c r="O44" s="5">
        <v>10.0</v>
      </c>
      <c r="P44" s="5">
        <v>35.0</v>
      </c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2"/>
      <c r="B45" s="11">
        <v>2.0</v>
      </c>
      <c r="D45" s="5">
        <v>80.0</v>
      </c>
      <c r="E45" s="5" t="s">
        <v>64</v>
      </c>
      <c r="F45" s="5"/>
      <c r="G45" s="5"/>
      <c r="H45" s="5">
        <v>33.0</v>
      </c>
      <c r="I45" s="5">
        <v>37.0</v>
      </c>
      <c r="J45" s="5">
        <v>27.0</v>
      </c>
      <c r="K45" s="5">
        <v>14.0</v>
      </c>
      <c r="L45" s="5">
        <v>21.0</v>
      </c>
      <c r="M45" s="5">
        <v>17.0</v>
      </c>
      <c r="N45" s="5">
        <v>141.0</v>
      </c>
      <c r="O45" s="5">
        <v>12.0</v>
      </c>
      <c r="P45" s="5">
        <v>40.0</v>
      </c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2"/>
      <c r="B46" s="11">
        <v>4.0</v>
      </c>
      <c r="D46" s="5">
        <v>81.0</v>
      </c>
      <c r="E46" s="5" t="s">
        <v>64</v>
      </c>
      <c r="F46" s="5"/>
      <c r="G46" s="5"/>
      <c r="H46" s="5">
        <v>35.0</v>
      </c>
      <c r="I46" s="5">
        <v>41.0</v>
      </c>
      <c r="J46" s="5">
        <v>29.0</v>
      </c>
      <c r="K46" s="5">
        <v>15.0</v>
      </c>
      <c r="L46" s="5">
        <v>22.0</v>
      </c>
      <c r="M46" s="5">
        <v>17.0</v>
      </c>
      <c r="N46" s="5">
        <v>148.0</v>
      </c>
      <c r="O46" s="5">
        <v>13.0</v>
      </c>
      <c r="P46" s="5">
        <v>45.0</v>
      </c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2"/>
      <c r="B47" s="11">
        <v>2.0</v>
      </c>
      <c r="D47" s="5">
        <v>82.0</v>
      </c>
      <c r="E47" s="5" t="s">
        <v>64</v>
      </c>
      <c r="F47" s="5"/>
      <c r="G47" s="5"/>
      <c r="H47" s="5">
        <v>37.0</v>
      </c>
      <c r="I47" s="5">
        <v>42.0</v>
      </c>
      <c r="J47" s="5">
        <v>29.0</v>
      </c>
      <c r="K47" s="5">
        <v>16.0</v>
      </c>
      <c r="L47" s="5">
        <v>22.0</v>
      </c>
      <c r="M47" s="5">
        <v>18.0</v>
      </c>
      <c r="N47" s="5">
        <v>151.0</v>
      </c>
      <c r="O47" s="5">
        <v>15.0</v>
      </c>
      <c r="P47" s="5">
        <v>50.0</v>
      </c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2"/>
      <c r="B48" s="11">
        <v>3.0</v>
      </c>
      <c r="D48" s="5">
        <v>83.0</v>
      </c>
      <c r="E48" s="5" t="s">
        <v>64</v>
      </c>
      <c r="F48" s="5"/>
      <c r="G48" s="5"/>
      <c r="H48" s="5">
        <v>37.0</v>
      </c>
      <c r="I48" s="5">
        <v>43.0</v>
      </c>
      <c r="J48" s="5">
        <v>31.0</v>
      </c>
      <c r="K48" s="5">
        <v>17.0</v>
      </c>
      <c r="L48" s="5">
        <v>24.0</v>
      </c>
      <c r="M48" s="5">
        <v>19.0</v>
      </c>
      <c r="N48" s="5">
        <v>154.0</v>
      </c>
      <c r="O48" s="5">
        <v>18.0</v>
      </c>
      <c r="P48" s="5">
        <v>55.0</v>
      </c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2"/>
      <c r="B49" s="11">
        <v>3.0</v>
      </c>
      <c r="D49" s="5">
        <v>84.0</v>
      </c>
      <c r="E49" s="5" t="s">
        <v>64</v>
      </c>
      <c r="F49" s="5"/>
      <c r="G49" s="5"/>
      <c r="H49" s="5">
        <v>41.0</v>
      </c>
      <c r="I49" s="5">
        <v>46.0</v>
      </c>
      <c r="J49" s="5">
        <v>34.0</v>
      </c>
      <c r="K49" s="5">
        <v>18.0</v>
      </c>
      <c r="L49" s="5">
        <v>25.0</v>
      </c>
      <c r="M49" s="5">
        <v>20.0</v>
      </c>
      <c r="N49" s="5">
        <v>167.0</v>
      </c>
      <c r="O49" s="5">
        <v>21.0</v>
      </c>
      <c r="P49" s="5">
        <v>60.0</v>
      </c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2"/>
      <c r="B50" s="11">
        <v>4.0</v>
      </c>
      <c r="D50" s="5">
        <v>85.0</v>
      </c>
      <c r="E50" s="5" t="s">
        <v>74</v>
      </c>
      <c r="F50" s="5"/>
      <c r="G50" s="5"/>
      <c r="H50" s="5">
        <v>42.0</v>
      </c>
      <c r="I50" s="5">
        <v>52.0</v>
      </c>
      <c r="J50" s="5">
        <v>34.0</v>
      </c>
      <c r="K50" s="5">
        <v>19.0</v>
      </c>
      <c r="L50" s="5">
        <v>26.0</v>
      </c>
      <c r="M50" s="5">
        <v>21.0</v>
      </c>
      <c r="N50" s="5">
        <v>168.0</v>
      </c>
      <c r="O50" s="5">
        <v>23.0</v>
      </c>
      <c r="P50" s="5">
        <v>65.0</v>
      </c>
      <c r="Q50" s="5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2"/>
      <c r="B51" s="11">
        <v>4.0</v>
      </c>
      <c r="D51" s="5">
        <v>86.0</v>
      </c>
      <c r="E51" s="5" t="s">
        <v>74</v>
      </c>
      <c r="F51" s="5"/>
      <c r="G51" s="5"/>
      <c r="H51" s="5">
        <v>43.0</v>
      </c>
      <c r="I51" s="5">
        <v>55.0</v>
      </c>
      <c r="J51" s="5">
        <v>36.0</v>
      </c>
      <c r="K51" s="5">
        <v>22.0</v>
      </c>
      <c r="L51" s="5">
        <v>27.0</v>
      </c>
      <c r="M51" s="5">
        <v>23.0</v>
      </c>
      <c r="N51" s="5">
        <v>175.0</v>
      </c>
      <c r="O51" s="5">
        <v>27.0</v>
      </c>
      <c r="P51" s="5">
        <v>70.0</v>
      </c>
      <c r="Q51" s="5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2"/>
      <c r="B52" s="11">
        <v>3.0</v>
      </c>
      <c r="D52" s="5">
        <v>87.0</v>
      </c>
      <c r="E52" s="5" t="s">
        <v>74</v>
      </c>
      <c r="F52" s="5"/>
      <c r="G52" s="5"/>
      <c r="H52" s="5">
        <v>46.0</v>
      </c>
      <c r="I52" s="5">
        <v>55.0</v>
      </c>
      <c r="J52" s="5">
        <v>39.0</v>
      </c>
      <c r="K52" s="5">
        <v>22.0</v>
      </c>
      <c r="L52" s="5">
        <v>27.0</v>
      </c>
      <c r="M52" s="5">
        <v>23.0</v>
      </c>
      <c r="N52" s="5">
        <v>182.0</v>
      </c>
      <c r="O52" s="5">
        <v>29.0</v>
      </c>
      <c r="P52" s="5">
        <v>75.0</v>
      </c>
      <c r="Q52" s="5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2"/>
      <c r="B53" s="11">
        <v>1.0</v>
      </c>
      <c r="D53" s="5">
        <v>88.0</v>
      </c>
      <c r="E53" s="5" t="s">
        <v>74</v>
      </c>
      <c r="F53" s="5"/>
      <c r="G53" s="5"/>
      <c r="H53" s="5">
        <v>48.0</v>
      </c>
      <c r="I53" s="5">
        <v>57.0</v>
      </c>
      <c r="J53" s="5">
        <v>40.0</v>
      </c>
      <c r="K53" s="5">
        <v>23.0</v>
      </c>
      <c r="L53" s="5">
        <v>29.0</v>
      </c>
      <c r="M53" s="5">
        <v>25.0</v>
      </c>
      <c r="N53" s="5">
        <v>189.0</v>
      </c>
      <c r="O53" s="5">
        <v>33.0</v>
      </c>
      <c r="P53" s="5">
        <v>80.0</v>
      </c>
      <c r="Q53" s="5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2"/>
      <c r="B54" s="11">
        <v>1.0</v>
      </c>
      <c r="D54" s="5">
        <v>89.0</v>
      </c>
      <c r="E54" s="5" t="s">
        <v>74</v>
      </c>
      <c r="F54" s="5"/>
      <c r="G54" s="5"/>
      <c r="H54" s="5">
        <v>50.0</v>
      </c>
      <c r="I54" s="5">
        <v>64.0</v>
      </c>
      <c r="J54" s="5">
        <v>42.0</v>
      </c>
      <c r="K54" s="5">
        <v>24.0</v>
      </c>
      <c r="L54" s="5">
        <v>34.0</v>
      </c>
      <c r="M54" s="5">
        <v>26.0</v>
      </c>
      <c r="N54" s="5">
        <v>193.0</v>
      </c>
      <c r="O54" s="5">
        <v>36.0</v>
      </c>
      <c r="P54" s="5">
        <v>85.0</v>
      </c>
      <c r="Q54" s="5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2"/>
      <c r="B55" s="11">
        <v>3.0</v>
      </c>
      <c r="D55" s="5">
        <v>90.0</v>
      </c>
      <c r="E55" s="5" t="s">
        <v>74</v>
      </c>
      <c r="F55" s="5"/>
      <c r="G55" s="5"/>
      <c r="H55" s="5">
        <v>61.0</v>
      </c>
      <c r="I55" s="5">
        <v>69.0</v>
      </c>
      <c r="J55" s="5">
        <v>44.0</v>
      </c>
      <c r="K55" s="5">
        <v>31.0</v>
      </c>
      <c r="L55" s="5">
        <v>38.0</v>
      </c>
      <c r="M55" s="5">
        <v>29.0</v>
      </c>
      <c r="N55" s="5">
        <v>243.0</v>
      </c>
      <c r="O55" s="5">
        <v>45.0</v>
      </c>
      <c r="P55" s="5">
        <v>90.0</v>
      </c>
      <c r="Q55" s="5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2"/>
      <c r="B56" s="11">
        <v>2.0</v>
      </c>
      <c r="D56" s="5">
        <v>91.0</v>
      </c>
      <c r="E56" s="5" t="s">
        <v>74</v>
      </c>
      <c r="F56" s="5"/>
      <c r="G56" s="5"/>
      <c r="H56" s="5">
        <v>71.0</v>
      </c>
      <c r="I56" s="5">
        <v>77.0</v>
      </c>
      <c r="J56" s="5">
        <v>55.0</v>
      </c>
      <c r="K56" s="5">
        <v>38.0</v>
      </c>
      <c r="L56" s="5">
        <v>43.0</v>
      </c>
      <c r="M56" s="5">
        <v>31.0</v>
      </c>
      <c r="N56" s="5">
        <v>258.0</v>
      </c>
      <c r="O56" s="5">
        <v>58.0</v>
      </c>
      <c r="P56" s="5">
        <v>95.0</v>
      </c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2"/>
      <c r="B57" s="11">
        <v>3.0</v>
      </c>
      <c r="D57" s="5">
        <v>92.0</v>
      </c>
      <c r="E57" s="5" t="s">
        <v>74</v>
      </c>
      <c r="F57" s="5"/>
      <c r="G57" s="5"/>
      <c r="H57" s="5">
        <v>72.0</v>
      </c>
      <c r="I57" s="5">
        <v>78.0</v>
      </c>
      <c r="J57" s="5">
        <v>56.0</v>
      </c>
      <c r="K57" s="5">
        <v>39.0</v>
      </c>
      <c r="L57" s="5">
        <v>44.0</v>
      </c>
      <c r="M57" s="5">
        <v>32.0</v>
      </c>
      <c r="N57" s="5">
        <v>259.0</v>
      </c>
      <c r="O57" s="5">
        <v>67.0</v>
      </c>
      <c r="P57" s="5">
        <v>99.0</v>
      </c>
      <c r="Q57" s="5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2"/>
      <c r="B58" s="11">
        <v>1.0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2"/>
      <c r="B59" s="11">
        <v>2.0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2"/>
      <c r="B60" s="11">
        <v>4.0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2"/>
      <c r="B61" s="1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2"/>
      <c r="B62" s="1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2"/>
      <c r="B63" s="11">
        <v>1.0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2"/>
      <c r="B64" s="1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2"/>
      <c r="B65" s="11">
        <v>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2"/>
      <c r="B66" s="1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2"/>
      <c r="B67" s="1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2"/>
      <c r="B68" s="1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2"/>
      <c r="B69" s="11">
        <v>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2"/>
      <c r="B70" s="11">
        <v>2.0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2"/>
      <c r="B71" s="11">
        <v>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2"/>
      <c r="B72" s="11">
        <v>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2"/>
      <c r="B73" s="11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2"/>
      <c r="B74" s="11">
        <v>1.0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2"/>
      <c r="B75" s="11">
        <v>2.0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2"/>
      <c r="B76" s="11">
        <v>3.0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2"/>
      <c r="B77" s="11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2"/>
      <c r="B78" s="11">
        <v>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2"/>
      <c r="B79" s="11">
        <v>2.0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2"/>
      <c r="B80" s="11">
        <v>4.0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2.75" customHeight="1">
      <c r="A81" s="2"/>
      <c r="B81" s="11">
        <v>4.0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2.75" customHeight="1">
      <c r="A82" s="2"/>
      <c r="B82" s="11">
        <v>4.0</v>
      </c>
    </row>
    <row r="83" ht="12.75" customHeight="1">
      <c r="A83" s="2"/>
      <c r="B83" s="11">
        <v>4.0</v>
      </c>
    </row>
    <row r="84" ht="12.75" customHeight="1">
      <c r="A84" s="2"/>
      <c r="B84" s="11">
        <v>3.0</v>
      </c>
    </row>
    <row r="85" ht="12.75" customHeight="1">
      <c r="A85" s="2"/>
      <c r="B85" s="11">
        <v>2.0</v>
      </c>
    </row>
    <row r="86" ht="12.75" customHeight="1">
      <c r="A86" s="2"/>
      <c r="B86" s="11">
        <v>3.0</v>
      </c>
    </row>
    <row r="87" ht="12.75" customHeight="1">
      <c r="A87" s="2"/>
      <c r="B87" s="11">
        <v>4.0</v>
      </c>
    </row>
    <row r="88" ht="12.75" customHeight="1">
      <c r="A88" s="2"/>
      <c r="B88" s="11">
        <v>3.0</v>
      </c>
    </row>
    <row r="89" ht="12.75" customHeight="1">
      <c r="A89" s="2"/>
      <c r="B89" s="11">
        <v>4.0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9" width="8.63"/>
  </cols>
  <sheetData>
    <row r="1" ht="12.75" customHeight="1">
      <c r="A1" s="1" t="s">
        <v>0</v>
      </c>
      <c r="B1" s="1">
        <v>1.0</v>
      </c>
      <c r="D1" s="3" t="s">
        <v>1</v>
      </c>
      <c r="E1" s="4"/>
    </row>
    <row r="2" ht="12.75" customHeight="1">
      <c r="A2" s="1" t="s">
        <v>2</v>
      </c>
      <c r="B2" s="2">
        <v>2.0</v>
      </c>
      <c r="D2" s="3" t="s">
        <v>3</v>
      </c>
      <c r="E2" s="4"/>
      <c r="G2" s="5"/>
      <c r="H2" s="5"/>
      <c r="I2" s="5"/>
      <c r="J2" s="6"/>
    </row>
    <row r="3" ht="12.75" customHeight="1">
      <c r="A3" s="1" t="s">
        <v>4</v>
      </c>
      <c r="B3" s="1">
        <v>1.0</v>
      </c>
      <c r="D3" s="3" t="s">
        <v>5</v>
      </c>
      <c r="E3" s="4"/>
      <c r="G3" s="7"/>
      <c r="H3" s="7">
        <f>COUNTIF(B1:B89,"3")</f>
        <v>0</v>
      </c>
      <c r="I3" s="7"/>
      <c r="J3" s="6"/>
    </row>
    <row r="4" ht="12.75" customHeight="1">
      <c r="A4" s="1" t="s">
        <v>6</v>
      </c>
      <c r="B4" s="2">
        <v>2.0</v>
      </c>
      <c r="D4" s="3" t="s">
        <v>7</v>
      </c>
      <c r="E4" s="4"/>
      <c r="G4" s="7"/>
      <c r="H4" s="7">
        <f>COUNTIF(B1:B89,"4")</f>
        <v>0</v>
      </c>
      <c r="I4" s="7"/>
      <c r="J4" s="6"/>
    </row>
    <row r="5" ht="12.75" customHeight="1">
      <c r="A5" s="1" t="s">
        <v>8</v>
      </c>
      <c r="B5" s="1">
        <v>1.0</v>
      </c>
      <c r="D5" s="3" t="s">
        <v>9</v>
      </c>
      <c r="E5" s="4"/>
      <c r="G5" s="7"/>
      <c r="H5" s="7">
        <f>SUM(H3:H4)</f>
        <v>0</v>
      </c>
      <c r="I5" s="7"/>
      <c r="J5" s="6"/>
    </row>
    <row r="6" ht="12.75" customHeight="1">
      <c r="A6" s="1" t="s">
        <v>10</v>
      </c>
      <c r="B6" s="1">
        <v>1.0</v>
      </c>
      <c r="D6" s="3" t="s">
        <v>11</v>
      </c>
      <c r="E6" s="4"/>
      <c r="G6" s="6"/>
      <c r="H6" s="6"/>
      <c r="I6" s="6"/>
      <c r="J6" s="6"/>
    </row>
    <row r="7" ht="12.75" customHeight="1">
      <c r="A7" s="1" t="s">
        <v>12</v>
      </c>
      <c r="B7" s="1">
        <v>1.0</v>
      </c>
      <c r="D7" s="3" t="s">
        <v>13</v>
      </c>
      <c r="E7" s="4"/>
    </row>
    <row r="8" ht="12.75" customHeight="1">
      <c r="A8" s="1" t="s">
        <v>14</v>
      </c>
      <c r="B8" s="1">
        <v>1.0</v>
      </c>
      <c r="D8" s="3" t="s">
        <v>15</v>
      </c>
      <c r="E8" s="4"/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1.0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1.0</v>
      </c>
      <c r="D10" s="3" t="s">
        <v>1</v>
      </c>
      <c r="E10" s="4">
        <v>31.0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1.0</v>
      </c>
      <c r="D11" s="3" t="s">
        <v>3</v>
      </c>
      <c r="E11" s="4">
        <v>35.0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1.0</v>
      </c>
      <c r="D12" s="3" t="s">
        <v>5</v>
      </c>
      <c r="E12" s="4">
        <v>46.0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1.0</v>
      </c>
      <c r="D13" s="3" t="s">
        <v>7</v>
      </c>
      <c r="E13" s="4">
        <v>13.0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1.0</v>
      </c>
      <c r="D14" s="3" t="s">
        <v>9</v>
      </c>
      <c r="E14" s="4">
        <v>20.0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1.0</v>
      </c>
      <c r="D15" s="3" t="s">
        <v>11</v>
      </c>
      <c r="E15" s="4">
        <v>20.0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1.0</v>
      </c>
      <c r="D16" s="3" t="s">
        <v>13</v>
      </c>
      <c r="E16" s="4">
        <v>117.0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1.0</v>
      </c>
      <c r="D17" s="3" t="s">
        <v>15</v>
      </c>
      <c r="E17" s="4">
        <v>59.0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1.0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1.0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1.0</v>
      </c>
    </row>
    <row r="21" ht="12.75" customHeight="1">
      <c r="A21" s="1" t="s">
        <v>34</v>
      </c>
      <c r="B21" s="1">
        <v>1.0</v>
      </c>
      <c r="D21" s="3" t="s">
        <v>1</v>
      </c>
      <c r="E21" s="3" t="str">
        <f>VLOOKUP(E10,D39:E64,2,1)</f>
        <v>SEM SIGNIFICÂNCIA CLINICA</v>
      </c>
    </row>
    <row r="22" ht="12.75" customHeight="1">
      <c r="A22" s="1" t="s">
        <v>35</v>
      </c>
      <c r="B22" s="1">
        <v>1.0</v>
      </c>
      <c r="D22" s="3" t="s">
        <v>3</v>
      </c>
      <c r="E22" s="3" t="str">
        <f>VLOOKUP(E11,D39:E64,2,1)</f>
        <v>SEM SIGNIFICÂNCIA CLINICA</v>
      </c>
    </row>
    <row r="23" ht="12.75" customHeight="1">
      <c r="A23" s="1" t="s">
        <v>36</v>
      </c>
      <c r="B23" s="1">
        <v>1.0</v>
      </c>
      <c r="D23" s="3" t="s">
        <v>5</v>
      </c>
      <c r="E23" s="3" t="str">
        <f>VLOOKUP(E12,D39:E64,2,1)</f>
        <v>SEM SIGNIFICÂNCIA CLINICA</v>
      </c>
    </row>
    <row r="24" ht="12.75" customHeight="1">
      <c r="A24" s="1" t="s">
        <v>37</v>
      </c>
      <c r="B24" s="1">
        <v>1.0</v>
      </c>
      <c r="D24" s="3" t="s">
        <v>7</v>
      </c>
      <c r="E24" s="3" t="str">
        <f>VLOOKUP(E13,D39:E64,2,1)</f>
        <v>SEM SIGNIFICÂNCIA CLINICA</v>
      </c>
    </row>
    <row r="25" ht="12.75" customHeight="1">
      <c r="A25" s="1" t="s">
        <v>38</v>
      </c>
      <c r="B25" s="1">
        <v>1.0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1">
        <v>1.0</v>
      </c>
      <c r="D26" s="3" t="s">
        <v>11</v>
      </c>
      <c r="E26" s="3" t="str">
        <f>VLOOKUP(E15,D39:E64,2,1)</f>
        <v>SEM SIGNIFICÂNCIA CLINICA</v>
      </c>
    </row>
    <row r="27" ht="12.75" customHeight="1">
      <c r="A27" s="1" t="s">
        <v>40</v>
      </c>
      <c r="B27" s="1">
        <v>1.0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1">
        <v>1.0</v>
      </c>
      <c r="D28" s="3" t="s">
        <v>15</v>
      </c>
      <c r="E28" s="3" t="str">
        <f>VLOOKUP(E17,D39:E64,2,1)</f>
        <v>SEM SIGNIFICÂNCIA CLINICA</v>
      </c>
    </row>
    <row r="29" ht="12.75" customHeight="1">
      <c r="A29" s="1" t="s">
        <v>42</v>
      </c>
      <c r="B29" s="1">
        <v>1.0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1">
        <v>1.0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1" t="s">
        <v>44</v>
      </c>
      <c r="B31" s="1">
        <v>1.0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1" t="s">
        <v>45</v>
      </c>
      <c r="B32" s="1">
        <v>1.0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1" t="s">
        <v>46</v>
      </c>
      <c r="B33" s="1">
        <v>1.0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1" t="s">
        <v>47</v>
      </c>
      <c r="B34" s="1">
        <v>1.0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2.75" customHeight="1">
      <c r="A35" s="1" t="s">
        <v>48</v>
      </c>
      <c r="B35" s="1">
        <v>1.0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2.75" customHeight="1">
      <c r="A36" s="1" t="s">
        <v>49</v>
      </c>
      <c r="B36" s="1">
        <v>1.0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2.75" customHeight="1">
      <c r="A37" s="1" t="s">
        <v>58</v>
      </c>
      <c r="B37" s="1">
        <v>1.0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2.75" customHeight="1">
      <c r="A38" s="1" t="s">
        <v>59</v>
      </c>
      <c r="B38" s="1">
        <v>1.0</v>
      </c>
      <c r="D38" s="5"/>
      <c r="E38" s="5"/>
      <c r="F38" s="5"/>
      <c r="G38" s="5"/>
      <c r="H38" s="5">
        <v>24.0</v>
      </c>
      <c r="I38" s="5">
        <v>26.0</v>
      </c>
      <c r="J38" s="5">
        <v>19.0</v>
      </c>
      <c r="K38" s="5">
        <v>12.0</v>
      </c>
      <c r="L38" s="5">
        <v>13.0</v>
      </c>
      <c r="M38" s="5">
        <v>13.0</v>
      </c>
      <c r="N38" s="5">
        <v>102.0</v>
      </c>
      <c r="O38" s="5">
        <v>0.0</v>
      </c>
      <c r="P38" s="5">
        <v>5.0</v>
      </c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2.75" customHeight="1">
      <c r="A39" s="1" t="s">
        <v>60</v>
      </c>
      <c r="B39" s="1">
        <v>1.0</v>
      </c>
      <c r="D39" s="5">
        <v>1.0</v>
      </c>
      <c r="E39" s="5" t="s">
        <v>61</v>
      </c>
      <c r="F39" s="5"/>
      <c r="G39" s="5"/>
      <c r="H39" s="5">
        <v>24.0</v>
      </c>
      <c r="I39" s="5">
        <v>27.0</v>
      </c>
      <c r="J39" s="5">
        <v>21.0</v>
      </c>
      <c r="K39" s="5">
        <v>12.0</v>
      </c>
      <c r="L39" s="5">
        <v>14.0</v>
      </c>
      <c r="M39" s="5">
        <v>14.0</v>
      </c>
      <c r="N39" s="5">
        <v>103.0</v>
      </c>
      <c r="O39" s="5">
        <v>0.0</v>
      </c>
      <c r="P39" s="5">
        <v>10.0</v>
      </c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2.75" customHeight="1">
      <c r="A40" s="1" t="s">
        <v>62</v>
      </c>
      <c r="B40" s="1">
        <v>1.0</v>
      </c>
      <c r="D40" s="5">
        <v>75.0</v>
      </c>
      <c r="E40" s="5" t="s">
        <v>61</v>
      </c>
      <c r="F40" s="5"/>
      <c r="G40" s="5"/>
      <c r="H40" s="5">
        <v>24.0</v>
      </c>
      <c r="I40" s="5">
        <v>29.0</v>
      </c>
      <c r="J40" s="5">
        <v>22.0</v>
      </c>
      <c r="K40" s="5">
        <v>12.0</v>
      </c>
      <c r="L40" s="5">
        <v>15.0</v>
      </c>
      <c r="M40" s="5">
        <v>14.0</v>
      </c>
      <c r="N40" s="5">
        <v>107.0</v>
      </c>
      <c r="O40" s="5">
        <v>0.0</v>
      </c>
      <c r="P40" s="5">
        <v>15.0</v>
      </c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2.75" customHeight="1">
      <c r="A41" s="1" t="s">
        <v>63</v>
      </c>
      <c r="B41" s="1">
        <v>1.0</v>
      </c>
      <c r="D41" s="5">
        <v>76.0</v>
      </c>
      <c r="E41" s="5" t="s">
        <v>64</v>
      </c>
      <c r="F41" s="5"/>
      <c r="G41" s="5"/>
      <c r="H41" s="5">
        <v>25.0</v>
      </c>
      <c r="I41" s="5">
        <v>30.0</v>
      </c>
      <c r="J41" s="5">
        <v>23.0</v>
      </c>
      <c r="K41" s="5">
        <v>13.0</v>
      </c>
      <c r="L41" s="5">
        <v>16.0</v>
      </c>
      <c r="M41" s="5">
        <v>15.0</v>
      </c>
      <c r="N41" s="5">
        <v>115.0</v>
      </c>
      <c r="O41" s="5">
        <v>0.0</v>
      </c>
      <c r="P41" s="5">
        <v>20.0</v>
      </c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1" t="s">
        <v>65</v>
      </c>
      <c r="B42" s="1">
        <v>1.0</v>
      </c>
      <c r="D42" s="5">
        <v>77.0</v>
      </c>
      <c r="E42" s="5" t="s">
        <v>64</v>
      </c>
      <c r="F42" s="5"/>
      <c r="G42" s="5"/>
      <c r="H42" s="5">
        <v>28.0</v>
      </c>
      <c r="I42" s="5">
        <v>30.0</v>
      </c>
      <c r="J42" s="5">
        <v>25.0</v>
      </c>
      <c r="K42" s="5">
        <v>13.0</v>
      </c>
      <c r="L42" s="5">
        <v>18.0</v>
      </c>
      <c r="M42" s="5">
        <v>15.0</v>
      </c>
      <c r="N42" s="5">
        <v>122.0</v>
      </c>
      <c r="O42" s="5">
        <v>0.0</v>
      </c>
      <c r="P42" s="5">
        <v>25.0</v>
      </c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1" t="s">
        <v>66</v>
      </c>
      <c r="B43" s="1">
        <v>1.0</v>
      </c>
      <c r="D43" s="5">
        <v>78.0</v>
      </c>
      <c r="E43" s="5" t="s">
        <v>64</v>
      </c>
      <c r="F43" s="5"/>
      <c r="G43" s="5"/>
      <c r="H43" s="5">
        <v>29.0</v>
      </c>
      <c r="I43" s="5">
        <v>32.0</v>
      </c>
      <c r="J43" s="5">
        <v>27.0</v>
      </c>
      <c r="K43" s="5">
        <v>15.0</v>
      </c>
      <c r="L43" s="5">
        <v>19.0</v>
      </c>
      <c r="M43" s="5">
        <v>16.0</v>
      </c>
      <c r="N43" s="5">
        <v>127.0</v>
      </c>
      <c r="O43" s="5">
        <v>0.0</v>
      </c>
      <c r="P43" s="5">
        <v>30.0</v>
      </c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2.75" customHeight="1">
      <c r="A44" s="1" t="s">
        <v>67</v>
      </c>
      <c r="B44" s="1">
        <v>1.0</v>
      </c>
      <c r="D44" s="5">
        <v>79.0</v>
      </c>
      <c r="E44" s="5" t="s">
        <v>64</v>
      </c>
      <c r="F44" s="5"/>
      <c r="G44" s="5"/>
      <c r="H44" s="5">
        <v>30.0</v>
      </c>
      <c r="I44" s="5">
        <v>33.0</v>
      </c>
      <c r="J44" s="5">
        <v>28.0</v>
      </c>
      <c r="K44" s="5">
        <v>15.0</v>
      </c>
      <c r="L44" s="5">
        <v>20.0</v>
      </c>
      <c r="M44" s="5">
        <v>16.0</v>
      </c>
      <c r="N44" s="5">
        <v>129.0</v>
      </c>
      <c r="O44" s="5">
        <v>0.0</v>
      </c>
      <c r="P44" s="5">
        <v>35.0</v>
      </c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1" t="s">
        <v>68</v>
      </c>
      <c r="B45" s="1">
        <v>1.0</v>
      </c>
      <c r="D45" s="5">
        <v>80.0</v>
      </c>
      <c r="E45" s="5" t="s">
        <v>64</v>
      </c>
      <c r="F45" s="5"/>
      <c r="G45" s="5"/>
      <c r="H45" s="5">
        <v>31.0</v>
      </c>
      <c r="I45" s="5">
        <v>34.0</v>
      </c>
      <c r="J45" s="5">
        <v>28.0</v>
      </c>
      <c r="K45" s="5">
        <v>16.0</v>
      </c>
      <c r="L45" s="5">
        <v>20.0</v>
      </c>
      <c r="M45" s="5">
        <v>17.0</v>
      </c>
      <c r="N45" s="5">
        <v>130.0</v>
      </c>
      <c r="O45" s="5">
        <v>0.0</v>
      </c>
      <c r="P45" s="5">
        <v>40.0</v>
      </c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1" t="s">
        <v>69</v>
      </c>
      <c r="B46" s="1">
        <v>1.0</v>
      </c>
      <c r="D46" s="5">
        <v>81.0</v>
      </c>
      <c r="E46" s="5" t="s">
        <v>64</v>
      </c>
      <c r="F46" s="5"/>
      <c r="G46" s="5"/>
      <c r="H46" s="5">
        <v>32.0</v>
      </c>
      <c r="I46" s="5">
        <v>36.0</v>
      </c>
      <c r="J46" s="5">
        <v>28.0</v>
      </c>
      <c r="K46" s="5">
        <v>18.0</v>
      </c>
      <c r="L46" s="5">
        <v>21.0</v>
      </c>
      <c r="M46" s="5">
        <v>18.0</v>
      </c>
      <c r="N46" s="5">
        <v>135.0</v>
      </c>
      <c r="O46" s="5">
        <v>1.0</v>
      </c>
      <c r="P46" s="5">
        <v>45.0</v>
      </c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1" t="s">
        <v>70</v>
      </c>
      <c r="B47" s="1">
        <v>1.0</v>
      </c>
      <c r="D47" s="5">
        <v>82.0</v>
      </c>
      <c r="E47" s="5" t="s">
        <v>64</v>
      </c>
      <c r="F47" s="5"/>
      <c r="G47" s="5"/>
      <c r="H47" s="5">
        <v>34.0</v>
      </c>
      <c r="I47" s="5">
        <v>42.0</v>
      </c>
      <c r="J47" s="5">
        <v>28.0</v>
      </c>
      <c r="K47" s="5">
        <v>18.0</v>
      </c>
      <c r="L47" s="5">
        <v>21.0</v>
      </c>
      <c r="M47" s="5">
        <v>18.0</v>
      </c>
      <c r="N47" s="5">
        <v>151.0</v>
      </c>
      <c r="O47" s="5">
        <v>1.0</v>
      </c>
      <c r="P47" s="5">
        <v>50.0</v>
      </c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1" t="s">
        <v>71</v>
      </c>
      <c r="B48" s="1">
        <v>1.0</v>
      </c>
      <c r="D48" s="5">
        <v>83.0</v>
      </c>
      <c r="E48" s="5" t="s">
        <v>64</v>
      </c>
      <c r="F48" s="5"/>
      <c r="G48" s="5"/>
      <c r="H48" s="5">
        <v>36.0</v>
      </c>
      <c r="I48" s="5">
        <v>43.0</v>
      </c>
      <c r="J48" s="5">
        <v>28.0</v>
      </c>
      <c r="K48" s="5">
        <v>18.0</v>
      </c>
      <c r="L48" s="5">
        <v>23.0</v>
      </c>
      <c r="M48" s="5">
        <v>19.0</v>
      </c>
      <c r="N48" s="5">
        <v>151.0</v>
      </c>
      <c r="O48" s="5">
        <v>2.0</v>
      </c>
      <c r="P48" s="5">
        <v>55.0</v>
      </c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1" t="s">
        <v>72</v>
      </c>
      <c r="B49" s="1">
        <v>1.0</v>
      </c>
      <c r="D49" s="5">
        <v>84.0</v>
      </c>
      <c r="E49" s="5" t="s">
        <v>64</v>
      </c>
      <c r="F49" s="5"/>
      <c r="G49" s="5"/>
      <c r="H49" s="5">
        <v>36.0</v>
      </c>
      <c r="I49" s="5">
        <v>43.0</v>
      </c>
      <c r="J49" s="5">
        <v>28.0</v>
      </c>
      <c r="K49" s="5">
        <v>18.0</v>
      </c>
      <c r="L49" s="5">
        <v>25.0</v>
      </c>
      <c r="M49" s="5">
        <v>19.0</v>
      </c>
      <c r="N49" s="5">
        <v>151.0</v>
      </c>
      <c r="O49" s="5">
        <v>3.0</v>
      </c>
      <c r="P49" s="5">
        <v>60.0</v>
      </c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1" t="s">
        <v>73</v>
      </c>
      <c r="B50" s="1">
        <v>1.0</v>
      </c>
      <c r="D50" s="5">
        <v>85.0</v>
      </c>
      <c r="E50" s="5" t="s">
        <v>74</v>
      </c>
      <c r="F50" s="5"/>
      <c r="G50" s="5"/>
      <c r="H50" s="5">
        <v>36.0</v>
      </c>
      <c r="I50" s="5">
        <v>43.0</v>
      </c>
      <c r="J50" s="5">
        <v>28.0</v>
      </c>
      <c r="K50" s="5">
        <v>18.0</v>
      </c>
      <c r="L50" s="5">
        <v>25.0</v>
      </c>
      <c r="M50" s="5">
        <v>19.0</v>
      </c>
      <c r="N50" s="5">
        <v>151.0</v>
      </c>
      <c r="O50" s="5">
        <v>4.0</v>
      </c>
      <c r="P50" s="5">
        <v>65.0</v>
      </c>
      <c r="Q50" s="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1" t="s">
        <v>75</v>
      </c>
      <c r="B51" s="1">
        <v>1.0</v>
      </c>
      <c r="D51" s="5">
        <v>86.0</v>
      </c>
      <c r="E51" s="5" t="s">
        <v>74</v>
      </c>
      <c r="F51" s="5"/>
      <c r="G51" s="5"/>
      <c r="H51" s="5">
        <v>36.0</v>
      </c>
      <c r="I51" s="5">
        <v>43.0</v>
      </c>
      <c r="J51" s="5">
        <v>29.0</v>
      </c>
      <c r="K51" s="5">
        <v>18.0</v>
      </c>
      <c r="L51" s="5">
        <v>26.0</v>
      </c>
      <c r="M51" s="5">
        <v>19.0</v>
      </c>
      <c r="N51" s="5">
        <v>151.0</v>
      </c>
      <c r="O51" s="5">
        <v>4.0</v>
      </c>
      <c r="P51" s="5">
        <v>70.0</v>
      </c>
      <c r="Q51" s="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1" t="s">
        <v>76</v>
      </c>
      <c r="B52" s="1">
        <v>1.0</v>
      </c>
      <c r="D52" s="5">
        <v>87.0</v>
      </c>
      <c r="E52" s="5" t="s">
        <v>74</v>
      </c>
      <c r="F52" s="5"/>
      <c r="G52" s="5"/>
      <c r="H52" s="5">
        <v>36.0</v>
      </c>
      <c r="I52" s="5">
        <v>43.0</v>
      </c>
      <c r="J52" s="5">
        <v>33.0</v>
      </c>
      <c r="K52" s="5">
        <v>18.0</v>
      </c>
      <c r="L52" s="5">
        <v>26.0</v>
      </c>
      <c r="M52" s="5">
        <v>19.0</v>
      </c>
      <c r="N52" s="5">
        <v>152.0</v>
      </c>
      <c r="O52" s="5">
        <v>7.0</v>
      </c>
      <c r="P52" s="5">
        <v>75.0</v>
      </c>
      <c r="Q52" s="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1" t="s">
        <v>77</v>
      </c>
      <c r="B53" s="1">
        <v>1.0</v>
      </c>
      <c r="D53" s="5">
        <v>88.0</v>
      </c>
      <c r="E53" s="5" t="s">
        <v>74</v>
      </c>
      <c r="F53" s="5"/>
      <c r="G53" s="5"/>
      <c r="H53" s="5">
        <v>38.0</v>
      </c>
      <c r="I53" s="5">
        <v>43.0</v>
      </c>
      <c r="J53" s="5">
        <v>35.0</v>
      </c>
      <c r="K53" s="5">
        <v>18.0</v>
      </c>
      <c r="L53" s="5">
        <v>26.0</v>
      </c>
      <c r="M53" s="5">
        <v>20.0</v>
      </c>
      <c r="N53" s="5">
        <v>154.0</v>
      </c>
      <c r="O53" s="5">
        <v>8.0</v>
      </c>
      <c r="P53" s="5">
        <v>80.0</v>
      </c>
      <c r="Q53" s="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1" t="s">
        <v>78</v>
      </c>
      <c r="B54" s="1">
        <v>1.0</v>
      </c>
      <c r="D54" s="5">
        <v>89.0</v>
      </c>
      <c r="E54" s="5" t="s">
        <v>74</v>
      </c>
      <c r="F54" s="5"/>
      <c r="G54" s="5"/>
      <c r="H54" s="5">
        <v>40.0</v>
      </c>
      <c r="I54" s="5">
        <v>48.0</v>
      </c>
      <c r="J54" s="5">
        <v>35.0</v>
      </c>
      <c r="K54" s="5">
        <v>19.0</v>
      </c>
      <c r="L54" s="5">
        <v>26.0</v>
      </c>
      <c r="M54" s="5">
        <v>21.0</v>
      </c>
      <c r="N54" s="5">
        <v>165.0</v>
      </c>
      <c r="O54" s="5">
        <v>11.0</v>
      </c>
      <c r="P54" s="5">
        <v>85.0</v>
      </c>
      <c r="Q54" s="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1" t="s">
        <v>79</v>
      </c>
      <c r="B55" s="1">
        <v>1.0</v>
      </c>
      <c r="D55" s="5">
        <v>90.0</v>
      </c>
      <c r="E55" s="5" t="s">
        <v>74</v>
      </c>
      <c r="F55" s="5"/>
      <c r="G55" s="5"/>
      <c r="H55" s="5">
        <v>46.0</v>
      </c>
      <c r="I55" s="5">
        <v>53.0</v>
      </c>
      <c r="J55" s="5">
        <v>43.0</v>
      </c>
      <c r="K55" s="5">
        <v>21.0</v>
      </c>
      <c r="L55" s="5">
        <v>26.0</v>
      </c>
      <c r="M55" s="5">
        <v>21.0</v>
      </c>
      <c r="N55" s="5">
        <v>177.0</v>
      </c>
      <c r="O55" s="5">
        <v>23.0</v>
      </c>
      <c r="P55" s="5">
        <v>90.0</v>
      </c>
      <c r="Q55" s="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1" t="s">
        <v>80</v>
      </c>
      <c r="B56" s="1">
        <v>1.0</v>
      </c>
      <c r="D56" s="5">
        <v>91.0</v>
      </c>
      <c r="E56" s="5" t="s">
        <v>74</v>
      </c>
      <c r="F56" s="5"/>
      <c r="G56" s="5"/>
      <c r="H56" s="5">
        <v>47.0</v>
      </c>
      <c r="I56" s="5">
        <v>54.0</v>
      </c>
      <c r="J56" s="5">
        <v>44.0</v>
      </c>
      <c r="K56" s="5">
        <v>22.0</v>
      </c>
      <c r="L56" s="5">
        <v>27.0</v>
      </c>
      <c r="M56" s="5">
        <v>22.0</v>
      </c>
      <c r="N56" s="5">
        <v>178.0</v>
      </c>
      <c r="O56" s="5">
        <v>30.0</v>
      </c>
      <c r="P56" s="5">
        <v>95.0</v>
      </c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1" t="s">
        <v>81</v>
      </c>
      <c r="B57" s="1">
        <v>1.0</v>
      </c>
      <c r="D57" s="5">
        <v>92.0</v>
      </c>
      <c r="E57" s="5" t="s">
        <v>74</v>
      </c>
      <c r="F57" s="5"/>
      <c r="G57" s="5"/>
      <c r="H57" s="5">
        <v>48.0</v>
      </c>
      <c r="I57" s="5">
        <v>55.0</v>
      </c>
      <c r="J57" s="5">
        <v>45.0</v>
      </c>
      <c r="K57" s="5">
        <v>23.0</v>
      </c>
      <c r="L57" s="5">
        <v>28.0</v>
      </c>
      <c r="M57" s="5">
        <v>23.0</v>
      </c>
      <c r="N57" s="5">
        <v>179.0</v>
      </c>
      <c r="O57" s="5">
        <v>31.0</v>
      </c>
      <c r="P57" s="5">
        <v>99.0</v>
      </c>
      <c r="Q57" s="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2.75" customHeight="1">
      <c r="A58" s="1" t="s">
        <v>82</v>
      </c>
      <c r="B58" s="1">
        <v>1.0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1" t="s">
        <v>85</v>
      </c>
      <c r="B60" s="1">
        <v>1.0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1" t="s">
        <v>86</v>
      </c>
      <c r="B61" s="1">
        <v>1.0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1" t="s">
        <v>88</v>
      </c>
      <c r="B62" s="1">
        <v>1.0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1" t="s">
        <v>89</v>
      </c>
      <c r="B63" s="1">
        <v>1.0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 t="s">
        <v>90</v>
      </c>
      <c r="B64" s="1">
        <v>1.0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 t="s">
        <v>92</v>
      </c>
      <c r="B65" s="1">
        <v>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 t="s">
        <v>93</v>
      </c>
      <c r="B66" s="1">
        <v>1.0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 t="s">
        <v>96</v>
      </c>
      <c r="B69" s="1">
        <v>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 t="s">
        <v>97</v>
      </c>
      <c r="B70" s="1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 t="s">
        <v>98</v>
      </c>
      <c r="B71" s="1">
        <v>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75" customHeight="1">
      <c r="A72" s="1" t="s">
        <v>99</v>
      </c>
      <c r="B72" s="1">
        <v>1.0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 t="s">
        <v>100</v>
      </c>
      <c r="B73" s="1">
        <v>1.0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 t="s">
        <v>101</v>
      </c>
      <c r="B74" s="1">
        <v>1.0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 t="s">
        <v>102</v>
      </c>
      <c r="B75" s="1">
        <v>1.0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 t="s">
        <v>103</v>
      </c>
      <c r="B76" s="1">
        <v>1.0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 t="s">
        <v>104</v>
      </c>
      <c r="B77" s="1">
        <v>1.0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 t="s">
        <v>105</v>
      </c>
      <c r="B78" s="1">
        <v>1.0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 t="s">
        <v>106</v>
      </c>
      <c r="B79" s="1">
        <v>1.0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 t="s">
        <v>107</v>
      </c>
      <c r="B80" s="1">
        <v>1.0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 t="s">
        <v>108</v>
      </c>
      <c r="B81" s="1">
        <v>1.0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 t="s">
        <v>109</v>
      </c>
      <c r="B82" s="1">
        <v>1.0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 t="s">
        <v>110</v>
      </c>
      <c r="B83" s="1">
        <v>1.0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 t="s">
        <v>111</v>
      </c>
      <c r="B84" s="1">
        <v>1.0</v>
      </c>
    </row>
    <row r="85" ht="12.75" customHeight="1">
      <c r="A85" s="1" t="s">
        <v>112</v>
      </c>
      <c r="B85" s="1">
        <v>1.0</v>
      </c>
    </row>
    <row r="86" ht="12.75" customHeight="1">
      <c r="A86" s="1" t="s">
        <v>113</v>
      </c>
      <c r="B86" s="1">
        <v>1.0</v>
      </c>
    </row>
    <row r="87" ht="12.75" customHeight="1">
      <c r="A87" s="1" t="s">
        <v>114</v>
      </c>
      <c r="B87" s="1">
        <v>1.0</v>
      </c>
    </row>
    <row r="88" ht="12.75" customHeight="1">
      <c r="A88" s="1" t="s">
        <v>115</v>
      </c>
      <c r="B88" s="1">
        <v>1.0</v>
      </c>
    </row>
    <row r="89" ht="12.75" customHeight="1">
      <c r="A89" s="1" t="s">
        <v>116</v>
      </c>
      <c r="B89" s="1">
        <v>1.0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99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85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95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85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LIMITROFE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SEVERA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LEVE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LIMITROFE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DEFICIÊNCIA LEVE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LIMITROFE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1">
        <v>4.0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2.75" customHeight="1">
      <c r="A31" s="1" t="s">
        <v>44</v>
      </c>
      <c r="B31" s="1">
        <v>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2.75" customHeight="1">
      <c r="A32" s="1" t="s">
        <v>45</v>
      </c>
      <c r="B32" s="1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2.75" customHeight="1">
      <c r="A33" s="1" t="s">
        <v>46</v>
      </c>
      <c r="B33" s="1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1"/>
      <c r="T33" s="1"/>
      <c r="U33" s="1"/>
    </row>
    <row r="34" ht="12.75" customHeight="1">
      <c r="A34" s="1" t="s">
        <v>47</v>
      </c>
      <c r="B34" s="1">
        <v>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1"/>
      <c r="T34" s="1"/>
      <c r="U34" s="1"/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1"/>
      <c r="T35" s="1"/>
      <c r="U35" s="1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  <c r="S36" s="1"/>
      <c r="T36" s="1"/>
      <c r="U36" s="1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  <c r="S37" s="1"/>
      <c r="T37" s="1"/>
      <c r="U37" s="1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24.0</v>
      </c>
      <c r="I38" s="5">
        <v>24.0</v>
      </c>
      <c r="J38" s="5">
        <v>22.0</v>
      </c>
      <c r="K38" s="5">
        <v>12.0</v>
      </c>
      <c r="L38" s="5">
        <v>14.0</v>
      </c>
      <c r="M38" s="5">
        <v>12.0</v>
      </c>
      <c r="N38" s="5">
        <v>104.0</v>
      </c>
      <c r="O38" s="5">
        <v>0.0</v>
      </c>
      <c r="P38" s="5">
        <v>5.0</v>
      </c>
      <c r="Q38" s="5"/>
      <c r="R38" s="5"/>
      <c r="S38" s="1"/>
      <c r="T38" s="1"/>
      <c r="U38" s="1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25.0</v>
      </c>
      <c r="I39" s="5">
        <v>29.0</v>
      </c>
      <c r="J39" s="5">
        <v>25.0</v>
      </c>
      <c r="K39" s="5">
        <v>13.0</v>
      </c>
      <c r="L39" s="5">
        <v>14.0</v>
      </c>
      <c r="M39" s="5">
        <v>13.0</v>
      </c>
      <c r="N39" s="5">
        <v>114.0</v>
      </c>
      <c r="O39" s="5">
        <v>0.0</v>
      </c>
      <c r="P39" s="5">
        <v>10.0</v>
      </c>
      <c r="Q39" s="5"/>
      <c r="R39" s="5"/>
      <c r="S39" s="1"/>
      <c r="T39" s="1"/>
      <c r="U39" s="1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27.0</v>
      </c>
      <c r="I40" s="5">
        <v>30.0</v>
      </c>
      <c r="J40" s="5">
        <v>25.0</v>
      </c>
      <c r="K40" s="5">
        <v>13.0</v>
      </c>
      <c r="L40" s="5">
        <v>15.0</v>
      </c>
      <c r="M40" s="5">
        <v>14.0</v>
      </c>
      <c r="N40" s="5">
        <v>121.0</v>
      </c>
      <c r="O40" s="5">
        <v>0.0</v>
      </c>
      <c r="P40" s="5">
        <v>15.0</v>
      </c>
      <c r="Q40" s="5"/>
      <c r="R40" s="5"/>
      <c r="S40" s="1"/>
      <c r="T40" s="1"/>
      <c r="U40" s="1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30.0</v>
      </c>
      <c r="I41" s="5">
        <v>31.0</v>
      </c>
      <c r="J41" s="5">
        <v>27.0</v>
      </c>
      <c r="K41" s="5">
        <v>13.0</v>
      </c>
      <c r="L41" s="5">
        <v>17.0</v>
      </c>
      <c r="M41" s="5">
        <v>15.0</v>
      </c>
      <c r="N41" s="5">
        <v>123.0</v>
      </c>
      <c r="O41" s="5">
        <v>0.0</v>
      </c>
      <c r="P41" s="5">
        <v>20.0</v>
      </c>
      <c r="Q41" s="5"/>
      <c r="R41" s="5"/>
      <c r="S41" s="1"/>
      <c r="T41" s="1"/>
      <c r="U41" s="1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30.0</v>
      </c>
      <c r="I42" s="5">
        <v>35.0</v>
      </c>
      <c r="J42" s="5">
        <v>28.0</v>
      </c>
      <c r="K42" s="5">
        <v>13.0</v>
      </c>
      <c r="L42" s="5">
        <v>17.0</v>
      </c>
      <c r="M42" s="5">
        <v>16.0</v>
      </c>
      <c r="N42" s="5">
        <v>129.0</v>
      </c>
      <c r="O42" s="5">
        <v>0.0</v>
      </c>
      <c r="P42" s="5">
        <v>25.0</v>
      </c>
      <c r="Q42" s="5"/>
      <c r="R42" s="5"/>
      <c r="S42" s="1"/>
      <c r="T42" s="1"/>
      <c r="U42" s="1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31.0</v>
      </c>
      <c r="I43" s="5">
        <v>35.0</v>
      </c>
      <c r="J43" s="5">
        <v>28.0</v>
      </c>
      <c r="K43" s="5">
        <v>14.0</v>
      </c>
      <c r="L43" s="5">
        <v>18.0</v>
      </c>
      <c r="M43" s="5">
        <v>16.0</v>
      </c>
      <c r="N43" s="5">
        <v>131.0</v>
      </c>
      <c r="O43" s="5">
        <v>1.0</v>
      </c>
      <c r="P43" s="5">
        <v>30.0</v>
      </c>
      <c r="Q43" s="5"/>
      <c r="R43" s="5"/>
      <c r="S43" s="1"/>
      <c r="T43" s="1"/>
      <c r="U43" s="1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31.0</v>
      </c>
      <c r="I44" s="5">
        <v>37.0</v>
      </c>
      <c r="J44" s="5">
        <v>29.0</v>
      </c>
      <c r="K44" s="5">
        <v>15.0</v>
      </c>
      <c r="L44" s="5">
        <v>18.0</v>
      </c>
      <c r="M44" s="5">
        <v>17.0</v>
      </c>
      <c r="N44" s="5">
        <v>134.0</v>
      </c>
      <c r="O44" s="5">
        <v>1.0</v>
      </c>
      <c r="P44" s="5">
        <v>35.0</v>
      </c>
      <c r="Q44" s="5"/>
      <c r="R44" s="5"/>
      <c r="S44" s="1"/>
      <c r="T44" s="1"/>
      <c r="U44" s="1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32.0</v>
      </c>
      <c r="I45" s="5">
        <v>39.0</v>
      </c>
      <c r="J45" s="5">
        <v>29.0</v>
      </c>
      <c r="K45" s="5">
        <v>16.0</v>
      </c>
      <c r="L45" s="5">
        <v>18.0</v>
      </c>
      <c r="M45" s="5">
        <v>17.0</v>
      </c>
      <c r="N45" s="5">
        <v>139.0</v>
      </c>
      <c r="O45" s="5">
        <v>2.0</v>
      </c>
      <c r="P45" s="5">
        <v>40.0</v>
      </c>
      <c r="Q45" s="5"/>
      <c r="R45" s="5"/>
      <c r="S45" s="1"/>
      <c r="T45" s="1"/>
      <c r="U45" s="1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34.0</v>
      </c>
      <c r="I46" s="5">
        <v>40.0</v>
      </c>
      <c r="J46" s="5">
        <v>30.0</v>
      </c>
      <c r="K46" s="5">
        <v>16.0</v>
      </c>
      <c r="L46" s="5">
        <v>20.0</v>
      </c>
      <c r="M46" s="5">
        <v>17.0</v>
      </c>
      <c r="N46" s="5">
        <v>142.0</v>
      </c>
      <c r="O46" s="5">
        <v>3.0</v>
      </c>
      <c r="P46" s="5">
        <v>45.0</v>
      </c>
      <c r="Q46" s="5"/>
      <c r="R46" s="5"/>
      <c r="S46" s="1"/>
      <c r="T46" s="1"/>
      <c r="U46" s="1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36.0</v>
      </c>
      <c r="I47" s="5">
        <v>42.0</v>
      </c>
      <c r="J47" s="5">
        <v>32.0</v>
      </c>
      <c r="K47" s="5">
        <v>19.0</v>
      </c>
      <c r="L47" s="5">
        <v>22.0</v>
      </c>
      <c r="M47" s="5">
        <v>18.0</v>
      </c>
      <c r="N47" s="5">
        <v>145.0</v>
      </c>
      <c r="O47" s="5">
        <v>5.0</v>
      </c>
      <c r="P47" s="5">
        <v>50.0</v>
      </c>
      <c r="Q47" s="5"/>
      <c r="R47" s="5"/>
      <c r="S47" s="1"/>
      <c r="T47" s="1"/>
      <c r="U47" s="1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37.0</v>
      </c>
      <c r="I48" s="5">
        <v>44.0</v>
      </c>
      <c r="J48" s="5">
        <v>32.0</v>
      </c>
      <c r="K48" s="5">
        <v>21.0</v>
      </c>
      <c r="L48" s="5">
        <v>24.0</v>
      </c>
      <c r="M48" s="5">
        <v>19.0</v>
      </c>
      <c r="N48" s="5">
        <v>146.0</v>
      </c>
      <c r="O48" s="5">
        <v>6.0</v>
      </c>
      <c r="P48" s="5">
        <v>55.0</v>
      </c>
      <c r="Q48" s="5"/>
      <c r="R48" s="5"/>
      <c r="S48" s="1"/>
      <c r="T48" s="1"/>
      <c r="U48" s="1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39.0</v>
      </c>
      <c r="I49" s="5">
        <v>46.0</v>
      </c>
      <c r="J49" s="5">
        <v>32.0</v>
      </c>
      <c r="K49" s="5">
        <v>22.0</v>
      </c>
      <c r="L49" s="5">
        <v>25.0</v>
      </c>
      <c r="M49" s="5">
        <v>19.0</v>
      </c>
      <c r="N49" s="5">
        <v>157.0</v>
      </c>
      <c r="O49" s="5">
        <v>7.0</v>
      </c>
      <c r="P49" s="5">
        <v>60.0</v>
      </c>
      <c r="Q49" s="5"/>
      <c r="R49" s="5"/>
      <c r="S49" s="1"/>
      <c r="T49" s="1"/>
      <c r="U49" s="1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40.0</v>
      </c>
      <c r="I50" s="5">
        <v>50.0</v>
      </c>
      <c r="J50" s="5">
        <v>33.0</v>
      </c>
      <c r="K50" s="5">
        <v>24.0</v>
      </c>
      <c r="L50" s="5">
        <v>25.0</v>
      </c>
      <c r="M50" s="5">
        <v>21.0</v>
      </c>
      <c r="N50" s="5">
        <v>171.0</v>
      </c>
      <c r="O50" s="5">
        <v>8.0</v>
      </c>
      <c r="P50" s="5">
        <v>65.0</v>
      </c>
      <c r="Q50" s="5"/>
      <c r="R50" s="5"/>
      <c r="S50" s="1"/>
      <c r="T50" s="1"/>
      <c r="U50" s="1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47.0</v>
      </c>
      <c r="I51" s="5">
        <v>51.0</v>
      </c>
      <c r="J51" s="5">
        <v>34.0</v>
      </c>
      <c r="K51" s="5">
        <v>25.0</v>
      </c>
      <c r="L51" s="5">
        <v>26.0</v>
      </c>
      <c r="M51" s="5">
        <v>24.0</v>
      </c>
      <c r="N51" s="5">
        <v>183.0</v>
      </c>
      <c r="O51" s="5">
        <v>11.0</v>
      </c>
      <c r="P51" s="5">
        <v>70.0</v>
      </c>
      <c r="Q51" s="5"/>
      <c r="R51" s="5"/>
      <c r="S51" s="1"/>
      <c r="T51" s="1"/>
      <c r="U51" s="1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51.0</v>
      </c>
      <c r="I52" s="5">
        <v>52.0</v>
      </c>
      <c r="J52" s="5">
        <v>35.0</v>
      </c>
      <c r="K52" s="5">
        <v>27.0</v>
      </c>
      <c r="L52" s="5">
        <v>28.0</v>
      </c>
      <c r="M52" s="5">
        <v>25.0</v>
      </c>
      <c r="N52" s="5">
        <v>187.0</v>
      </c>
      <c r="O52" s="5">
        <v>16.0</v>
      </c>
      <c r="P52" s="5">
        <v>75.0</v>
      </c>
      <c r="Q52" s="5"/>
      <c r="R52" s="5"/>
      <c r="S52" s="1"/>
      <c r="T52" s="1"/>
      <c r="U52" s="1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52.0</v>
      </c>
      <c r="I53" s="5">
        <v>58.0</v>
      </c>
      <c r="J53" s="5">
        <v>37.0</v>
      </c>
      <c r="K53" s="5">
        <v>27.0</v>
      </c>
      <c r="L53" s="5">
        <v>28.0</v>
      </c>
      <c r="M53" s="5">
        <v>27.0</v>
      </c>
      <c r="N53" s="5">
        <v>210.0</v>
      </c>
      <c r="O53" s="5">
        <v>19.0</v>
      </c>
      <c r="P53" s="5">
        <v>80.0</v>
      </c>
      <c r="Q53" s="5"/>
      <c r="R53" s="5"/>
      <c r="S53" s="1"/>
      <c r="T53" s="1"/>
      <c r="U53" s="1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58.0</v>
      </c>
      <c r="I54" s="5">
        <v>61.0</v>
      </c>
      <c r="J54" s="5">
        <v>47.0</v>
      </c>
      <c r="K54" s="5">
        <v>30.0</v>
      </c>
      <c r="L54" s="5">
        <v>30.0</v>
      </c>
      <c r="M54" s="5">
        <v>29.0</v>
      </c>
      <c r="N54" s="5">
        <v>221.0</v>
      </c>
      <c r="O54" s="5">
        <v>25.0</v>
      </c>
      <c r="P54" s="5">
        <v>85.0</v>
      </c>
      <c r="Q54" s="5"/>
      <c r="R54" s="5"/>
      <c r="S54" s="1"/>
      <c r="T54" s="1"/>
      <c r="U54" s="1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65.0</v>
      </c>
      <c r="I55" s="5">
        <v>66.0</v>
      </c>
      <c r="J55" s="5">
        <v>50.0</v>
      </c>
      <c r="K55" s="5">
        <v>33.0</v>
      </c>
      <c r="L55" s="5">
        <v>32.0</v>
      </c>
      <c r="M55" s="5">
        <v>33.0</v>
      </c>
      <c r="N55" s="5">
        <v>245.0</v>
      </c>
      <c r="O55" s="5">
        <v>32.0</v>
      </c>
      <c r="P55" s="5">
        <v>90.0</v>
      </c>
      <c r="Q55" s="5"/>
      <c r="R55" s="5"/>
      <c r="S55" s="1"/>
      <c r="T55" s="1"/>
      <c r="U55" s="1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69.0</v>
      </c>
      <c r="I56" s="5">
        <v>72.0</v>
      </c>
      <c r="J56" s="5">
        <v>54.0</v>
      </c>
      <c r="K56" s="5">
        <v>37.0</v>
      </c>
      <c r="L56" s="5">
        <v>40.0</v>
      </c>
      <c r="M56" s="5">
        <v>33.0</v>
      </c>
      <c r="N56" s="5">
        <v>250.0</v>
      </c>
      <c r="O56" s="5">
        <v>44.0</v>
      </c>
      <c r="P56" s="5">
        <v>95.0</v>
      </c>
      <c r="Q56" s="5"/>
      <c r="R56" s="5"/>
      <c r="S56" s="1"/>
      <c r="T56" s="1"/>
      <c r="U56" s="1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70.0</v>
      </c>
      <c r="I57" s="5">
        <v>73.0</v>
      </c>
      <c r="J57" s="5">
        <v>55.0</v>
      </c>
      <c r="K57" s="5">
        <v>38.0</v>
      </c>
      <c r="L57" s="5">
        <v>41.0</v>
      </c>
      <c r="M57" s="5">
        <v>34.0</v>
      </c>
      <c r="N57" s="5">
        <v>251.0</v>
      </c>
      <c r="O57" s="5">
        <v>58.0</v>
      </c>
      <c r="P57" s="5">
        <v>99.0</v>
      </c>
      <c r="Q57" s="5"/>
      <c r="R57" s="5"/>
      <c r="S57" s="1"/>
      <c r="T57" s="1"/>
      <c r="U57" s="1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"/>
      <c r="T58" s="1"/>
      <c r="U58" s="1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1"/>
      <c r="T59" s="1"/>
      <c r="U59" s="1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"/>
      <c r="T60" s="1"/>
      <c r="U60" s="1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"/>
      <c r="T61" s="1"/>
      <c r="U61" s="1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1"/>
      <c r="T62" s="1"/>
      <c r="U62" s="1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1"/>
      <c r="T63" s="1"/>
      <c r="U63" s="1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"/>
      <c r="T64" s="1"/>
      <c r="U64" s="1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1"/>
      <c r="T65" s="1"/>
      <c r="U65" s="1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1"/>
      <c r="T66" s="1"/>
      <c r="U66" s="1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1"/>
      <c r="T67" s="1"/>
      <c r="U67" s="1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1"/>
      <c r="T68" s="1"/>
      <c r="U68" s="1"/>
    </row>
    <row r="69" ht="12.75" customHeight="1">
      <c r="A69" s="1" t="s">
        <v>96</v>
      </c>
      <c r="B69" s="1">
        <v>3.0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2.75" customHeight="1">
      <c r="A70" s="1" t="s">
        <v>97</v>
      </c>
      <c r="B70" s="1">
        <v>3.0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2.75" customHeight="1">
      <c r="A71" s="1" t="s">
        <v>98</v>
      </c>
      <c r="B71" s="1">
        <v>3.0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2.75" customHeight="1">
      <c r="A72" s="1" t="s">
        <v>99</v>
      </c>
      <c r="B72" s="1">
        <v>2.0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2.75" customHeight="1">
      <c r="A73" s="1" t="s">
        <v>100</v>
      </c>
      <c r="B73" s="1">
        <v>3.0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2.75" customHeight="1">
      <c r="A74" s="1" t="s">
        <v>101</v>
      </c>
      <c r="B74" s="1">
        <v>3.0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2.75" customHeight="1">
      <c r="A75" s="1" t="s">
        <v>102</v>
      </c>
      <c r="B75" s="1">
        <v>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2.75" customHeight="1">
      <c r="A76" s="1" t="s">
        <v>103</v>
      </c>
      <c r="B76" s="1">
        <v>3.0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2.75" customHeight="1">
      <c r="A77" s="1" t="s">
        <v>104</v>
      </c>
      <c r="B77" s="1">
        <v>4.0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2.75" customHeight="1">
      <c r="A78" s="1" t="s">
        <v>105</v>
      </c>
      <c r="B78" s="1">
        <v>4.0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2.75" customHeight="1">
      <c r="A79" s="1" t="s">
        <v>106</v>
      </c>
      <c r="B79" s="1">
        <v>2.0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2.75" customHeight="1">
      <c r="A80" s="1" t="s">
        <v>107</v>
      </c>
      <c r="B80" s="1">
        <v>3.0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2.75" customHeight="1">
      <c r="A81" s="1" t="s">
        <v>108</v>
      </c>
      <c r="B81" s="1">
        <v>3.0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99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80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70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99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DEFICIÊNCIA SEVERA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LEVE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SEVERA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SIGNIFICÂNCIA CLINICA MINIMA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DEFICIÊNCIA SEVERA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1">
        <v>4.0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1">
        <v>2.0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 t="s">
        <v>45</v>
      </c>
      <c r="B32" s="1">
        <v>3.0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2.75" customHeight="1">
      <c r="A33" s="1" t="s">
        <v>46</v>
      </c>
      <c r="B33" s="1">
        <v>3.0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" t="s">
        <v>47</v>
      </c>
      <c r="B34" s="1">
        <v>3.0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" t="s">
        <v>48</v>
      </c>
      <c r="B35" s="1">
        <v>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" t="s">
        <v>49</v>
      </c>
      <c r="B36" s="1">
        <v>3.0</v>
      </c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" t="s">
        <v>58</v>
      </c>
      <c r="B37" s="1">
        <v>3.0</v>
      </c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22.0</v>
      </c>
      <c r="I38" s="5">
        <v>25.0</v>
      </c>
      <c r="J38" s="5">
        <v>23.0</v>
      </c>
      <c r="K38" s="5">
        <v>12.0</v>
      </c>
      <c r="L38" s="5">
        <v>17.0</v>
      </c>
      <c r="M38" s="5">
        <v>12.0</v>
      </c>
      <c r="N38" s="5">
        <v>111.0</v>
      </c>
      <c r="O38" s="5">
        <v>0.0</v>
      </c>
      <c r="P38" s="5">
        <v>5.0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23.0</v>
      </c>
      <c r="I39" s="5">
        <v>27.0</v>
      </c>
      <c r="J39" s="5">
        <v>23.0</v>
      </c>
      <c r="K39" s="5">
        <v>12.0</v>
      </c>
      <c r="L39" s="5">
        <v>17.0</v>
      </c>
      <c r="M39" s="5">
        <v>13.0</v>
      </c>
      <c r="N39" s="5">
        <v>111.0</v>
      </c>
      <c r="O39" s="5">
        <v>0.0</v>
      </c>
      <c r="P39" s="5">
        <v>10.0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24.0</v>
      </c>
      <c r="I40" s="5">
        <v>29.0</v>
      </c>
      <c r="J40" s="5">
        <v>24.0</v>
      </c>
      <c r="K40" s="5">
        <v>12.0</v>
      </c>
      <c r="L40" s="5">
        <v>17.0</v>
      </c>
      <c r="M40" s="5">
        <v>15.0</v>
      </c>
      <c r="N40" s="5">
        <v>113.0</v>
      </c>
      <c r="O40" s="5">
        <v>0.0</v>
      </c>
      <c r="P40" s="5">
        <v>15.0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25.0</v>
      </c>
      <c r="I41" s="5">
        <v>30.0</v>
      </c>
      <c r="J41" s="5">
        <v>26.0</v>
      </c>
      <c r="K41" s="5">
        <v>12.0</v>
      </c>
      <c r="L41" s="5">
        <v>18.0</v>
      </c>
      <c r="M41" s="5">
        <v>16.0</v>
      </c>
      <c r="N41" s="5">
        <v>117.0</v>
      </c>
      <c r="O41" s="5">
        <v>0.0</v>
      </c>
      <c r="P41" s="5">
        <v>20.0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27.0</v>
      </c>
      <c r="I42" s="5">
        <v>32.0</v>
      </c>
      <c r="J42" s="5">
        <v>27.0</v>
      </c>
      <c r="K42" s="5">
        <v>14.0</v>
      </c>
      <c r="L42" s="5">
        <v>18.0</v>
      </c>
      <c r="M42" s="5">
        <v>16.0</v>
      </c>
      <c r="N42" s="5">
        <v>120.0</v>
      </c>
      <c r="O42" s="5">
        <v>1.0</v>
      </c>
      <c r="P42" s="5">
        <v>25.0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29.0</v>
      </c>
      <c r="I43" s="5">
        <v>33.0</v>
      </c>
      <c r="J43" s="5">
        <v>29.0</v>
      </c>
      <c r="K43" s="5">
        <v>14.0</v>
      </c>
      <c r="L43" s="5">
        <v>20.0</v>
      </c>
      <c r="M43" s="5">
        <v>17.0</v>
      </c>
      <c r="N43" s="5">
        <v>130.0</v>
      </c>
      <c r="O43" s="5">
        <v>1.0</v>
      </c>
      <c r="P43" s="5">
        <v>30.0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30.0</v>
      </c>
      <c r="I44" s="5">
        <v>33.0</v>
      </c>
      <c r="J44" s="5">
        <v>32.0</v>
      </c>
      <c r="K44" s="5">
        <v>14.0</v>
      </c>
      <c r="L44" s="5">
        <v>21.0</v>
      </c>
      <c r="M44" s="5">
        <v>17.0</v>
      </c>
      <c r="N44" s="5">
        <v>140.0</v>
      </c>
      <c r="O44" s="5">
        <v>2.0</v>
      </c>
      <c r="P44" s="5">
        <v>35.0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30.0</v>
      </c>
      <c r="I45" s="5">
        <v>35.0</v>
      </c>
      <c r="J45" s="5">
        <v>35.0</v>
      </c>
      <c r="K45" s="5">
        <v>15.0</v>
      </c>
      <c r="L45" s="5">
        <v>23.0</v>
      </c>
      <c r="M45" s="5">
        <v>17.0</v>
      </c>
      <c r="N45" s="5">
        <v>145.0</v>
      </c>
      <c r="O45" s="5">
        <v>3.0</v>
      </c>
      <c r="P45" s="5">
        <v>40.0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31.0</v>
      </c>
      <c r="I46" s="5">
        <v>37.0</v>
      </c>
      <c r="J46" s="5">
        <v>36.0</v>
      </c>
      <c r="K46" s="5">
        <v>16.0</v>
      </c>
      <c r="L46" s="5">
        <v>26.0</v>
      </c>
      <c r="M46" s="5">
        <v>18.0</v>
      </c>
      <c r="N46" s="5">
        <v>149.0</v>
      </c>
      <c r="O46" s="5">
        <v>3.0</v>
      </c>
      <c r="P46" s="5">
        <v>45.0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33.0</v>
      </c>
      <c r="I47" s="5">
        <v>38.0</v>
      </c>
      <c r="J47" s="5">
        <v>37.0</v>
      </c>
      <c r="K47" s="5">
        <v>17.0</v>
      </c>
      <c r="L47" s="5">
        <v>26.0</v>
      </c>
      <c r="M47" s="5">
        <v>19.0</v>
      </c>
      <c r="N47" s="5">
        <v>159.0</v>
      </c>
      <c r="O47" s="5">
        <v>5.0</v>
      </c>
      <c r="P47" s="5">
        <v>50.0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38.0</v>
      </c>
      <c r="I48" s="5">
        <v>44.0</v>
      </c>
      <c r="J48" s="5">
        <v>39.0</v>
      </c>
      <c r="K48" s="5">
        <v>18.0</v>
      </c>
      <c r="L48" s="5">
        <v>26.0</v>
      </c>
      <c r="M48" s="5">
        <v>19.0</v>
      </c>
      <c r="N48" s="5">
        <v>165.0</v>
      </c>
      <c r="O48" s="5">
        <v>7.0</v>
      </c>
      <c r="P48" s="5">
        <v>55.0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41.0</v>
      </c>
      <c r="I49" s="5">
        <v>48.0</v>
      </c>
      <c r="J49" s="5">
        <v>40.0</v>
      </c>
      <c r="K49" s="5">
        <v>19.0</v>
      </c>
      <c r="L49" s="5">
        <v>31.0</v>
      </c>
      <c r="M49" s="5">
        <v>20.0</v>
      </c>
      <c r="N49" s="5">
        <v>184.0</v>
      </c>
      <c r="O49" s="5">
        <v>9.0</v>
      </c>
      <c r="P49" s="5">
        <v>60.0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42.0</v>
      </c>
      <c r="I50" s="5">
        <v>49.0</v>
      </c>
      <c r="J50" s="5">
        <v>40.0</v>
      </c>
      <c r="K50" s="5">
        <v>20.0</v>
      </c>
      <c r="L50" s="5">
        <v>35.0</v>
      </c>
      <c r="M50" s="5">
        <v>21.0</v>
      </c>
      <c r="N50" s="5">
        <v>198.0</v>
      </c>
      <c r="O50" s="5">
        <v>12.0</v>
      </c>
      <c r="P50" s="5">
        <v>65.0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43.0</v>
      </c>
      <c r="I51" s="5">
        <v>51.0</v>
      </c>
      <c r="J51" s="5">
        <v>41.0</v>
      </c>
      <c r="K51" s="5">
        <v>22.0</v>
      </c>
      <c r="L51" s="5">
        <v>37.0</v>
      </c>
      <c r="M51" s="5">
        <v>23.0</v>
      </c>
      <c r="N51" s="5">
        <v>200.0</v>
      </c>
      <c r="O51" s="5">
        <v>16.0</v>
      </c>
      <c r="P51" s="5">
        <v>70.0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48.0</v>
      </c>
      <c r="I52" s="5">
        <v>55.0</v>
      </c>
      <c r="J52" s="5">
        <v>43.0</v>
      </c>
      <c r="K52" s="5">
        <v>24.0</v>
      </c>
      <c r="L52" s="5">
        <v>41.0</v>
      </c>
      <c r="M52" s="5">
        <v>25.0</v>
      </c>
      <c r="N52" s="5">
        <v>201.0</v>
      </c>
      <c r="O52" s="5">
        <v>20.0</v>
      </c>
      <c r="P52" s="5">
        <v>75.0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48.0</v>
      </c>
      <c r="I53" s="5">
        <v>61.0</v>
      </c>
      <c r="J53" s="5">
        <v>45.0</v>
      </c>
      <c r="K53" s="5">
        <v>29.0</v>
      </c>
      <c r="L53" s="5">
        <v>42.0</v>
      </c>
      <c r="M53" s="5">
        <v>25.0</v>
      </c>
      <c r="N53" s="5">
        <v>205.0</v>
      </c>
      <c r="O53" s="5">
        <v>25.0</v>
      </c>
      <c r="P53" s="5">
        <v>80.0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48.0</v>
      </c>
      <c r="I54" s="5">
        <v>67.0</v>
      </c>
      <c r="J54" s="5">
        <v>47.0</v>
      </c>
      <c r="K54" s="5">
        <v>31.0</v>
      </c>
      <c r="L54" s="5">
        <v>43.0</v>
      </c>
      <c r="M54" s="5">
        <v>27.0</v>
      </c>
      <c r="N54" s="5">
        <v>227.0</v>
      </c>
      <c r="O54" s="5">
        <v>33.0</v>
      </c>
      <c r="P54" s="5">
        <v>85.0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55.0</v>
      </c>
      <c r="I55" s="5">
        <v>77.0</v>
      </c>
      <c r="J55" s="5">
        <v>50.0</v>
      </c>
      <c r="K55" s="5">
        <v>34.0</v>
      </c>
      <c r="L55" s="5">
        <v>44.0</v>
      </c>
      <c r="M55" s="5">
        <v>29.0</v>
      </c>
      <c r="N55" s="5">
        <v>244.0</v>
      </c>
      <c r="O55" s="5">
        <v>38.0</v>
      </c>
      <c r="P55" s="5">
        <v>90.0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56.0</v>
      </c>
      <c r="I56" s="5">
        <v>78.0</v>
      </c>
      <c r="J56" s="5">
        <v>51.0</v>
      </c>
      <c r="K56" s="5">
        <v>35.0</v>
      </c>
      <c r="L56" s="5">
        <v>45.0</v>
      </c>
      <c r="M56" s="5">
        <v>30.0</v>
      </c>
      <c r="N56" s="5">
        <v>245.0</v>
      </c>
      <c r="O56" s="5">
        <v>49.0</v>
      </c>
      <c r="P56" s="5">
        <v>95.0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57.0</v>
      </c>
      <c r="I57" s="5">
        <v>79.0</v>
      </c>
      <c r="J57" s="5">
        <v>52.0</v>
      </c>
      <c r="K57" s="5">
        <v>36.0</v>
      </c>
      <c r="L57" s="5">
        <v>46.0</v>
      </c>
      <c r="M57" s="5">
        <v>31.0</v>
      </c>
      <c r="N57" s="5">
        <v>246.0</v>
      </c>
      <c r="O57" s="5">
        <v>67.0</v>
      </c>
      <c r="P57" s="5">
        <v>99.0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</row>
    <row r="65" ht="12.75" customHeight="1">
      <c r="A65" s="1" t="s">
        <v>92</v>
      </c>
      <c r="B65" s="1">
        <v>3.0</v>
      </c>
    </row>
    <row r="66" ht="12.75" customHeight="1">
      <c r="A66" s="1" t="s">
        <v>93</v>
      </c>
      <c r="B66" s="1">
        <v>2.0</v>
      </c>
    </row>
    <row r="67" ht="12.75" customHeight="1">
      <c r="A67" s="1" t="s">
        <v>94</v>
      </c>
      <c r="B67" s="1">
        <v>1.0</v>
      </c>
    </row>
    <row r="68" ht="12.75" customHeight="1">
      <c r="A68" s="1" t="s">
        <v>95</v>
      </c>
      <c r="B68" s="1">
        <v>1.0</v>
      </c>
    </row>
    <row r="69" ht="12.75" customHeight="1">
      <c r="A69" s="1" t="s">
        <v>96</v>
      </c>
      <c r="B69" s="1">
        <v>3.0</v>
      </c>
    </row>
    <row r="70" ht="12.75" customHeight="1">
      <c r="A70" s="1" t="s">
        <v>97</v>
      </c>
      <c r="B70" s="1">
        <v>3.0</v>
      </c>
    </row>
    <row r="71" ht="12.75" customHeight="1">
      <c r="A71" s="1" t="s">
        <v>98</v>
      </c>
      <c r="B71" s="1">
        <v>3.0</v>
      </c>
    </row>
    <row r="72" ht="12.75" customHeight="1">
      <c r="A72" s="1" t="s">
        <v>99</v>
      </c>
      <c r="B72" s="1">
        <v>2.0</v>
      </c>
    </row>
    <row r="73" ht="12.75" customHeight="1">
      <c r="A73" s="1" t="s">
        <v>100</v>
      </c>
      <c r="B73" s="1">
        <v>3.0</v>
      </c>
    </row>
    <row r="74" ht="12.75" customHeight="1">
      <c r="A74" s="1" t="s">
        <v>101</v>
      </c>
      <c r="B74" s="1">
        <v>3.0</v>
      </c>
    </row>
    <row r="75" ht="12.75" customHeight="1">
      <c r="A75" s="1" t="s">
        <v>102</v>
      </c>
      <c r="B75" s="1">
        <v>3.0</v>
      </c>
    </row>
    <row r="76" ht="12.75" customHeight="1">
      <c r="A76" s="1" t="s">
        <v>103</v>
      </c>
      <c r="B76" s="1">
        <v>3.0</v>
      </c>
    </row>
    <row r="77" ht="12.75" customHeight="1">
      <c r="A77" s="1" t="s">
        <v>104</v>
      </c>
      <c r="B77" s="1">
        <v>4.0</v>
      </c>
    </row>
    <row r="78" ht="12.75" customHeight="1">
      <c r="A78" s="1" t="s">
        <v>105</v>
      </c>
      <c r="B78" s="1">
        <v>4.0</v>
      </c>
    </row>
    <row r="79" ht="12.75" customHeight="1">
      <c r="A79" s="1" t="s">
        <v>106</v>
      </c>
      <c r="B79" s="1">
        <v>2.0</v>
      </c>
    </row>
    <row r="80" ht="12.75" customHeight="1">
      <c r="A80" s="1" t="s">
        <v>107</v>
      </c>
      <c r="B80" s="1">
        <v>3.0</v>
      </c>
    </row>
    <row r="81" ht="12.75" customHeight="1">
      <c r="A81" s="1" t="s">
        <v>108</v>
      </c>
      <c r="B81" s="1">
        <v>3.0</v>
      </c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85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90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85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85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85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LIMITROFE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LIMITROFE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LIMITROFE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LIMITROFE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LIMITROFE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LIMITROFE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1">
        <v>4.0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1">
        <v>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 t="s">
        <v>45</v>
      </c>
      <c r="B32" s="1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2.75" customHeight="1">
      <c r="A33" s="1" t="s">
        <v>46</v>
      </c>
      <c r="B33" s="1">
        <v>3.0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2.75" customHeight="1">
      <c r="A34" s="1" t="s">
        <v>47</v>
      </c>
      <c r="B34" s="1">
        <v>3.0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2.75" customHeight="1">
      <c r="A35" s="1" t="s">
        <v>48</v>
      </c>
      <c r="B35" s="1">
        <v>3.0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22.0</v>
      </c>
      <c r="I38" s="5">
        <v>25.0</v>
      </c>
      <c r="J38" s="5">
        <v>20.0</v>
      </c>
      <c r="K38" s="5">
        <v>12.0</v>
      </c>
      <c r="L38" s="5">
        <v>14.0</v>
      </c>
      <c r="M38" s="5">
        <v>12.0</v>
      </c>
      <c r="N38" s="5">
        <v>110.0</v>
      </c>
      <c r="O38" s="5">
        <v>0.0</v>
      </c>
      <c r="P38" s="5">
        <v>5.0</v>
      </c>
      <c r="Q38" s="5"/>
      <c r="R38" s="1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25.0</v>
      </c>
      <c r="I39" s="5">
        <v>31.0</v>
      </c>
      <c r="J39" s="5">
        <v>24.0</v>
      </c>
      <c r="K39" s="5">
        <v>12.0</v>
      </c>
      <c r="L39" s="5">
        <v>16.0</v>
      </c>
      <c r="M39" s="5">
        <v>13.0</v>
      </c>
      <c r="N39" s="5">
        <v>113.0</v>
      </c>
      <c r="O39" s="5">
        <v>0.0</v>
      </c>
      <c r="P39" s="5">
        <v>10.0</v>
      </c>
      <c r="Q39" s="5"/>
      <c r="R39" s="1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30.0</v>
      </c>
      <c r="I40" s="5">
        <v>33.0</v>
      </c>
      <c r="J40" s="5">
        <v>24.0</v>
      </c>
      <c r="K40" s="5">
        <v>13.0</v>
      </c>
      <c r="L40" s="5">
        <v>16.0</v>
      </c>
      <c r="M40" s="5">
        <v>13.0</v>
      </c>
      <c r="N40" s="5">
        <v>122.0</v>
      </c>
      <c r="O40" s="5">
        <v>1.0</v>
      </c>
      <c r="P40" s="5">
        <v>15.0</v>
      </c>
      <c r="Q40" s="5"/>
      <c r="R40" s="1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34.0</v>
      </c>
      <c r="I41" s="5">
        <v>33.0</v>
      </c>
      <c r="J41" s="5">
        <v>24.0</v>
      </c>
      <c r="K41" s="5">
        <v>13.0</v>
      </c>
      <c r="L41" s="5">
        <v>16.0</v>
      </c>
      <c r="M41" s="5">
        <v>15.0</v>
      </c>
      <c r="N41" s="5">
        <v>125.0</v>
      </c>
      <c r="O41" s="5">
        <v>2.0</v>
      </c>
      <c r="P41" s="5">
        <v>20.0</v>
      </c>
      <c r="Q41" s="5"/>
      <c r="R41" s="1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34.0</v>
      </c>
      <c r="I42" s="5">
        <v>33.0</v>
      </c>
      <c r="J42" s="5">
        <v>25.0</v>
      </c>
      <c r="K42" s="5">
        <v>14.0</v>
      </c>
      <c r="L42" s="5">
        <v>18.0</v>
      </c>
      <c r="M42" s="5">
        <v>16.0</v>
      </c>
      <c r="N42" s="5">
        <v>127.0</v>
      </c>
      <c r="O42" s="5">
        <v>2.0</v>
      </c>
      <c r="P42" s="5">
        <v>25.0</v>
      </c>
      <c r="Q42" s="5"/>
      <c r="R42" s="1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35.0</v>
      </c>
      <c r="I43" s="5">
        <v>34.0</v>
      </c>
      <c r="J43" s="5">
        <v>26.0</v>
      </c>
      <c r="K43" s="5">
        <v>14.0</v>
      </c>
      <c r="L43" s="5">
        <v>19.0</v>
      </c>
      <c r="M43" s="5">
        <v>17.0</v>
      </c>
      <c r="N43" s="5">
        <v>130.0</v>
      </c>
      <c r="O43" s="5">
        <v>3.0</v>
      </c>
      <c r="P43" s="5">
        <v>30.0</v>
      </c>
      <c r="Q43" s="5"/>
      <c r="R43" s="1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37.0</v>
      </c>
      <c r="I44" s="5">
        <v>34.0</v>
      </c>
      <c r="J44" s="5">
        <v>27.0</v>
      </c>
      <c r="K44" s="5">
        <v>14.0</v>
      </c>
      <c r="L44" s="5">
        <v>19.0</v>
      </c>
      <c r="M44" s="5">
        <v>17.0</v>
      </c>
      <c r="N44" s="5">
        <v>137.0</v>
      </c>
      <c r="O44" s="5">
        <v>3.0</v>
      </c>
      <c r="P44" s="5">
        <v>35.0</v>
      </c>
      <c r="Q44" s="5"/>
      <c r="R44" s="1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38.0</v>
      </c>
      <c r="I45" s="5">
        <v>37.0</v>
      </c>
      <c r="J45" s="5">
        <v>28.0</v>
      </c>
      <c r="K45" s="5">
        <v>15.0</v>
      </c>
      <c r="L45" s="5">
        <v>21.0</v>
      </c>
      <c r="M45" s="5">
        <v>18.0</v>
      </c>
      <c r="N45" s="5">
        <v>142.0</v>
      </c>
      <c r="O45" s="5">
        <v>4.0</v>
      </c>
      <c r="P45" s="5">
        <v>40.0</v>
      </c>
      <c r="Q45" s="5"/>
      <c r="R45" s="1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39.0</v>
      </c>
      <c r="I46" s="5">
        <v>41.0</v>
      </c>
      <c r="J46" s="5">
        <v>28.0</v>
      </c>
      <c r="K46" s="5">
        <v>16.0</v>
      </c>
      <c r="L46" s="5">
        <v>22.0</v>
      </c>
      <c r="M46" s="5">
        <v>19.0</v>
      </c>
      <c r="N46" s="5">
        <v>146.0</v>
      </c>
      <c r="O46" s="5">
        <v>5.0</v>
      </c>
      <c r="P46" s="5">
        <v>45.0</v>
      </c>
      <c r="Q46" s="5"/>
      <c r="R46" s="1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42.0</v>
      </c>
      <c r="I47" s="5">
        <v>44.0</v>
      </c>
      <c r="J47" s="5">
        <v>30.0</v>
      </c>
      <c r="K47" s="5">
        <v>16.0</v>
      </c>
      <c r="L47" s="5">
        <v>23.0</v>
      </c>
      <c r="M47" s="5">
        <v>19.0</v>
      </c>
      <c r="N47" s="5">
        <v>155.0</v>
      </c>
      <c r="O47" s="5">
        <v>7.0</v>
      </c>
      <c r="P47" s="5">
        <v>50.0</v>
      </c>
      <c r="Q47" s="5"/>
      <c r="R47" s="1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45.0</v>
      </c>
      <c r="I48" s="5">
        <v>45.0</v>
      </c>
      <c r="J48" s="5">
        <v>31.0</v>
      </c>
      <c r="K48" s="5">
        <v>17.0</v>
      </c>
      <c r="L48" s="5">
        <v>24.0</v>
      </c>
      <c r="M48" s="5">
        <v>20.0</v>
      </c>
      <c r="N48" s="5">
        <v>162.0</v>
      </c>
      <c r="O48" s="5">
        <v>9.0</v>
      </c>
      <c r="P48" s="5">
        <v>55.0</v>
      </c>
      <c r="Q48" s="5"/>
      <c r="R48" s="1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49.0</v>
      </c>
      <c r="I49" s="5">
        <v>49.0</v>
      </c>
      <c r="J49" s="5">
        <v>33.0</v>
      </c>
      <c r="K49" s="5">
        <v>20.0</v>
      </c>
      <c r="L49" s="5">
        <v>24.0</v>
      </c>
      <c r="M49" s="5">
        <v>22.0</v>
      </c>
      <c r="N49" s="5">
        <v>168.0</v>
      </c>
      <c r="O49" s="5">
        <v>13.0</v>
      </c>
      <c r="P49" s="5">
        <v>60.0</v>
      </c>
      <c r="Q49" s="5"/>
      <c r="R49" s="1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52.0</v>
      </c>
      <c r="I50" s="5">
        <v>52.0</v>
      </c>
      <c r="J50" s="5">
        <v>37.0</v>
      </c>
      <c r="K50" s="5">
        <v>22.0</v>
      </c>
      <c r="L50" s="5">
        <v>29.0</v>
      </c>
      <c r="M50" s="5">
        <v>23.0</v>
      </c>
      <c r="N50" s="5">
        <v>186.0</v>
      </c>
      <c r="O50" s="5">
        <v>15.0</v>
      </c>
      <c r="P50" s="5">
        <v>65.0</v>
      </c>
      <c r="Q50" s="5"/>
      <c r="R50" s="1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53.0</v>
      </c>
      <c r="I51" s="5">
        <v>53.0</v>
      </c>
      <c r="J51" s="5">
        <v>38.0</v>
      </c>
      <c r="K51" s="5">
        <v>23.0</v>
      </c>
      <c r="L51" s="5">
        <v>33.0</v>
      </c>
      <c r="M51" s="5">
        <v>26.0</v>
      </c>
      <c r="N51" s="5">
        <v>201.0</v>
      </c>
      <c r="O51" s="5">
        <v>21.0</v>
      </c>
      <c r="P51" s="5">
        <v>70.0</v>
      </c>
      <c r="Q51" s="5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56.0</v>
      </c>
      <c r="I52" s="5">
        <v>54.0</v>
      </c>
      <c r="J52" s="5">
        <v>41.0</v>
      </c>
      <c r="K52" s="5">
        <v>25.0</v>
      </c>
      <c r="L52" s="5">
        <v>34.0</v>
      </c>
      <c r="M52" s="5">
        <v>27.0</v>
      </c>
      <c r="N52" s="5">
        <v>225.0</v>
      </c>
      <c r="O52" s="5">
        <v>27.0</v>
      </c>
      <c r="P52" s="5">
        <v>75.0</v>
      </c>
      <c r="Q52" s="5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60.0</v>
      </c>
      <c r="I53" s="5">
        <v>64.0</v>
      </c>
      <c r="J53" s="5">
        <v>43.0</v>
      </c>
      <c r="K53" s="5">
        <v>27.0</v>
      </c>
      <c r="L53" s="5">
        <v>36.0</v>
      </c>
      <c r="M53" s="5">
        <v>29.0</v>
      </c>
      <c r="N53" s="5">
        <v>233.0</v>
      </c>
      <c r="O53" s="5">
        <v>32.0</v>
      </c>
      <c r="P53" s="5">
        <v>80.0</v>
      </c>
      <c r="Q53" s="5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66.0</v>
      </c>
      <c r="I54" s="5">
        <v>70.0</v>
      </c>
      <c r="J54" s="5">
        <v>45.0</v>
      </c>
      <c r="K54" s="5">
        <v>28.0</v>
      </c>
      <c r="L54" s="5">
        <v>38.0</v>
      </c>
      <c r="M54" s="5">
        <v>30.0</v>
      </c>
      <c r="N54" s="5">
        <v>243.0</v>
      </c>
      <c r="O54" s="5">
        <v>36.0</v>
      </c>
      <c r="P54" s="5">
        <v>85.0</v>
      </c>
      <c r="Q54" s="5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72.0</v>
      </c>
      <c r="I55" s="5">
        <v>77.0</v>
      </c>
      <c r="J55" s="5">
        <v>48.0</v>
      </c>
      <c r="K55" s="5">
        <v>32.0</v>
      </c>
      <c r="L55" s="5">
        <v>44.0</v>
      </c>
      <c r="M55" s="5">
        <v>34.0</v>
      </c>
      <c r="N55" s="5">
        <v>252.0</v>
      </c>
      <c r="O55" s="5">
        <v>41.0</v>
      </c>
      <c r="P55" s="5">
        <v>90.0</v>
      </c>
      <c r="Q55" s="5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76.0</v>
      </c>
      <c r="I56" s="5">
        <v>85.0</v>
      </c>
      <c r="J56" s="5">
        <v>55.0</v>
      </c>
      <c r="K56" s="5">
        <v>34.0</v>
      </c>
      <c r="L56" s="5">
        <v>48.0</v>
      </c>
      <c r="M56" s="5">
        <v>37.0</v>
      </c>
      <c r="N56" s="5">
        <v>267.0</v>
      </c>
      <c r="O56" s="5">
        <v>52.0</v>
      </c>
      <c r="P56" s="5">
        <v>95.0</v>
      </c>
      <c r="Q56" s="5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77.0</v>
      </c>
      <c r="I57" s="5">
        <v>86.0</v>
      </c>
      <c r="J57" s="5">
        <v>56.0</v>
      </c>
      <c r="K57" s="5">
        <v>35.0</v>
      </c>
      <c r="L57" s="5">
        <v>49.0</v>
      </c>
      <c r="M57" s="5">
        <v>38.0</v>
      </c>
      <c r="N57" s="5">
        <v>268.0</v>
      </c>
      <c r="O57" s="5">
        <v>72.0</v>
      </c>
      <c r="P57" s="5">
        <v>99.0</v>
      </c>
      <c r="Q57" s="5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2.75" customHeight="1">
      <c r="A71" s="1" t="s">
        <v>98</v>
      </c>
      <c r="B71" s="1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2.75" customHeight="1">
      <c r="A72" s="1" t="s">
        <v>99</v>
      </c>
      <c r="B72" s="1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2.75" customHeight="1">
      <c r="A73" s="1" t="s">
        <v>100</v>
      </c>
      <c r="B73" s="1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2.75" customHeight="1">
      <c r="A74" s="1" t="s">
        <v>101</v>
      </c>
      <c r="B74" s="1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2.75" customHeight="1">
      <c r="A75" s="1" t="s">
        <v>102</v>
      </c>
      <c r="B75" s="1">
        <v>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 t="s">
        <v>103</v>
      </c>
      <c r="B76" s="1">
        <v>3.0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 t="s">
        <v>104</v>
      </c>
      <c r="B77" s="1">
        <v>4.0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 t="s">
        <v>105</v>
      </c>
      <c r="B78" s="1">
        <v>4.0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 t="s">
        <v>106</v>
      </c>
      <c r="B79" s="1">
        <v>2.0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 t="s">
        <v>107</v>
      </c>
      <c r="B80" s="1">
        <v>3.0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 t="s">
        <v>108</v>
      </c>
      <c r="B81" s="1">
        <v>3.0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 t="s">
        <v>109</v>
      </c>
      <c r="B82" s="1">
        <v>3.0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 t="s">
        <v>110</v>
      </c>
      <c r="B83" s="1">
        <v>4.0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2">
        <v>4.0</v>
      </c>
      <c r="D1" s="3" t="s">
        <v>1</v>
      </c>
      <c r="E1" s="3">
        <f>SUM(B1:B21)</f>
        <v>81</v>
      </c>
    </row>
    <row r="2" ht="12.75" customHeight="1">
      <c r="A2" s="1" t="s">
        <v>2</v>
      </c>
      <c r="B2" s="2">
        <v>4.0</v>
      </c>
      <c r="D2" s="3" t="s">
        <v>3</v>
      </c>
      <c r="E2" s="3">
        <f>SUM(B22:B45)</f>
        <v>90</v>
      </c>
      <c r="G2" s="5"/>
      <c r="H2" s="5"/>
      <c r="I2" s="5"/>
      <c r="J2" s="6"/>
    </row>
    <row r="3" ht="12.75" customHeight="1">
      <c r="A3" s="1" t="s">
        <v>4</v>
      </c>
      <c r="B3" s="2">
        <v>4.0</v>
      </c>
      <c r="D3" s="3" t="s">
        <v>5</v>
      </c>
      <c r="E3" s="3">
        <f>SUM(B46:B64)</f>
        <v>76</v>
      </c>
      <c r="G3" s="7"/>
      <c r="H3" s="7">
        <f>COUNTIF(B1:B89,"3")</f>
        <v>6</v>
      </c>
      <c r="I3" s="7"/>
      <c r="J3" s="6"/>
    </row>
    <row r="4" ht="12.75" customHeight="1">
      <c r="A4" s="1" t="s">
        <v>6</v>
      </c>
      <c r="B4" s="2">
        <v>4.0</v>
      </c>
      <c r="D4" s="3" t="s">
        <v>7</v>
      </c>
      <c r="E4" s="3">
        <f>SUM(B65:B76)</f>
        <v>25</v>
      </c>
      <c r="G4" s="7"/>
      <c r="H4" s="7">
        <f>COUNTIF(B1:B89,"4")</f>
        <v>72</v>
      </c>
      <c r="I4" s="7"/>
      <c r="J4" s="6"/>
    </row>
    <row r="5" ht="12.75" customHeight="1">
      <c r="A5" s="1" t="s">
        <v>8</v>
      </c>
      <c r="B5" s="2">
        <v>4.0</v>
      </c>
      <c r="D5" s="3" t="s">
        <v>9</v>
      </c>
      <c r="E5" s="3">
        <f>SUM(B77:B89)</f>
        <v>45</v>
      </c>
      <c r="G5" s="7"/>
      <c r="H5" s="7">
        <f>SUM(H3:H4)</f>
        <v>78</v>
      </c>
      <c r="I5" s="7"/>
      <c r="J5" s="6"/>
    </row>
    <row r="6" ht="12.75" customHeight="1">
      <c r="A6" s="1" t="s">
        <v>10</v>
      </c>
      <c r="B6" s="2">
        <v>4.0</v>
      </c>
      <c r="D6" s="3" t="s">
        <v>11</v>
      </c>
      <c r="E6" s="3">
        <f>SUM(B1,B6,B14,B16,B24,B49,B50,B55,B60,B65,B69)</f>
        <v>41</v>
      </c>
      <c r="G6" s="6"/>
      <c r="H6" s="6"/>
      <c r="I6" s="6"/>
      <c r="J6" s="6"/>
    </row>
    <row r="7" ht="12.75" customHeight="1">
      <c r="A7" s="1" t="s">
        <v>12</v>
      </c>
      <c r="B7" s="2">
        <v>4.0</v>
      </c>
      <c r="D7" s="3" t="s">
        <v>13</v>
      </c>
      <c r="E7" s="3">
        <f>SUM(E1:E5)</f>
        <v>317</v>
      </c>
    </row>
    <row r="8" ht="12.75" customHeight="1">
      <c r="A8" s="1" t="s">
        <v>14</v>
      </c>
      <c r="B8" s="2">
        <v>4.0</v>
      </c>
      <c r="D8" s="3" t="s">
        <v>15</v>
      </c>
      <c r="E8" s="3">
        <f>H5</f>
        <v>78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4.0</v>
      </c>
      <c r="D10" s="3" t="s">
        <v>1</v>
      </c>
      <c r="E10" s="3">
        <f>VLOOKUP(E1,H36:P57,9,1)</f>
        <v>99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4.0</v>
      </c>
      <c r="D11" s="3" t="s">
        <v>3</v>
      </c>
      <c r="E11" s="3">
        <f>VLOOKUP(E2,I37:P57,8,1)</f>
        <v>99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4.0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2">
        <v>4.0</v>
      </c>
      <c r="D13" s="3" t="s">
        <v>7</v>
      </c>
      <c r="E13" s="3">
        <f>VLOOKUP(E4,K37:P57,6,1)</f>
        <v>75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4.0</v>
      </c>
      <c r="D14" s="3" t="s">
        <v>9</v>
      </c>
      <c r="E14" s="3">
        <f>VLOOKUP(E5,L37:P57,5,1)</f>
        <v>90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4.0</v>
      </c>
      <c r="D15" s="3" t="s">
        <v>11</v>
      </c>
      <c r="E15" s="3">
        <f>VLOOKUP(E6,M37:P57,4,1)</f>
        <v>99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4.0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2">
        <v>4.0</v>
      </c>
      <c r="D17" s="3" t="s">
        <v>15</v>
      </c>
      <c r="E17" s="3">
        <f>VLOOKUP(E8,O37:P57,2,1)</f>
        <v>95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4.0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1.0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4.0</v>
      </c>
    </row>
    <row r="21" ht="12.75" customHeight="1">
      <c r="A21" s="1" t="s">
        <v>34</v>
      </c>
      <c r="B21" s="2">
        <v>4.0</v>
      </c>
      <c r="D21" s="10" t="s">
        <v>1</v>
      </c>
      <c r="E21" s="10" t="str">
        <f>VLOOKUP(E10,D39:E64,2,1)</f>
        <v>DEFICIÊNCIA SEVERA</v>
      </c>
    </row>
    <row r="22" ht="12.75" customHeight="1">
      <c r="A22" s="1" t="s">
        <v>35</v>
      </c>
      <c r="B22" s="2">
        <v>4.0</v>
      </c>
      <c r="D22" s="10" t="s">
        <v>3</v>
      </c>
      <c r="E22" s="10" t="str">
        <f>VLOOKUP(E11,D39:E64,2,1)</f>
        <v>DEFICIÊNCIA SEVERA</v>
      </c>
    </row>
    <row r="23" ht="12.75" customHeight="1">
      <c r="A23" s="1" t="s">
        <v>36</v>
      </c>
      <c r="B23" s="2">
        <v>4.0</v>
      </c>
      <c r="D23" s="10" t="s">
        <v>5</v>
      </c>
      <c r="E23" s="10" t="str">
        <f>VLOOKUP(E12,D39:E64,2,1)</f>
        <v>DEFICIÊNCIA SEVERA</v>
      </c>
    </row>
    <row r="24" ht="12.75" customHeight="1">
      <c r="A24" s="1" t="s">
        <v>37</v>
      </c>
      <c r="B24" s="2">
        <v>4.0</v>
      </c>
      <c r="D24" s="3" t="s">
        <v>7</v>
      </c>
      <c r="E24" s="3" t="str">
        <f>VLOOKUP(E13,D39:E64,2,1)</f>
        <v>SEM SIGNIFICÂNCIA CLINICA</v>
      </c>
    </row>
    <row r="25" ht="12.75" customHeight="1">
      <c r="A25" s="1" t="s">
        <v>38</v>
      </c>
      <c r="B25" s="2">
        <v>4.0</v>
      </c>
      <c r="D25" s="10" t="s">
        <v>9</v>
      </c>
      <c r="E25" s="10" t="str">
        <f>VLOOKUP(E14,D39:E64,2,1)</f>
        <v>LIMITROFE</v>
      </c>
    </row>
    <row r="26" ht="12.75" customHeight="1">
      <c r="A26" s="1" t="s">
        <v>39</v>
      </c>
      <c r="B26" s="2">
        <v>4.0</v>
      </c>
      <c r="D26" s="3" t="s">
        <v>11</v>
      </c>
      <c r="E26" s="10" t="str">
        <f>VLOOKUP(E15,D39:E64,2,1)</f>
        <v>DEFICIÊNCIA SEVERA</v>
      </c>
    </row>
    <row r="27" ht="12.75" customHeight="1">
      <c r="A27" s="1" t="s">
        <v>40</v>
      </c>
      <c r="B27" s="2">
        <v>4.0</v>
      </c>
      <c r="D27" s="3" t="s">
        <v>13</v>
      </c>
      <c r="E27" s="10" t="str">
        <f>VLOOKUP(E16,D39:E64,2,1)</f>
        <v>DEFICIÊNCIA SEVERA</v>
      </c>
    </row>
    <row r="28" ht="12.75" customHeight="1">
      <c r="A28" s="1" t="s">
        <v>41</v>
      </c>
      <c r="B28" s="2">
        <v>4.0</v>
      </c>
      <c r="D28" s="3" t="s">
        <v>15</v>
      </c>
      <c r="E28" s="3" t="str">
        <f>VLOOKUP(E17,D39:E64,2,1)</f>
        <v>DEFICIÊNCIA LEVE</v>
      </c>
    </row>
    <row r="29" ht="12.75" customHeight="1">
      <c r="A29" s="1" t="s">
        <v>42</v>
      </c>
      <c r="B29" s="2">
        <v>4.0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2.75" customHeight="1">
      <c r="A30" s="1" t="s">
        <v>43</v>
      </c>
      <c r="B30" s="2">
        <v>4.0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2">
        <v>1.0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 t="s">
        <v>45</v>
      </c>
      <c r="B32" s="2">
        <v>4.0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2.75" customHeight="1">
      <c r="A33" s="1" t="s">
        <v>46</v>
      </c>
      <c r="B33" s="2">
        <v>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2.75" customHeight="1">
      <c r="A34" s="1" t="s">
        <v>47</v>
      </c>
      <c r="B34" s="2">
        <v>4.0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2.75" customHeight="1">
      <c r="A35" s="1" t="s">
        <v>48</v>
      </c>
      <c r="B35" s="2">
        <v>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2.75" customHeight="1">
      <c r="A36" s="1" t="s">
        <v>49</v>
      </c>
      <c r="B36" s="2">
        <v>4.0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</row>
    <row r="37" ht="12.75" customHeight="1">
      <c r="A37" s="1" t="s">
        <v>58</v>
      </c>
      <c r="B37" s="2">
        <v>4.0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</row>
    <row r="38" ht="12.75" customHeight="1">
      <c r="A38" s="1" t="s">
        <v>59</v>
      </c>
      <c r="B38" s="2">
        <v>1.0</v>
      </c>
      <c r="D38" s="5"/>
      <c r="E38" s="5"/>
      <c r="F38" s="5"/>
      <c r="G38" s="5"/>
      <c r="H38" s="5">
        <v>21.0</v>
      </c>
      <c r="I38" s="5">
        <v>24.0</v>
      </c>
      <c r="J38" s="5">
        <v>20.0</v>
      </c>
      <c r="K38" s="5">
        <v>12.0</v>
      </c>
      <c r="L38" s="5">
        <v>13.0</v>
      </c>
      <c r="M38" s="5">
        <v>11.0</v>
      </c>
      <c r="N38" s="5">
        <v>95.0</v>
      </c>
      <c r="O38" s="5">
        <v>0.0</v>
      </c>
      <c r="P38" s="5">
        <v>5.0</v>
      </c>
      <c r="Q38" s="5"/>
      <c r="R38" s="5"/>
    </row>
    <row r="39" ht="12.75" customHeight="1">
      <c r="A39" s="1" t="s">
        <v>60</v>
      </c>
      <c r="B39" s="2">
        <v>4.0</v>
      </c>
      <c r="D39" s="5">
        <v>1.0</v>
      </c>
      <c r="E39" s="5" t="s">
        <v>61</v>
      </c>
      <c r="F39" s="5"/>
      <c r="G39" s="5"/>
      <c r="H39" s="5">
        <v>24.0</v>
      </c>
      <c r="I39" s="5">
        <v>25.0</v>
      </c>
      <c r="J39" s="5">
        <v>21.0</v>
      </c>
      <c r="K39" s="5">
        <v>12.0</v>
      </c>
      <c r="L39" s="5">
        <v>15.0</v>
      </c>
      <c r="M39" s="5">
        <v>12.0</v>
      </c>
      <c r="N39" s="5">
        <v>102.0</v>
      </c>
      <c r="O39" s="5">
        <v>1.0</v>
      </c>
      <c r="P39" s="5">
        <v>10.0</v>
      </c>
      <c r="Q39" s="5"/>
      <c r="R39" s="5"/>
    </row>
    <row r="40" ht="12.75" customHeight="1">
      <c r="A40" s="1" t="s">
        <v>62</v>
      </c>
      <c r="B40" s="2">
        <v>4.0</v>
      </c>
      <c r="D40" s="5">
        <v>75.0</v>
      </c>
      <c r="E40" s="5" t="s">
        <v>61</v>
      </c>
      <c r="F40" s="5"/>
      <c r="G40" s="5"/>
      <c r="H40" s="5">
        <v>27.0</v>
      </c>
      <c r="I40" s="5">
        <v>26.0</v>
      </c>
      <c r="J40" s="5">
        <v>22.0</v>
      </c>
      <c r="K40" s="5">
        <v>12.0</v>
      </c>
      <c r="L40" s="5">
        <v>16.0</v>
      </c>
      <c r="M40" s="5">
        <v>13.0</v>
      </c>
      <c r="N40" s="5">
        <v>114.0</v>
      </c>
      <c r="O40" s="5">
        <v>1.0</v>
      </c>
      <c r="P40" s="5">
        <v>15.0</v>
      </c>
      <c r="Q40" s="5"/>
      <c r="R40" s="5"/>
    </row>
    <row r="41" ht="12.75" customHeight="1">
      <c r="A41" s="1" t="s">
        <v>63</v>
      </c>
      <c r="B41" s="2">
        <v>4.0</v>
      </c>
      <c r="D41" s="5">
        <v>76.0</v>
      </c>
      <c r="E41" s="5" t="s">
        <v>64</v>
      </c>
      <c r="F41" s="5"/>
      <c r="G41" s="5"/>
      <c r="H41" s="5">
        <v>28.0</v>
      </c>
      <c r="I41" s="5">
        <v>31.0</v>
      </c>
      <c r="J41" s="5">
        <v>23.0</v>
      </c>
      <c r="K41" s="5">
        <v>13.0</v>
      </c>
      <c r="L41" s="5">
        <v>17.0</v>
      </c>
      <c r="M41" s="5">
        <v>14.0</v>
      </c>
      <c r="N41" s="5">
        <v>121.0</v>
      </c>
      <c r="O41" s="5">
        <v>2.0</v>
      </c>
      <c r="P41" s="5">
        <v>20.0</v>
      </c>
      <c r="Q41" s="5"/>
      <c r="R41" s="5"/>
    </row>
    <row r="42" ht="12.75" customHeight="1">
      <c r="A42" s="1" t="s">
        <v>65</v>
      </c>
      <c r="B42" s="2">
        <v>4.0</v>
      </c>
      <c r="D42" s="5">
        <v>77.0</v>
      </c>
      <c r="E42" s="5" t="s">
        <v>64</v>
      </c>
      <c r="F42" s="5"/>
      <c r="G42" s="5"/>
      <c r="H42" s="5">
        <v>28.0</v>
      </c>
      <c r="I42" s="5">
        <v>36.0</v>
      </c>
      <c r="J42" s="5">
        <v>23.0</v>
      </c>
      <c r="K42" s="5">
        <v>13.0</v>
      </c>
      <c r="L42" s="5">
        <v>18.0</v>
      </c>
      <c r="M42" s="5">
        <v>14.0</v>
      </c>
      <c r="N42" s="5">
        <v>128.0</v>
      </c>
      <c r="O42" s="5">
        <v>3.0</v>
      </c>
      <c r="P42" s="5">
        <v>25.0</v>
      </c>
      <c r="Q42" s="5"/>
      <c r="R42" s="5"/>
    </row>
    <row r="43" ht="12.75" customHeight="1">
      <c r="A43" s="1" t="s">
        <v>66</v>
      </c>
      <c r="B43" s="2">
        <v>4.0</v>
      </c>
      <c r="D43" s="5">
        <v>78.0</v>
      </c>
      <c r="E43" s="5" t="s">
        <v>64</v>
      </c>
      <c r="F43" s="5"/>
      <c r="G43" s="5"/>
      <c r="H43" s="5">
        <v>30.0</v>
      </c>
      <c r="I43" s="5">
        <v>36.0</v>
      </c>
      <c r="J43" s="5">
        <v>25.0</v>
      </c>
      <c r="K43" s="5">
        <v>13.0</v>
      </c>
      <c r="L43" s="5">
        <v>20.0</v>
      </c>
      <c r="M43" s="5">
        <v>15.0</v>
      </c>
      <c r="N43" s="5">
        <v>133.0</v>
      </c>
      <c r="O43" s="5">
        <v>5.0</v>
      </c>
      <c r="P43" s="5">
        <v>30.0</v>
      </c>
      <c r="Q43" s="5"/>
      <c r="R43" s="5"/>
    </row>
    <row r="44" ht="12.75" customHeight="1">
      <c r="A44" s="1" t="s">
        <v>67</v>
      </c>
      <c r="B44" s="2">
        <v>4.0</v>
      </c>
      <c r="D44" s="5">
        <v>79.0</v>
      </c>
      <c r="E44" s="5" t="s">
        <v>64</v>
      </c>
      <c r="F44" s="5"/>
      <c r="G44" s="5"/>
      <c r="H44" s="5">
        <v>31.0</v>
      </c>
      <c r="I44" s="5">
        <v>40.0</v>
      </c>
      <c r="J44" s="5">
        <v>27.0</v>
      </c>
      <c r="K44" s="5">
        <v>15.0</v>
      </c>
      <c r="L44" s="5">
        <v>20.0</v>
      </c>
      <c r="M44" s="5">
        <v>16.0</v>
      </c>
      <c r="N44" s="5">
        <v>135.0</v>
      </c>
      <c r="O44" s="5">
        <v>6.0</v>
      </c>
      <c r="P44" s="5">
        <v>35.0</v>
      </c>
      <c r="Q44" s="5"/>
      <c r="R44" s="5"/>
    </row>
    <row r="45" ht="12.75" customHeight="1">
      <c r="A45" s="1" t="s">
        <v>68</v>
      </c>
      <c r="B45" s="2">
        <v>4.0</v>
      </c>
      <c r="D45" s="5">
        <v>80.0</v>
      </c>
      <c r="E45" s="5" t="s">
        <v>64</v>
      </c>
      <c r="F45" s="5"/>
      <c r="G45" s="5"/>
      <c r="H45" s="5">
        <v>32.0</v>
      </c>
      <c r="I45" s="5">
        <v>41.0</v>
      </c>
      <c r="J45" s="5">
        <v>30.0</v>
      </c>
      <c r="K45" s="5">
        <v>15.0</v>
      </c>
      <c r="L45" s="5">
        <v>20.0</v>
      </c>
      <c r="M45" s="5">
        <v>16.0</v>
      </c>
      <c r="N45" s="5">
        <v>138.0</v>
      </c>
      <c r="O45" s="5">
        <v>8.0</v>
      </c>
      <c r="P45" s="5">
        <v>40.0</v>
      </c>
      <c r="Q45" s="5"/>
      <c r="R45" s="5"/>
    </row>
    <row r="46" ht="12.75" customHeight="1">
      <c r="A46" s="1" t="s">
        <v>69</v>
      </c>
      <c r="B46" s="2">
        <v>4.0</v>
      </c>
      <c r="D46" s="5">
        <v>81.0</v>
      </c>
      <c r="E46" s="5" t="s">
        <v>64</v>
      </c>
      <c r="F46" s="5"/>
      <c r="G46" s="5"/>
      <c r="H46" s="5">
        <v>32.0</v>
      </c>
      <c r="I46" s="5">
        <v>42.0</v>
      </c>
      <c r="J46" s="5">
        <v>30.0</v>
      </c>
      <c r="K46" s="5">
        <v>16.0</v>
      </c>
      <c r="L46" s="5">
        <v>21.0</v>
      </c>
      <c r="M46" s="5">
        <v>18.0</v>
      </c>
      <c r="N46" s="5">
        <v>141.0</v>
      </c>
      <c r="O46" s="5">
        <v>10.0</v>
      </c>
      <c r="P46" s="5">
        <v>45.0</v>
      </c>
      <c r="Q46" s="5"/>
      <c r="R46" s="5"/>
    </row>
    <row r="47" ht="12.75" customHeight="1">
      <c r="A47" s="1" t="s">
        <v>70</v>
      </c>
      <c r="B47" s="2">
        <v>4.0</v>
      </c>
      <c r="D47" s="5">
        <v>82.0</v>
      </c>
      <c r="E47" s="5" t="s">
        <v>64</v>
      </c>
      <c r="F47" s="5"/>
      <c r="G47" s="5"/>
      <c r="H47" s="5">
        <v>36.0</v>
      </c>
      <c r="I47" s="5">
        <v>43.0</v>
      </c>
      <c r="J47" s="5">
        <v>32.0</v>
      </c>
      <c r="K47" s="5">
        <v>17.0</v>
      </c>
      <c r="L47" s="5">
        <v>22.0</v>
      </c>
      <c r="M47" s="5">
        <v>20.0</v>
      </c>
      <c r="N47" s="5">
        <v>162.0</v>
      </c>
      <c r="O47" s="5">
        <v>12.0</v>
      </c>
      <c r="P47" s="5">
        <v>50.0</v>
      </c>
      <c r="Q47" s="5"/>
      <c r="R47" s="5"/>
    </row>
    <row r="48" ht="12.75" customHeight="1">
      <c r="A48" s="1" t="s">
        <v>71</v>
      </c>
      <c r="B48" s="2">
        <v>4.0</v>
      </c>
      <c r="D48" s="5">
        <v>83.0</v>
      </c>
      <c r="E48" s="5" t="s">
        <v>64</v>
      </c>
      <c r="F48" s="5"/>
      <c r="G48" s="5"/>
      <c r="H48" s="5">
        <v>37.0</v>
      </c>
      <c r="I48" s="5">
        <v>46.0</v>
      </c>
      <c r="J48" s="5">
        <v>33.0</v>
      </c>
      <c r="K48" s="5">
        <v>19.0</v>
      </c>
      <c r="L48" s="5">
        <v>23.0</v>
      </c>
      <c r="M48" s="5">
        <v>21.0</v>
      </c>
      <c r="N48" s="5">
        <v>167.0</v>
      </c>
      <c r="O48" s="5">
        <v>14.0</v>
      </c>
      <c r="P48" s="5">
        <v>55.0</v>
      </c>
      <c r="Q48" s="5"/>
      <c r="R48" s="5"/>
    </row>
    <row r="49" ht="12.75" customHeight="1">
      <c r="A49" s="1" t="s">
        <v>72</v>
      </c>
      <c r="B49" s="2">
        <v>4.0</v>
      </c>
      <c r="D49" s="5">
        <v>84.0</v>
      </c>
      <c r="E49" s="5" t="s">
        <v>64</v>
      </c>
      <c r="F49" s="5"/>
      <c r="G49" s="5"/>
      <c r="H49" s="5">
        <v>42.0</v>
      </c>
      <c r="I49" s="5">
        <v>52.0</v>
      </c>
      <c r="J49" s="5">
        <v>34.0</v>
      </c>
      <c r="K49" s="5">
        <v>21.0</v>
      </c>
      <c r="L49" s="5">
        <v>24.0</v>
      </c>
      <c r="M49" s="5">
        <v>21.0</v>
      </c>
      <c r="N49" s="5">
        <v>177.0</v>
      </c>
      <c r="O49" s="5">
        <v>17.0</v>
      </c>
      <c r="P49" s="5">
        <v>60.0</v>
      </c>
      <c r="Q49" s="5"/>
      <c r="R49" s="5"/>
    </row>
    <row r="50" ht="12.75" customHeight="1">
      <c r="A50" s="1" t="s">
        <v>73</v>
      </c>
      <c r="B50" s="2">
        <v>4.0</v>
      </c>
      <c r="D50" s="5">
        <v>85.0</v>
      </c>
      <c r="E50" s="5" t="s">
        <v>74</v>
      </c>
      <c r="F50" s="5"/>
      <c r="G50" s="5"/>
      <c r="H50" s="5">
        <v>49.0</v>
      </c>
      <c r="I50" s="5">
        <v>53.0</v>
      </c>
      <c r="J50" s="5">
        <v>35.0</v>
      </c>
      <c r="K50" s="5">
        <v>22.0</v>
      </c>
      <c r="L50" s="5">
        <v>25.0</v>
      </c>
      <c r="M50" s="5">
        <v>22.0</v>
      </c>
      <c r="N50" s="5">
        <v>188.0</v>
      </c>
      <c r="O50" s="5">
        <v>21.0</v>
      </c>
      <c r="P50" s="5">
        <v>65.0</v>
      </c>
      <c r="Q50" s="5"/>
      <c r="R50" s="5"/>
    </row>
    <row r="51" ht="12.75" customHeight="1">
      <c r="A51" s="1" t="s">
        <v>75</v>
      </c>
      <c r="B51" s="2">
        <v>4.0</v>
      </c>
      <c r="D51" s="5">
        <v>86.0</v>
      </c>
      <c r="E51" s="5" t="s">
        <v>74</v>
      </c>
      <c r="F51" s="5"/>
      <c r="G51" s="5"/>
      <c r="H51" s="5">
        <v>52.0</v>
      </c>
      <c r="I51" s="5">
        <v>58.0</v>
      </c>
      <c r="J51" s="5">
        <v>36.0</v>
      </c>
      <c r="K51" s="5">
        <v>23.0</v>
      </c>
      <c r="L51" s="5">
        <v>27.0</v>
      </c>
      <c r="M51" s="5">
        <v>22.0</v>
      </c>
      <c r="N51" s="5">
        <v>192.0</v>
      </c>
      <c r="O51" s="5">
        <v>23.0</v>
      </c>
      <c r="P51" s="5">
        <v>70.0</v>
      </c>
      <c r="Q51" s="5"/>
      <c r="R51" s="5"/>
    </row>
    <row r="52" ht="12.75" customHeight="1">
      <c r="A52" s="1" t="s">
        <v>76</v>
      </c>
      <c r="B52" s="2">
        <v>4.0</v>
      </c>
      <c r="D52" s="5">
        <v>87.0</v>
      </c>
      <c r="E52" s="5" t="s">
        <v>74</v>
      </c>
      <c r="F52" s="5"/>
      <c r="G52" s="5"/>
      <c r="H52" s="5">
        <v>54.0</v>
      </c>
      <c r="I52" s="5">
        <v>60.0</v>
      </c>
      <c r="J52" s="5">
        <v>39.0</v>
      </c>
      <c r="K52" s="5">
        <v>24.0</v>
      </c>
      <c r="L52" s="5">
        <v>28.0</v>
      </c>
      <c r="M52" s="5">
        <v>23.0</v>
      </c>
      <c r="N52" s="5">
        <v>203.0</v>
      </c>
      <c r="O52" s="5">
        <v>27.0</v>
      </c>
      <c r="P52" s="5">
        <v>75.0</v>
      </c>
      <c r="Q52" s="5"/>
      <c r="R52" s="5"/>
    </row>
    <row r="53" ht="12.75" customHeight="1">
      <c r="A53" s="1" t="s">
        <v>77</v>
      </c>
      <c r="B53" s="2">
        <v>4.0</v>
      </c>
      <c r="D53" s="5">
        <v>88.0</v>
      </c>
      <c r="E53" s="5" t="s">
        <v>74</v>
      </c>
      <c r="F53" s="5"/>
      <c r="G53" s="5"/>
      <c r="H53" s="5">
        <v>59.0</v>
      </c>
      <c r="I53" s="5">
        <v>62.0</v>
      </c>
      <c r="J53" s="5">
        <v>42.0</v>
      </c>
      <c r="K53" s="5">
        <v>26.0</v>
      </c>
      <c r="L53" s="5">
        <v>32.0</v>
      </c>
      <c r="M53" s="5">
        <v>25.0</v>
      </c>
      <c r="N53" s="5">
        <v>207.0</v>
      </c>
      <c r="O53" s="5">
        <v>30.0</v>
      </c>
      <c r="P53" s="5">
        <v>80.0</v>
      </c>
      <c r="Q53" s="5"/>
      <c r="R53" s="5"/>
    </row>
    <row r="54" ht="12.75" customHeight="1">
      <c r="A54" s="1" t="s">
        <v>78</v>
      </c>
      <c r="B54" s="2">
        <v>4.0</v>
      </c>
      <c r="D54" s="5">
        <v>89.0</v>
      </c>
      <c r="E54" s="5" t="s">
        <v>74</v>
      </c>
      <c r="F54" s="5"/>
      <c r="G54" s="5"/>
      <c r="H54" s="5">
        <v>63.0</v>
      </c>
      <c r="I54" s="5">
        <v>63.0</v>
      </c>
      <c r="J54" s="5">
        <v>46.0</v>
      </c>
      <c r="K54" s="5">
        <v>30.0</v>
      </c>
      <c r="L54" s="5">
        <v>37.0</v>
      </c>
      <c r="M54" s="5">
        <v>29.0</v>
      </c>
      <c r="N54" s="5">
        <v>220.0</v>
      </c>
      <c r="O54" s="5">
        <v>36.0</v>
      </c>
      <c r="P54" s="5">
        <v>85.0</v>
      </c>
      <c r="Q54" s="5"/>
      <c r="R54" s="5"/>
    </row>
    <row r="55" ht="12.75" customHeight="1">
      <c r="A55" s="1" t="s">
        <v>79</v>
      </c>
      <c r="B55" s="2">
        <v>4.0</v>
      </c>
      <c r="D55" s="5">
        <v>90.0</v>
      </c>
      <c r="E55" s="5" t="s">
        <v>74</v>
      </c>
      <c r="F55" s="5"/>
      <c r="G55" s="5"/>
      <c r="H55" s="5">
        <v>68.0</v>
      </c>
      <c r="I55" s="5">
        <v>69.0</v>
      </c>
      <c r="J55" s="5">
        <v>47.0</v>
      </c>
      <c r="K55" s="5">
        <v>36.0</v>
      </c>
      <c r="L55" s="5">
        <v>42.0</v>
      </c>
      <c r="M55" s="5">
        <v>31.0</v>
      </c>
      <c r="N55" s="5">
        <v>241.0</v>
      </c>
      <c r="O55" s="5">
        <v>45.0</v>
      </c>
      <c r="P55" s="5">
        <v>90.0</v>
      </c>
      <c r="Q55" s="5"/>
      <c r="R55" s="5"/>
    </row>
    <row r="56" ht="12.75" customHeight="1">
      <c r="A56" s="1" t="s">
        <v>80</v>
      </c>
      <c r="B56" s="2">
        <v>4.0</v>
      </c>
      <c r="D56" s="5">
        <v>91.0</v>
      </c>
      <c r="E56" s="5" t="s">
        <v>74</v>
      </c>
      <c r="F56" s="5"/>
      <c r="G56" s="5"/>
      <c r="H56" s="5">
        <v>72.0</v>
      </c>
      <c r="I56" s="5">
        <v>75.0</v>
      </c>
      <c r="J56" s="5">
        <v>53.0</v>
      </c>
      <c r="K56" s="5">
        <v>42.0</v>
      </c>
      <c r="L56" s="5">
        <v>47.0</v>
      </c>
      <c r="M56" s="5">
        <v>34.0</v>
      </c>
      <c r="N56" s="5">
        <v>278.0</v>
      </c>
      <c r="O56" s="5">
        <v>58.0</v>
      </c>
      <c r="P56" s="5">
        <v>95.0</v>
      </c>
      <c r="Q56" s="5"/>
      <c r="R56" s="5"/>
    </row>
    <row r="57" ht="12.75" customHeight="1">
      <c r="A57" s="1" t="s">
        <v>81</v>
      </c>
      <c r="B57" s="2">
        <v>4.0</v>
      </c>
      <c r="D57" s="5">
        <v>92.0</v>
      </c>
      <c r="E57" s="5" t="s">
        <v>74</v>
      </c>
      <c r="F57" s="5"/>
      <c r="G57" s="5"/>
      <c r="H57" s="5">
        <v>73.0</v>
      </c>
      <c r="I57" s="5">
        <v>76.0</v>
      </c>
      <c r="J57" s="5">
        <v>54.0</v>
      </c>
      <c r="K57" s="5">
        <v>43.0</v>
      </c>
      <c r="L57" s="5">
        <v>48.0</v>
      </c>
      <c r="M57" s="5">
        <v>35.0</v>
      </c>
      <c r="N57" s="5">
        <v>279.0</v>
      </c>
      <c r="O57" s="5">
        <v>80.0</v>
      </c>
      <c r="P57" s="5">
        <v>99.0</v>
      </c>
      <c r="Q57" s="5"/>
      <c r="R57" s="5"/>
    </row>
    <row r="58" ht="12.75" customHeight="1">
      <c r="A58" s="1" t="s">
        <v>82</v>
      </c>
      <c r="B58" s="2">
        <v>4.0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2.75" customHeight="1">
      <c r="A59" s="1" t="s">
        <v>84</v>
      </c>
      <c r="B59" s="2">
        <v>4.0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2.75" customHeight="1">
      <c r="A60" s="1" t="s">
        <v>85</v>
      </c>
      <c r="B60" s="2">
        <v>4.0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2.75" customHeight="1">
      <c r="A61" s="1" t="s">
        <v>86</v>
      </c>
      <c r="B61" s="2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2.75" customHeight="1">
      <c r="A62" s="1" t="s">
        <v>88</v>
      </c>
      <c r="B62" s="2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2.75" customHeight="1">
      <c r="A63" s="1" t="s">
        <v>89</v>
      </c>
      <c r="B63" s="2">
        <v>4.0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2.75" customHeight="1">
      <c r="A64" s="1" t="s">
        <v>90</v>
      </c>
      <c r="B64" s="2">
        <v>4.0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2.75" customHeight="1">
      <c r="A65" s="1" t="s">
        <v>92</v>
      </c>
      <c r="B65" s="2">
        <v>4.0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2.75" customHeight="1">
      <c r="A66" s="1" t="s">
        <v>93</v>
      </c>
      <c r="B66" s="2">
        <v>4.0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2.75" customHeight="1">
      <c r="A67" s="1" t="s">
        <v>94</v>
      </c>
      <c r="B67" s="2">
        <v>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2.75" customHeight="1">
      <c r="A68" s="1" t="s">
        <v>95</v>
      </c>
      <c r="B68" s="2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2.75" customHeight="1">
      <c r="A69" s="1" t="s">
        <v>96</v>
      </c>
      <c r="B69" s="2">
        <v>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2.75" customHeight="1">
      <c r="A70" s="1" t="s">
        <v>97</v>
      </c>
      <c r="B70" s="2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2.75" customHeight="1">
      <c r="A71" s="1" t="s">
        <v>98</v>
      </c>
      <c r="B71" s="2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2.75" customHeight="1">
      <c r="A72" s="1" t="s">
        <v>99</v>
      </c>
      <c r="B72" s="2">
        <v>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2.75" customHeight="1">
      <c r="A73" s="1" t="s">
        <v>100</v>
      </c>
      <c r="B73" s="2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2.75" customHeight="1">
      <c r="A74" s="1" t="s">
        <v>101</v>
      </c>
      <c r="B74" s="2">
        <v>1.0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2.75" customHeight="1">
      <c r="A75" s="1" t="s">
        <v>102</v>
      </c>
      <c r="B75" s="2">
        <v>1.0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2.75" customHeight="1">
      <c r="A76" s="1" t="s">
        <v>103</v>
      </c>
      <c r="B76" s="2">
        <v>1.0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2.75" customHeight="1">
      <c r="A77" s="1" t="s">
        <v>104</v>
      </c>
      <c r="B77" s="2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2.75" customHeight="1">
      <c r="A78" s="1" t="s">
        <v>105</v>
      </c>
      <c r="B78" s="2">
        <v>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2.75" customHeight="1">
      <c r="A79" s="1" t="s">
        <v>106</v>
      </c>
      <c r="B79" s="2">
        <v>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2.75" customHeight="1">
      <c r="A80" s="1" t="s">
        <v>107</v>
      </c>
      <c r="B80" s="2">
        <v>4.0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2.75" customHeight="1">
      <c r="A81" s="1" t="s">
        <v>108</v>
      </c>
      <c r="B81" s="2">
        <v>4.0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2.75" customHeight="1">
      <c r="A82" s="1" t="s">
        <v>109</v>
      </c>
      <c r="B82" s="2">
        <v>4.0</v>
      </c>
    </row>
    <row r="83" ht="12.75" customHeight="1">
      <c r="A83" s="1" t="s">
        <v>110</v>
      </c>
      <c r="B83" s="2">
        <v>3.0</v>
      </c>
    </row>
    <row r="84" ht="12.75" customHeight="1">
      <c r="A84" s="1" t="s">
        <v>111</v>
      </c>
      <c r="B84" s="2">
        <v>3.0</v>
      </c>
    </row>
    <row r="85" ht="12.75" customHeight="1">
      <c r="A85" s="1" t="s">
        <v>112</v>
      </c>
      <c r="B85" s="2">
        <v>4.0</v>
      </c>
    </row>
    <row r="86" ht="12.75" customHeight="1">
      <c r="A86" s="1" t="s">
        <v>113</v>
      </c>
      <c r="B86" s="2">
        <v>3.0</v>
      </c>
    </row>
    <row r="87" ht="12.75" customHeight="1">
      <c r="A87" s="1" t="s">
        <v>114</v>
      </c>
      <c r="B87" s="2">
        <v>4.0</v>
      </c>
    </row>
    <row r="88" ht="12.75" customHeight="1">
      <c r="A88" s="1" t="s">
        <v>115</v>
      </c>
      <c r="B88" s="2">
        <v>1.0</v>
      </c>
    </row>
    <row r="89" ht="12.75" customHeight="1">
      <c r="A89" s="1" t="s">
        <v>116</v>
      </c>
      <c r="B89" s="2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2">
        <v>4.0</v>
      </c>
      <c r="D1" s="3" t="s">
        <v>1</v>
      </c>
      <c r="E1" s="3">
        <f>SUM(B1:B21)</f>
        <v>61</v>
      </c>
    </row>
    <row r="2" ht="12.75" customHeight="1">
      <c r="A2" s="1" t="s">
        <v>2</v>
      </c>
      <c r="B2" s="12">
        <v>2.0</v>
      </c>
      <c r="D2" s="3" t="s">
        <v>3</v>
      </c>
      <c r="E2" s="3">
        <f>SUM(B22:B45)</f>
        <v>49</v>
      </c>
      <c r="G2" s="5"/>
      <c r="H2" s="5"/>
      <c r="I2" s="5"/>
      <c r="J2" s="6"/>
    </row>
    <row r="3" ht="12.75" customHeight="1">
      <c r="A3" s="1" t="s">
        <v>4</v>
      </c>
      <c r="B3" s="12">
        <v>4.0</v>
      </c>
      <c r="D3" s="3" t="s">
        <v>5</v>
      </c>
      <c r="E3" s="3">
        <f>SUM(B46:B64)</f>
        <v>40</v>
      </c>
      <c r="G3" s="7"/>
      <c r="H3" s="7">
        <f>COUNTIF(B1:B89,"3")</f>
        <v>17</v>
      </c>
      <c r="I3" s="7"/>
      <c r="J3" s="6"/>
    </row>
    <row r="4" ht="12.75" customHeight="1">
      <c r="A4" s="1" t="s">
        <v>6</v>
      </c>
      <c r="B4" s="12">
        <v>2.0</v>
      </c>
      <c r="D4" s="3" t="s">
        <v>7</v>
      </c>
      <c r="E4" s="3">
        <f>SUM(B65:B76)</f>
        <v>27</v>
      </c>
      <c r="G4" s="7"/>
      <c r="H4" s="7">
        <f>COUNTIF(B1:B89,"4")</f>
        <v>16</v>
      </c>
      <c r="I4" s="7"/>
      <c r="J4" s="6"/>
    </row>
    <row r="5" ht="12.75" customHeight="1">
      <c r="A5" s="1" t="s">
        <v>8</v>
      </c>
      <c r="B5" s="12">
        <v>1.0</v>
      </c>
      <c r="D5" s="3" t="s">
        <v>9</v>
      </c>
      <c r="E5" s="3">
        <f>SUM(B77:B89)</f>
        <v>30</v>
      </c>
      <c r="G5" s="7"/>
      <c r="H5" s="7">
        <f>SUM(H3:H4)</f>
        <v>33</v>
      </c>
      <c r="I5" s="7"/>
      <c r="J5" s="6"/>
    </row>
    <row r="6" ht="12.75" customHeight="1">
      <c r="A6" s="1" t="s">
        <v>10</v>
      </c>
      <c r="B6" s="12">
        <v>2.0</v>
      </c>
      <c r="D6" s="3" t="s">
        <v>11</v>
      </c>
      <c r="E6" s="3">
        <f>SUM(B1,B6,B14,B16,B24,B49,B50,B55,B60,B65,B69)</f>
        <v>25</v>
      </c>
      <c r="G6" s="6"/>
      <c r="H6" s="6"/>
      <c r="I6" s="6"/>
      <c r="J6" s="6"/>
    </row>
    <row r="7" ht="12.75" customHeight="1">
      <c r="A7" s="1" t="s">
        <v>12</v>
      </c>
      <c r="B7" s="12">
        <v>3.0</v>
      </c>
      <c r="D7" s="3" t="s">
        <v>13</v>
      </c>
      <c r="E7" s="3">
        <f>SUM(E1:E5)</f>
        <v>207</v>
      </c>
    </row>
    <row r="8" ht="12.75" customHeight="1">
      <c r="A8" s="1" t="s">
        <v>14</v>
      </c>
      <c r="B8" s="12">
        <v>4.0</v>
      </c>
      <c r="D8" s="3" t="s">
        <v>15</v>
      </c>
      <c r="E8" s="3">
        <f>H5</f>
        <v>33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2">
        <v>3.0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2">
        <v>2.0</v>
      </c>
      <c r="D10" s="3" t="s">
        <v>1</v>
      </c>
      <c r="E10" s="3">
        <f>VLOOKUP(E1,H36:P57,9,1)</f>
        <v>90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2">
        <v>4.0</v>
      </c>
      <c r="D11" s="3" t="s">
        <v>3</v>
      </c>
      <c r="E11" s="3">
        <f>VLOOKUP(E2,I37:P57,8,1)</f>
        <v>60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2">
        <v>4.0</v>
      </c>
      <c r="D12" s="3" t="s">
        <v>5</v>
      </c>
      <c r="E12" s="3">
        <f>VLOOKUP(E3,J37:P57,7,1)</f>
        <v>75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2">
        <v>4.0</v>
      </c>
      <c r="D13" s="3" t="s">
        <v>7</v>
      </c>
      <c r="E13" s="3">
        <f>VLOOKUP(E4,K37:P57,6,1)</f>
        <v>85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2">
        <v>3.0</v>
      </c>
      <c r="D14" s="3" t="s">
        <v>9</v>
      </c>
      <c r="E14" s="3">
        <f>VLOOKUP(E5,L37:P57,5,1)</f>
        <v>70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2">
        <v>3.0</v>
      </c>
      <c r="D15" s="3" t="s">
        <v>11</v>
      </c>
      <c r="E15" s="3">
        <f>VLOOKUP(E6,M37:P57,4,1)</f>
        <v>80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2">
        <v>1.0</v>
      </c>
      <c r="D16" s="3" t="s">
        <v>13</v>
      </c>
      <c r="E16" s="3">
        <f>VLOOKUP(E7,N37:P57,3,1)</f>
        <v>80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2">
        <v>4.0</v>
      </c>
      <c r="D17" s="3" t="s">
        <v>15</v>
      </c>
      <c r="E17" s="3">
        <f>VLOOKUP(E8,O37:P57,2,1)</f>
        <v>80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2">
        <v>1.0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2">
        <v>4.0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2">
        <v>2.0</v>
      </c>
    </row>
    <row r="21" ht="12.75" customHeight="1">
      <c r="A21" s="1" t="s">
        <v>34</v>
      </c>
      <c r="B21" s="12">
        <v>4.0</v>
      </c>
      <c r="D21" s="10" t="s">
        <v>1</v>
      </c>
      <c r="E21" s="10" t="str">
        <f>VLOOKUP(E10,D39:E64,2,1)</f>
        <v>LIMITROFE</v>
      </c>
    </row>
    <row r="22" ht="12.75" customHeight="1">
      <c r="A22" s="1" t="s">
        <v>35</v>
      </c>
      <c r="B22" s="12">
        <v>3.0</v>
      </c>
      <c r="D22" s="3" t="s">
        <v>3</v>
      </c>
      <c r="E22" s="3" t="str">
        <f>VLOOKUP(E11,D39:E64,2,1)</f>
        <v>SEM SIGNIFICÂNCIA CLINICA</v>
      </c>
    </row>
    <row r="23" ht="12.75" customHeight="1">
      <c r="A23" s="1" t="s">
        <v>36</v>
      </c>
      <c r="B23" s="12">
        <v>2.0</v>
      </c>
      <c r="D23" s="3" t="s">
        <v>5</v>
      </c>
      <c r="E23" s="3" t="str">
        <f>VLOOKUP(E12,D39:E64,2,1)</f>
        <v>SEM SIGNIFICÂNCIA CLINICA</v>
      </c>
    </row>
    <row r="24" ht="12.75" customHeight="1">
      <c r="A24" s="1" t="s">
        <v>37</v>
      </c>
      <c r="B24" s="12">
        <v>2.0</v>
      </c>
      <c r="D24" s="10" t="s">
        <v>7</v>
      </c>
      <c r="E24" s="10" t="str">
        <f>VLOOKUP(E13,D39:E64,2,1)</f>
        <v>LIMITROFE</v>
      </c>
    </row>
    <row r="25" ht="12.75" customHeight="1">
      <c r="A25" s="1" t="s">
        <v>38</v>
      </c>
      <c r="B25" s="12">
        <v>2.0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12">
        <v>2.0</v>
      </c>
      <c r="D26" s="3" t="s">
        <v>11</v>
      </c>
      <c r="E26" s="3" t="str">
        <f>VLOOKUP(E15,D39:E64,2,1)</f>
        <v>SIGNIFICÂNCIA CLINICA MINIMA</v>
      </c>
    </row>
    <row r="27" ht="12.75" customHeight="1">
      <c r="A27" s="1" t="s">
        <v>40</v>
      </c>
      <c r="B27" s="12">
        <v>2.0</v>
      </c>
      <c r="D27" s="3" t="s">
        <v>13</v>
      </c>
      <c r="E27" s="3" t="str">
        <f>VLOOKUP(E16,D39:E64,2,1)</f>
        <v>SIGNIFICÂNCIA CLINICA MINIMA</v>
      </c>
    </row>
    <row r="28" ht="12.75" customHeight="1">
      <c r="A28" s="1" t="s">
        <v>41</v>
      </c>
      <c r="B28" s="12">
        <v>2.0</v>
      </c>
      <c r="D28" s="3" t="s">
        <v>15</v>
      </c>
      <c r="E28" s="3" t="str">
        <f>VLOOKUP(E17,D39:E64,2,1)</f>
        <v>SIGNIFICÂNCIA CLINICA MINIMA</v>
      </c>
    </row>
    <row r="29" ht="12.75" customHeight="1">
      <c r="A29" s="1" t="s">
        <v>42</v>
      </c>
      <c r="B29" s="12">
        <v>2.0</v>
      </c>
    </row>
    <row r="30" ht="12.75" customHeight="1">
      <c r="A30" s="1" t="s">
        <v>43</v>
      </c>
      <c r="B30" s="12">
        <v>2.0</v>
      </c>
    </row>
    <row r="31" ht="12.75" customHeight="1">
      <c r="A31" s="1" t="s">
        <v>44</v>
      </c>
      <c r="B31" s="12">
        <v>2.0</v>
      </c>
    </row>
    <row r="32" ht="12.75" customHeight="1">
      <c r="A32" s="1" t="s">
        <v>45</v>
      </c>
      <c r="B32" s="12">
        <v>2.0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2.75" customHeight="1">
      <c r="A33" s="1" t="s">
        <v>46</v>
      </c>
      <c r="B33" s="12">
        <v>4.0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2.75" customHeight="1">
      <c r="A34" s="1" t="s">
        <v>47</v>
      </c>
      <c r="B34" s="12">
        <v>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"/>
      <c r="R34" s="1"/>
    </row>
    <row r="35" ht="12.75" customHeight="1">
      <c r="A35" s="1" t="s">
        <v>48</v>
      </c>
      <c r="B35" s="12">
        <v>2.0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"/>
      <c r="R35" s="1"/>
    </row>
    <row r="36" ht="12.75" customHeight="1">
      <c r="A36" s="1" t="s">
        <v>49</v>
      </c>
      <c r="B36" s="12">
        <v>1.0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1"/>
      <c r="R36" s="1"/>
    </row>
    <row r="37" ht="12.75" customHeight="1">
      <c r="A37" s="1" t="s">
        <v>58</v>
      </c>
      <c r="B37" s="12">
        <v>4.0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1"/>
      <c r="R37" s="1"/>
    </row>
    <row r="38" ht="12.75" customHeight="1">
      <c r="A38" s="1" t="s">
        <v>59</v>
      </c>
      <c r="B38" s="12">
        <v>3.0</v>
      </c>
      <c r="D38" s="5"/>
      <c r="E38" s="5"/>
      <c r="F38" s="5"/>
      <c r="G38" s="5"/>
      <c r="H38" s="5">
        <v>26.0</v>
      </c>
      <c r="I38" s="5">
        <v>28.0</v>
      </c>
      <c r="J38" s="5">
        <v>22.0</v>
      </c>
      <c r="K38" s="5">
        <v>12.0</v>
      </c>
      <c r="L38" s="5">
        <v>15.0</v>
      </c>
      <c r="M38" s="5">
        <v>13.0</v>
      </c>
      <c r="N38" s="5">
        <v>112.0</v>
      </c>
      <c r="O38" s="5">
        <v>1.0</v>
      </c>
      <c r="P38" s="5">
        <v>5.0</v>
      </c>
      <c r="Q38" s="1"/>
      <c r="R38" s="1"/>
    </row>
    <row r="39" ht="12.75" customHeight="1">
      <c r="A39" s="1" t="s">
        <v>60</v>
      </c>
      <c r="B39" s="12">
        <v>1.0</v>
      </c>
      <c r="D39" s="5">
        <v>1.0</v>
      </c>
      <c r="E39" s="5" t="s">
        <v>61</v>
      </c>
      <c r="F39" s="5"/>
      <c r="G39" s="5"/>
      <c r="H39" s="5">
        <v>28.0</v>
      </c>
      <c r="I39" s="5">
        <v>31.0</v>
      </c>
      <c r="J39" s="5">
        <v>24.0</v>
      </c>
      <c r="K39" s="5">
        <v>13.0</v>
      </c>
      <c r="L39" s="5">
        <v>17.0</v>
      </c>
      <c r="M39" s="5">
        <v>14.0</v>
      </c>
      <c r="N39" s="5">
        <v>121.0</v>
      </c>
      <c r="O39" s="5">
        <v>2.0</v>
      </c>
      <c r="P39" s="5">
        <v>10.0</v>
      </c>
      <c r="Q39" s="1"/>
      <c r="R39" s="1"/>
    </row>
    <row r="40" ht="12.75" customHeight="1">
      <c r="A40" s="1" t="s">
        <v>62</v>
      </c>
      <c r="B40" s="12">
        <v>2.0</v>
      </c>
      <c r="D40" s="5">
        <v>75.0</v>
      </c>
      <c r="E40" s="5" t="s">
        <v>61</v>
      </c>
      <c r="F40" s="5"/>
      <c r="G40" s="5"/>
      <c r="H40" s="5">
        <v>29.0</v>
      </c>
      <c r="I40" s="5">
        <v>33.0</v>
      </c>
      <c r="J40" s="5">
        <v>25.0</v>
      </c>
      <c r="K40" s="5">
        <v>14.0</v>
      </c>
      <c r="L40" s="5">
        <v>18.0</v>
      </c>
      <c r="M40" s="5">
        <v>15.0</v>
      </c>
      <c r="N40" s="5">
        <v>129.0</v>
      </c>
      <c r="O40" s="5">
        <v>3.0</v>
      </c>
      <c r="P40" s="5">
        <v>15.0</v>
      </c>
      <c r="Q40" s="1"/>
      <c r="R40" s="1"/>
    </row>
    <row r="41" ht="12.75" customHeight="1">
      <c r="A41" s="1" t="s">
        <v>63</v>
      </c>
      <c r="B41" s="12">
        <v>2.0</v>
      </c>
      <c r="D41" s="5">
        <v>76.0</v>
      </c>
      <c r="E41" s="5" t="s">
        <v>64</v>
      </c>
      <c r="F41" s="5"/>
      <c r="G41" s="5"/>
      <c r="H41" s="5">
        <v>31.0</v>
      </c>
      <c r="I41" s="5">
        <v>35.0</v>
      </c>
      <c r="J41" s="5">
        <v>26.0</v>
      </c>
      <c r="K41" s="5">
        <v>14.0</v>
      </c>
      <c r="L41" s="5">
        <v>18.0</v>
      </c>
      <c r="M41" s="5">
        <v>16.0</v>
      </c>
      <c r="N41" s="5">
        <v>135.0</v>
      </c>
      <c r="O41" s="5">
        <v>5.0</v>
      </c>
      <c r="P41" s="5">
        <v>20.0</v>
      </c>
      <c r="Q41" s="1"/>
      <c r="R41" s="1"/>
    </row>
    <row r="42" ht="12.75" customHeight="1">
      <c r="A42" s="1" t="s">
        <v>65</v>
      </c>
      <c r="B42" s="12">
        <v>1.0</v>
      </c>
      <c r="D42" s="5">
        <v>77.0</v>
      </c>
      <c r="E42" s="5" t="s">
        <v>64</v>
      </c>
      <c r="F42" s="5"/>
      <c r="G42" s="5"/>
      <c r="H42" s="5">
        <v>32.0</v>
      </c>
      <c r="I42" s="5">
        <v>37.0</v>
      </c>
      <c r="J42" s="5">
        <v>27.0</v>
      </c>
      <c r="K42" s="5">
        <v>15.0</v>
      </c>
      <c r="L42" s="5">
        <v>20.0</v>
      </c>
      <c r="M42" s="5">
        <v>16.0</v>
      </c>
      <c r="N42" s="5">
        <v>140.0</v>
      </c>
      <c r="O42" s="5">
        <v>6.0</v>
      </c>
      <c r="P42" s="5">
        <v>25.0</v>
      </c>
      <c r="Q42" s="1"/>
      <c r="R42" s="1"/>
    </row>
    <row r="43" ht="12.75" customHeight="1">
      <c r="A43" s="1" t="s">
        <v>66</v>
      </c>
      <c r="B43" s="12">
        <v>3.0</v>
      </c>
      <c r="D43" s="5">
        <v>78.0</v>
      </c>
      <c r="E43" s="5" t="s">
        <v>64</v>
      </c>
      <c r="F43" s="5"/>
      <c r="G43" s="5"/>
      <c r="H43" s="5">
        <v>33.0</v>
      </c>
      <c r="I43" s="5">
        <v>40.0</v>
      </c>
      <c r="J43" s="5">
        <v>28.0</v>
      </c>
      <c r="K43" s="5">
        <v>15.0</v>
      </c>
      <c r="L43" s="5">
        <v>20.0</v>
      </c>
      <c r="M43" s="5">
        <v>17.0</v>
      </c>
      <c r="N43" s="5">
        <v>144.0</v>
      </c>
      <c r="O43" s="5">
        <v>8.0</v>
      </c>
      <c r="P43" s="5">
        <v>30.0</v>
      </c>
      <c r="Q43" s="1"/>
      <c r="R43" s="1"/>
    </row>
    <row r="44" ht="12.75" customHeight="1">
      <c r="A44" s="1" t="s">
        <v>67</v>
      </c>
      <c r="B44" s="12">
        <v>2.0</v>
      </c>
      <c r="D44" s="5">
        <v>79.0</v>
      </c>
      <c r="E44" s="5" t="s">
        <v>64</v>
      </c>
      <c r="F44" s="5"/>
      <c r="G44" s="5"/>
      <c r="H44" s="5">
        <v>35.0</v>
      </c>
      <c r="I44" s="5">
        <v>42.0</v>
      </c>
      <c r="J44" s="5">
        <v>29.0</v>
      </c>
      <c r="K44" s="5">
        <v>16.0</v>
      </c>
      <c r="L44" s="5">
        <v>21.0</v>
      </c>
      <c r="M44" s="5">
        <v>17.0</v>
      </c>
      <c r="N44" s="5">
        <v>150.0</v>
      </c>
      <c r="O44" s="5">
        <v>10.0</v>
      </c>
      <c r="P44" s="5">
        <v>35.0</v>
      </c>
      <c r="Q44" s="1"/>
      <c r="R44" s="1"/>
    </row>
    <row r="45" ht="12.75" customHeight="1">
      <c r="A45" s="1" t="s">
        <v>68</v>
      </c>
      <c r="B45" s="12">
        <v>1.0</v>
      </c>
      <c r="D45" s="5">
        <v>80.0</v>
      </c>
      <c r="E45" s="5" t="s">
        <v>64</v>
      </c>
      <c r="F45" s="5"/>
      <c r="G45" s="5"/>
      <c r="H45" s="5">
        <v>36.0</v>
      </c>
      <c r="I45" s="5">
        <v>44.0</v>
      </c>
      <c r="J45" s="5">
        <v>30.0</v>
      </c>
      <c r="K45" s="5">
        <v>17.0</v>
      </c>
      <c r="L45" s="5">
        <v>22.0</v>
      </c>
      <c r="M45" s="5">
        <v>18.0</v>
      </c>
      <c r="N45" s="5">
        <v>155.0</v>
      </c>
      <c r="O45" s="5">
        <v>12.0</v>
      </c>
      <c r="P45" s="5">
        <v>40.0</v>
      </c>
      <c r="Q45" s="1"/>
      <c r="R45" s="1"/>
    </row>
    <row r="46" ht="12.75" customHeight="1">
      <c r="A46" s="1" t="s">
        <v>69</v>
      </c>
      <c r="B46" s="12">
        <v>2.0</v>
      </c>
      <c r="D46" s="5">
        <v>81.0</v>
      </c>
      <c r="E46" s="5" t="s">
        <v>64</v>
      </c>
      <c r="F46" s="5"/>
      <c r="G46" s="5"/>
      <c r="H46" s="5">
        <v>38.0</v>
      </c>
      <c r="I46" s="5">
        <v>45.0</v>
      </c>
      <c r="J46" s="5">
        <v>31.0</v>
      </c>
      <c r="K46" s="5">
        <v>18.0</v>
      </c>
      <c r="L46" s="5">
        <v>23.0</v>
      </c>
      <c r="M46" s="5">
        <v>19.0</v>
      </c>
      <c r="N46" s="5">
        <v>157.0</v>
      </c>
      <c r="O46" s="5">
        <v>13.0</v>
      </c>
      <c r="P46" s="5">
        <v>45.0</v>
      </c>
      <c r="Q46" s="1"/>
      <c r="R46" s="1"/>
    </row>
    <row r="47" ht="12.75" customHeight="1">
      <c r="A47" s="1" t="s">
        <v>70</v>
      </c>
      <c r="B47" s="12">
        <v>3.0</v>
      </c>
      <c r="D47" s="5">
        <v>82.0</v>
      </c>
      <c r="E47" s="5" t="s">
        <v>64</v>
      </c>
      <c r="F47" s="5"/>
      <c r="G47" s="5"/>
      <c r="H47" s="5">
        <v>39.0</v>
      </c>
      <c r="I47" s="5">
        <v>46.0</v>
      </c>
      <c r="J47" s="5">
        <v>32.0</v>
      </c>
      <c r="K47" s="5">
        <v>18.0</v>
      </c>
      <c r="L47" s="5">
        <v>25.0</v>
      </c>
      <c r="M47" s="5">
        <v>19.0</v>
      </c>
      <c r="N47" s="5">
        <v>161.0</v>
      </c>
      <c r="O47" s="5">
        <v>15.0</v>
      </c>
      <c r="P47" s="5">
        <v>50.0</v>
      </c>
      <c r="Q47" s="1"/>
      <c r="R47" s="1"/>
    </row>
    <row r="48" ht="12.75" customHeight="1">
      <c r="A48" s="1" t="s">
        <v>71</v>
      </c>
      <c r="B48" s="12">
        <v>2.0</v>
      </c>
      <c r="D48" s="5">
        <v>83.0</v>
      </c>
      <c r="E48" s="5" t="s">
        <v>64</v>
      </c>
      <c r="F48" s="5"/>
      <c r="G48" s="5"/>
      <c r="H48" s="5">
        <v>43.0</v>
      </c>
      <c r="I48" s="5">
        <v>48.0</v>
      </c>
      <c r="J48" s="5">
        <v>34.0</v>
      </c>
      <c r="K48" s="5">
        <v>19.0</v>
      </c>
      <c r="L48" s="5">
        <v>26.0</v>
      </c>
      <c r="M48" s="5">
        <v>21.0</v>
      </c>
      <c r="N48" s="5">
        <v>168.0</v>
      </c>
      <c r="O48" s="5">
        <v>18.0</v>
      </c>
      <c r="P48" s="5">
        <v>55.0</v>
      </c>
      <c r="Q48" s="1"/>
      <c r="R48" s="1"/>
    </row>
    <row r="49" ht="12.75" customHeight="1">
      <c r="A49" s="1" t="s">
        <v>72</v>
      </c>
      <c r="B49" s="12">
        <v>2.0</v>
      </c>
      <c r="D49" s="5">
        <v>84.0</v>
      </c>
      <c r="E49" s="5" t="s">
        <v>64</v>
      </c>
      <c r="F49" s="5"/>
      <c r="G49" s="5"/>
      <c r="H49" s="5">
        <v>44.0</v>
      </c>
      <c r="I49" s="5">
        <v>49.0</v>
      </c>
      <c r="J49" s="5">
        <v>35.0</v>
      </c>
      <c r="K49" s="5">
        <v>20.0</v>
      </c>
      <c r="L49" s="5">
        <v>27.0</v>
      </c>
      <c r="M49" s="5">
        <v>21.0</v>
      </c>
      <c r="N49" s="5">
        <v>176.0</v>
      </c>
      <c r="O49" s="5">
        <v>21.0</v>
      </c>
      <c r="P49" s="5">
        <v>60.0</v>
      </c>
      <c r="Q49" s="1"/>
      <c r="R49" s="1"/>
    </row>
    <row r="50" ht="12.75" customHeight="1">
      <c r="A50" s="1" t="s">
        <v>73</v>
      </c>
      <c r="B50" s="12">
        <v>2.0</v>
      </c>
      <c r="D50" s="5">
        <v>85.0</v>
      </c>
      <c r="E50" s="5" t="s">
        <v>74</v>
      </c>
      <c r="F50" s="5"/>
      <c r="G50" s="5"/>
      <c r="H50" s="5">
        <v>47.0</v>
      </c>
      <c r="I50" s="5">
        <v>51.0</v>
      </c>
      <c r="J50" s="5">
        <v>36.0</v>
      </c>
      <c r="K50" s="5">
        <v>21.0</v>
      </c>
      <c r="L50" s="5">
        <v>28.0</v>
      </c>
      <c r="M50" s="5">
        <v>22.0</v>
      </c>
      <c r="N50" s="5">
        <v>183.0</v>
      </c>
      <c r="O50" s="5">
        <v>23.0</v>
      </c>
      <c r="P50" s="5">
        <v>65.0</v>
      </c>
      <c r="Q50" s="1"/>
      <c r="R50" s="1"/>
    </row>
    <row r="51" ht="12.75" customHeight="1">
      <c r="A51" s="1" t="s">
        <v>75</v>
      </c>
      <c r="B51" s="12">
        <v>3.0</v>
      </c>
      <c r="D51" s="5">
        <v>86.0</v>
      </c>
      <c r="E51" s="5" t="s">
        <v>74</v>
      </c>
      <c r="F51" s="5"/>
      <c r="G51" s="5"/>
      <c r="H51" s="5">
        <v>49.0</v>
      </c>
      <c r="I51" s="5">
        <v>53.0</v>
      </c>
      <c r="J51" s="5">
        <v>37.0</v>
      </c>
      <c r="K51" s="5">
        <v>22.0</v>
      </c>
      <c r="L51" s="5">
        <v>30.0</v>
      </c>
      <c r="M51" s="5">
        <v>23.0</v>
      </c>
      <c r="N51" s="5">
        <v>189.0</v>
      </c>
      <c r="O51" s="5">
        <v>27.0</v>
      </c>
      <c r="P51" s="5">
        <v>70.0</v>
      </c>
      <c r="Q51" s="1"/>
      <c r="R51" s="1"/>
    </row>
    <row r="52" ht="12.75" customHeight="1">
      <c r="A52" s="1" t="s">
        <v>76</v>
      </c>
      <c r="B52" s="12">
        <v>1.0</v>
      </c>
      <c r="D52" s="5">
        <v>87.0</v>
      </c>
      <c r="E52" s="5" t="s">
        <v>74</v>
      </c>
      <c r="F52" s="5"/>
      <c r="G52" s="5"/>
      <c r="H52" s="5">
        <v>51.0</v>
      </c>
      <c r="I52" s="5">
        <v>56.0</v>
      </c>
      <c r="J52" s="5">
        <v>39.0</v>
      </c>
      <c r="K52" s="5">
        <v>24.0</v>
      </c>
      <c r="L52" s="5">
        <v>32.0</v>
      </c>
      <c r="M52" s="5">
        <v>24.0</v>
      </c>
      <c r="N52" s="5">
        <v>195.0</v>
      </c>
      <c r="O52" s="5">
        <v>29.0</v>
      </c>
      <c r="P52" s="5">
        <v>75.0</v>
      </c>
      <c r="Q52" s="1"/>
      <c r="R52" s="1"/>
    </row>
    <row r="53" ht="12.75" customHeight="1">
      <c r="A53" s="1" t="s">
        <v>77</v>
      </c>
      <c r="B53" s="12">
        <v>2.0</v>
      </c>
      <c r="D53" s="5">
        <v>88.0</v>
      </c>
      <c r="E53" s="5" t="s">
        <v>74</v>
      </c>
      <c r="F53" s="5"/>
      <c r="G53" s="5"/>
      <c r="H53" s="5">
        <v>55.0</v>
      </c>
      <c r="I53" s="5">
        <v>59.0</v>
      </c>
      <c r="J53" s="5">
        <v>41.0</v>
      </c>
      <c r="K53" s="5">
        <v>25.0</v>
      </c>
      <c r="L53" s="5">
        <v>33.0</v>
      </c>
      <c r="M53" s="5">
        <v>25.0</v>
      </c>
      <c r="N53" s="5">
        <v>203.0</v>
      </c>
      <c r="O53" s="5">
        <v>33.0</v>
      </c>
      <c r="P53" s="5">
        <v>80.0</v>
      </c>
      <c r="Q53" s="1"/>
      <c r="R53" s="1"/>
    </row>
    <row r="54" ht="12.75" customHeight="1">
      <c r="A54" s="1" t="s">
        <v>78</v>
      </c>
      <c r="B54" s="12">
        <v>3.0</v>
      </c>
      <c r="D54" s="5">
        <v>89.0</v>
      </c>
      <c r="E54" s="5" t="s">
        <v>74</v>
      </c>
      <c r="F54" s="5"/>
      <c r="G54" s="5"/>
      <c r="H54" s="5">
        <v>58.0</v>
      </c>
      <c r="I54" s="5">
        <v>62.0</v>
      </c>
      <c r="J54" s="5">
        <v>43.0</v>
      </c>
      <c r="K54" s="5">
        <v>27.0</v>
      </c>
      <c r="L54" s="5">
        <v>36.0</v>
      </c>
      <c r="M54" s="5">
        <v>27.0</v>
      </c>
      <c r="N54" s="5">
        <v>209.0</v>
      </c>
      <c r="O54" s="5">
        <v>36.0</v>
      </c>
      <c r="P54" s="5">
        <v>85.0</v>
      </c>
      <c r="Q54" s="1"/>
      <c r="R54" s="1"/>
    </row>
    <row r="55" ht="12.75" customHeight="1">
      <c r="A55" s="1" t="s">
        <v>79</v>
      </c>
      <c r="B55" s="12">
        <v>2.0</v>
      </c>
      <c r="D55" s="5">
        <v>90.0</v>
      </c>
      <c r="E55" s="5" t="s">
        <v>74</v>
      </c>
      <c r="F55" s="5"/>
      <c r="G55" s="5"/>
      <c r="H55" s="5">
        <v>61.0</v>
      </c>
      <c r="I55" s="5">
        <v>66.0</v>
      </c>
      <c r="J55" s="5">
        <v>46.0</v>
      </c>
      <c r="K55" s="5">
        <v>30.0</v>
      </c>
      <c r="L55" s="5">
        <v>37.0</v>
      </c>
      <c r="M55" s="5">
        <v>28.0</v>
      </c>
      <c r="N55" s="5">
        <v>226.0</v>
      </c>
      <c r="O55" s="5">
        <v>45.0</v>
      </c>
      <c r="P55" s="5">
        <v>90.0</v>
      </c>
      <c r="Q55" s="1"/>
      <c r="R55" s="1"/>
    </row>
    <row r="56" ht="12.75" customHeight="1">
      <c r="A56" s="1" t="s">
        <v>80</v>
      </c>
      <c r="B56" s="12">
        <v>4.0</v>
      </c>
      <c r="D56" s="5">
        <v>91.0</v>
      </c>
      <c r="E56" s="5" t="s">
        <v>74</v>
      </c>
      <c r="F56" s="5"/>
      <c r="G56" s="5"/>
      <c r="H56" s="5">
        <v>67.0</v>
      </c>
      <c r="I56" s="5">
        <v>73.0</v>
      </c>
      <c r="J56" s="5">
        <v>51.0</v>
      </c>
      <c r="K56" s="5">
        <v>35.0</v>
      </c>
      <c r="L56" s="5">
        <v>40.0</v>
      </c>
      <c r="M56" s="5">
        <v>30.0</v>
      </c>
      <c r="N56" s="5">
        <v>247.0</v>
      </c>
      <c r="O56" s="5">
        <v>58.0</v>
      </c>
      <c r="P56" s="5">
        <v>95.0</v>
      </c>
      <c r="Q56" s="1"/>
      <c r="R56" s="1"/>
    </row>
    <row r="57" ht="12.75" customHeight="1">
      <c r="A57" s="1" t="s">
        <v>81</v>
      </c>
      <c r="B57" s="12">
        <v>1.0</v>
      </c>
      <c r="D57" s="5">
        <v>92.0</v>
      </c>
      <c r="E57" s="5" t="s">
        <v>74</v>
      </c>
      <c r="F57" s="5"/>
      <c r="G57" s="5"/>
      <c r="H57" s="5">
        <v>76.0</v>
      </c>
      <c r="I57" s="5">
        <v>84.0</v>
      </c>
      <c r="J57" s="5">
        <v>61.0</v>
      </c>
      <c r="K57" s="5">
        <v>45.0</v>
      </c>
      <c r="L57" s="5">
        <v>49.0</v>
      </c>
      <c r="M57" s="5">
        <v>38.0</v>
      </c>
      <c r="N57" s="5">
        <v>282.0</v>
      </c>
      <c r="O57" s="5">
        <v>67.0</v>
      </c>
      <c r="P57" s="5">
        <v>99.0</v>
      </c>
      <c r="Q57" s="1"/>
      <c r="R57" s="1"/>
    </row>
    <row r="58" ht="12.75" customHeight="1">
      <c r="A58" s="1" t="s">
        <v>82</v>
      </c>
      <c r="B58" s="12">
        <v>1.0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</row>
    <row r="59" ht="12.75" customHeight="1">
      <c r="A59" s="1" t="s">
        <v>84</v>
      </c>
      <c r="B59" s="12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2.75" customHeight="1">
      <c r="A60" s="1" t="s">
        <v>85</v>
      </c>
      <c r="B60" s="12">
        <v>4.0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2.75" customHeight="1">
      <c r="A61" s="1" t="s">
        <v>86</v>
      </c>
      <c r="B61" s="12">
        <v>2.0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2.75" customHeight="1">
      <c r="A62" s="1" t="s">
        <v>88</v>
      </c>
      <c r="B62" s="12">
        <v>3.0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2.75" customHeight="1">
      <c r="A63" s="1" t="s">
        <v>89</v>
      </c>
      <c r="B63" s="12">
        <v>1.0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2.75" customHeight="1">
      <c r="A64" s="1" t="s">
        <v>90</v>
      </c>
      <c r="B64" s="12">
        <v>1.0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2.75" customHeight="1">
      <c r="A65" s="1" t="s">
        <v>92</v>
      </c>
      <c r="B65" s="12">
        <v>2.0</v>
      </c>
    </row>
    <row r="66" ht="12.75" customHeight="1">
      <c r="A66" s="1" t="s">
        <v>93</v>
      </c>
      <c r="B66" s="12">
        <v>3.0</v>
      </c>
    </row>
    <row r="67" ht="12.75" customHeight="1">
      <c r="A67" s="1" t="s">
        <v>94</v>
      </c>
      <c r="B67" s="12">
        <v>4.0</v>
      </c>
    </row>
    <row r="68" ht="12.75" customHeight="1">
      <c r="A68" s="1" t="s">
        <v>95</v>
      </c>
      <c r="B68" s="12">
        <v>1.0</v>
      </c>
    </row>
    <row r="69" ht="12.75" customHeight="1">
      <c r="A69" s="1" t="s">
        <v>96</v>
      </c>
      <c r="B69" s="12">
        <v>1.0</v>
      </c>
    </row>
    <row r="70" ht="12.75" customHeight="1">
      <c r="A70" s="1" t="s">
        <v>97</v>
      </c>
      <c r="B70" s="12">
        <v>2.0</v>
      </c>
    </row>
    <row r="71" ht="12.75" customHeight="1">
      <c r="A71" s="1" t="s">
        <v>98</v>
      </c>
      <c r="B71" s="12">
        <v>4.0</v>
      </c>
    </row>
    <row r="72" ht="12.75" customHeight="1">
      <c r="A72" s="1" t="s">
        <v>99</v>
      </c>
      <c r="B72" s="12">
        <v>1.0</v>
      </c>
    </row>
    <row r="73" ht="12.75" customHeight="1">
      <c r="A73" s="1" t="s">
        <v>100</v>
      </c>
      <c r="B73" s="12">
        <v>1.0</v>
      </c>
    </row>
    <row r="74" ht="12.75" customHeight="1">
      <c r="A74" s="1" t="s">
        <v>101</v>
      </c>
      <c r="B74" s="12">
        <v>4.0</v>
      </c>
    </row>
    <row r="75" ht="12.75" customHeight="1">
      <c r="A75" s="1" t="s">
        <v>102</v>
      </c>
      <c r="B75" s="12">
        <v>2.0</v>
      </c>
    </row>
    <row r="76" ht="12.75" customHeight="1">
      <c r="A76" s="1" t="s">
        <v>103</v>
      </c>
      <c r="B76" s="12">
        <v>2.0</v>
      </c>
    </row>
    <row r="77" ht="12.75" customHeight="1">
      <c r="A77" s="1" t="s">
        <v>104</v>
      </c>
      <c r="B77" s="12">
        <v>3.0</v>
      </c>
    </row>
    <row r="78" ht="12.75" customHeight="1">
      <c r="A78" s="1" t="s">
        <v>105</v>
      </c>
      <c r="B78" s="12">
        <v>2.0</v>
      </c>
    </row>
    <row r="79" ht="12.75" customHeight="1">
      <c r="A79" s="1" t="s">
        <v>106</v>
      </c>
      <c r="B79" s="12">
        <v>2.0</v>
      </c>
    </row>
    <row r="80" ht="12.75" customHeight="1">
      <c r="A80" s="1" t="s">
        <v>107</v>
      </c>
      <c r="B80" s="12">
        <v>2.0</v>
      </c>
    </row>
    <row r="81" ht="12.75" customHeight="1">
      <c r="A81" s="1" t="s">
        <v>108</v>
      </c>
      <c r="B81" s="12">
        <v>2.0</v>
      </c>
    </row>
    <row r="82" ht="12.75" customHeight="1">
      <c r="A82" s="1" t="s">
        <v>109</v>
      </c>
      <c r="B82" s="12">
        <v>1.0</v>
      </c>
    </row>
    <row r="83" ht="12.75" customHeight="1">
      <c r="A83" s="1" t="s">
        <v>110</v>
      </c>
      <c r="B83" s="12">
        <v>3.0</v>
      </c>
    </row>
    <row r="84" ht="12.75" customHeight="1">
      <c r="A84" s="1" t="s">
        <v>111</v>
      </c>
      <c r="B84" s="12">
        <v>3.0</v>
      </c>
    </row>
    <row r="85" ht="12.75" customHeight="1">
      <c r="A85" s="1" t="s">
        <v>112</v>
      </c>
      <c r="B85" s="12">
        <v>2.0</v>
      </c>
    </row>
    <row r="86" ht="12.75" customHeight="1">
      <c r="A86" s="1" t="s">
        <v>113</v>
      </c>
      <c r="B86" s="12">
        <v>2.0</v>
      </c>
    </row>
    <row r="87" ht="12.75" customHeight="1">
      <c r="A87" s="1" t="s">
        <v>114</v>
      </c>
      <c r="B87" s="12">
        <v>3.0</v>
      </c>
    </row>
    <row r="88" ht="12.75" customHeight="1">
      <c r="A88" s="1" t="s">
        <v>115</v>
      </c>
      <c r="B88" s="12">
        <v>2.0</v>
      </c>
    </row>
    <row r="89" ht="12.75" customHeight="1">
      <c r="A89" s="1" t="s">
        <v>116</v>
      </c>
      <c r="B89" s="12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4">
        <v>31.0</v>
      </c>
    </row>
    <row r="2" ht="12.75" customHeight="1">
      <c r="A2" s="1" t="s">
        <v>2</v>
      </c>
      <c r="B2" s="1">
        <v>3.0</v>
      </c>
      <c r="D2" s="3" t="s">
        <v>3</v>
      </c>
      <c r="E2" s="4">
        <v>35.0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4">
        <v>46.0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4">
        <v>13.0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4">
        <v>20.0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4">
        <v>20.0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4">
        <v>117.0</v>
      </c>
    </row>
    <row r="8" ht="12.75" customHeight="1">
      <c r="A8" s="1" t="s">
        <v>14</v>
      </c>
      <c r="B8" s="1">
        <v>4.0</v>
      </c>
      <c r="D8" s="3" t="s">
        <v>15</v>
      </c>
      <c r="E8" s="4">
        <v>59.0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55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55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35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60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85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35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SEM SIGNIFICÂNCIA CLINICA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SEM SIGNIFICÂNCIA CLINICA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LEVE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SEM SIGNIFICÂNCIA CLINICA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SEM SIGNIFICÂNCIA CLINICA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LIMITROFE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SEM SIGNIFICÂNCIA CLINICA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</row>
    <row r="30" ht="12.75" customHeight="1">
      <c r="A30" s="1" t="s">
        <v>43</v>
      </c>
      <c r="B30" s="1">
        <v>4.0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2.75" customHeight="1">
      <c r="A31" s="1" t="s">
        <v>44</v>
      </c>
      <c r="B31" s="1">
        <v>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2.75" customHeight="1">
      <c r="A32" s="1" t="s">
        <v>45</v>
      </c>
      <c r="B32" s="1">
        <v>3.0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2.75" customHeight="1">
      <c r="A33" s="1" t="s">
        <v>46</v>
      </c>
      <c r="B33" s="1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"/>
    </row>
    <row r="34" ht="12.75" customHeight="1">
      <c r="A34" s="1" t="s">
        <v>47</v>
      </c>
      <c r="B34" s="1">
        <v>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21.0</v>
      </c>
      <c r="I38" s="5">
        <v>24.0</v>
      </c>
      <c r="J38" s="5">
        <v>21.0</v>
      </c>
      <c r="K38" s="5">
        <v>12.0</v>
      </c>
      <c r="L38" s="5">
        <v>13.0</v>
      </c>
      <c r="M38" s="5">
        <v>11.0</v>
      </c>
      <c r="N38" s="5">
        <v>96.0</v>
      </c>
      <c r="O38" s="5">
        <v>0.0</v>
      </c>
      <c r="P38" s="5">
        <v>5.0</v>
      </c>
      <c r="Q38" s="5"/>
      <c r="R38" s="1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22.0</v>
      </c>
      <c r="I39" s="5">
        <v>25.0</v>
      </c>
      <c r="J39" s="5">
        <v>22.0</v>
      </c>
      <c r="K39" s="5">
        <v>12.0</v>
      </c>
      <c r="L39" s="5">
        <v>14.0</v>
      </c>
      <c r="M39" s="5">
        <v>12.0</v>
      </c>
      <c r="N39" s="5">
        <v>101.0</v>
      </c>
      <c r="O39" s="5">
        <v>0.0</v>
      </c>
      <c r="P39" s="5">
        <v>10.0</v>
      </c>
      <c r="Q39" s="5"/>
      <c r="R39" s="1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23.0</v>
      </c>
      <c r="I40" s="5">
        <v>26.0</v>
      </c>
      <c r="J40" s="5">
        <v>22.0</v>
      </c>
      <c r="K40" s="5">
        <v>12.0</v>
      </c>
      <c r="L40" s="5">
        <v>15.0</v>
      </c>
      <c r="M40" s="5">
        <v>13.0</v>
      </c>
      <c r="N40" s="5">
        <v>103.0</v>
      </c>
      <c r="O40" s="5">
        <v>0.0</v>
      </c>
      <c r="P40" s="5">
        <v>15.0</v>
      </c>
      <c r="Q40" s="5"/>
      <c r="R40" s="1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24.0</v>
      </c>
      <c r="I41" s="5">
        <v>27.0</v>
      </c>
      <c r="J41" s="5">
        <v>23.0</v>
      </c>
      <c r="K41" s="5">
        <v>12.0</v>
      </c>
      <c r="L41" s="5">
        <v>15.0</v>
      </c>
      <c r="M41" s="5">
        <v>13.0</v>
      </c>
      <c r="N41" s="5">
        <v>106.0</v>
      </c>
      <c r="O41" s="5">
        <v>0.0</v>
      </c>
      <c r="P41" s="5">
        <v>20.0</v>
      </c>
      <c r="Q41" s="5"/>
      <c r="R41" s="1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24.0</v>
      </c>
      <c r="I42" s="5">
        <v>28.0</v>
      </c>
      <c r="J42" s="5">
        <v>24.0</v>
      </c>
      <c r="K42" s="5">
        <v>13.0</v>
      </c>
      <c r="L42" s="5">
        <v>16.0</v>
      </c>
      <c r="M42" s="5">
        <v>13.0</v>
      </c>
      <c r="N42" s="5">
        <v>109.0</v>
      </c>
      <c r="O42" s="5">
        <v>0.0</v>
      </c>
      <c r="P42" s="5">
        <v>25.0</v>
      </c>
      <c r="Q42" s="5"/>
      <c r="R42" s="1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25.0</v>
      </c>
      <c r="I43" s="5">
        <v>28.0</v>
      </c>
      <c r="J43" s="5">
        <v>25.0</v>
      </c>
      <c r="K43" s="5">
        <v>13.0</v>
      </c>
      <c r="L43" s="5">
        <v>16.0</v>
      </c>
      <c r="M43" s="5">
        <v>14.0</v>
      </c>
      <c r="N43" s="5">
        <v>113.0</v>
      </c>
      <c r="O43" s="5">
        <v>0.0</v>
      </c>
      <c r="P43" s="5">
        <v>30.0</v>
      </c>
      <c r="Q43" s="5"/>
      <c r="R43" s="1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26.0</v>
      </c>
      <c r="I44" s="5">
        <v>29.0</v>
      </c>
      <c r="J44" s="5">
        <v>26.0</v>
      </c>
      <c r="K44" s="5">
        <v>13.0</v>
      </c>
      <c r="L44" s="5">
        <v>17.0</v>
      </c>
      <c r="M44" s="5">
        <v>14.0</v>
      </c>
      <c r="N44" s="5">
        <v>115.0</v>
      </c>
      <c r="O44" s="5">
        <v>0.0</v>
      </c>
      <c r="P44" s="5">
        <v>35.0</v>
      </c>
      <c r="Q44" s="5"/>
      <c r="R44" s="1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27.0</v>
      </c>
      <c r="I45" s="5">
        <v>30.0</v>
      </c>
      <c r="J45" s="5">
        <v>26.0</v>
      </c>
      <c r="K45" s="5">
        <v>14.0</v>
      </c>
      <c r="L45" s="5">
        <v>18.0</v>
      </c>
      <c r="M45" s="5">
        <v>15.0</v>
      </c>
      <c r="N45" s="5">
        <v>119.0</v>
      </c>
      <c r="O45" s="5">
        <v>0.0</v>
      </c>
      <c r="P45" s="5">
        <v>40.0</v>
      </c>
      <c r="Q45" s="5"/>
      <c r="R45" s="1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28.0</v>
      </c>
      <c r="I46" s="5">
        <v>31.0</v>
      </c>
      <c r="J46" s="5">
        <v>27.0</v>
      </c>
      <c r="K46" s="5">
        <v>14.0</v>
      </c>
      <c r="L46" s="5">
        <v>18.0</v>
      </c>
      <c r="M46" s="5">
        <v>15.0</v>
      </c>
      <c r="N46" s="5">
        <v>121.0</v>
      </c>
      <c r="O46" s="5">
        <v>1.0</v>
      </c>
      <c r="P46" s="5">
        <v>45.0</v>
      </c>
      <c r="Q46" s="5"/>
      <c r="R46" s="1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30.0</v>
      </c>
      <c r="I47" s="5">
        <v>32.0</v>
      </c>
      <c r="J47" s="5">
        <v>28.0</v>
      </c>
      <c r="K47" s="5">
        <v>14.0</v>
      </c>
      <c r="L47" s="5">
        <v>19.0</v>
      </c>
      <c r="M47" s="5">
        <v>15.0</v>
      </c>
      <c r="N47" s="5">
        <v>125.0</v>
      </c>
      <c r="O47" s="5">
        <v>1.0</v>
      </c>
      <c r="P47" s="5">
        <v>50.0</v>
      </c>
      <c r="Q47" s="5"/>
      <c r="R47" s="1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31.0</v>
      </c>
      <c r="I48" s="5">
        <v>33.0</v>
      </c>
      <c r="J48" s="5">
        <v>28.0</v>
      </c>
      <c r="K48" s="5">
        <v>15.0</v>
      </c>
      <c r="L48" s="5">
        <v>19.0</v>
      </c>
      <c r="M48" s="5">
        <v>16.0</v>
      </c>
      <c r="N48" s="5">
        <v>127.0</v>
      </c>
      <c r="O48" s="5">
        <v>2.0</v>
      </c>
      <c r="P48" s="5">
        <v>55.0</v>
      </c>
      <c r="Q48" s="5"/>
      <c r="R48" s="1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32.0</v>
      </c>
      <c r="I49" s="5">
        <v>36.0</v>
      </c>
      <c r="J49" s="5">
        <v>29.0</v>
      </c>
      <c r="K49" s="5">
        <v>15.0</v>
      </c>
      <c r="L49" s="5">
        <v>20.0</v>
      </c>
      <c r="M49" s="5">
        <v>16.0</v>
      </c>
      <c r="N49" s="5">
        <v>131.0</v>
      </c>
      <c r="O49" s="5">
        <v>3.0</v>
      </c>
      <c r="P49" s="5">
        <v>60.0</v>
      </c>
      <c r="Q49" s="5"/>
      <c r="R49" s="1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33.0</v>
      </c>
      <c r="I50" s="5">
        <v>37.0</v>
      </c>
      <c r="J50" s="5">
        <v>29.0</v>
      </c>
      <c r="K50" s="5">
        <v>15.0</v>
      </c>
      <c r="L50" s="5">
        <v>21.0</v>
      </c>
      <c r="M50" s="5">
        <v>16.0</v>
      </c>
      <c r="N50" s="5">
        <v>135.0</v>
      </c>
      <c r="O50" s="5">
        <v>4.0</v>
      </c>
      <c r="P50" s="5">
        <v>65.0</v>
      </c>
      <c r="Q50" s="5"/>
      <c r="R50" s="1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34.0</v>
      </c>
      <c r="I51" s="5">
        <v>41.0</v>
      </c>
      <c r="J51" s="5">
        <v>30.0</v>
      </c>
      <c r="K51" s="5">
        <v>17.0</v>
      </c>
      <c r="L51" s="5">
        <v>22.0</v>
      </c>
      <c r="M51" s="5">
        <v>17.0</v>
      </c>
      <c r="N51" s="5">
        <v>141.0</v>
      </c>
      <c r="O51" s="5">
        <v>4.0</v>
      </c>
      <c r="P51" s="5">
        <v>70.0</v>
      </c>
      <c r="Q51" s="5"/>
      <c r="R51" s="1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36.0</v>
      </c>
      <c r="I52" s="5">
        <v>43.0</v>
      </c>
      <c r="J52" s="5">
        <v>31.0</v>
      </c>
      <c r="K52" s="5">
        <v>17.0</v>
      </c>
      <c r="L52" s="5">
        <v>24.0</v>
      </c>
      <c r="M52" s="5">
        <v>18.0</v>
      </c>
      <c r="N52" s="5">
        <v>146.0</v>
      </c>
      <c r="O52" s="5">
        <v>7.0</v>
      </c>
      <c r="P52" s="5">
        <v>75.0</v>
      </c>
      <c r="Q52" s="5"/>
      <c r="R52" s="1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36.0</v>
      </c>
      <c r="I53" s="5">
        <v>43.0</v>
      </c>
      <c r="J53" s="5">
        <v>32.0</v>
      </c>
      <c r="K53" s="5">
        <v>18.0</v>
      </c>
      <c r="L53" s="5">
        <v>25.0</v>
      </c>
      <c r="M53" s="5">
        <v>18.0</v>
      </c>
      <c r="N53" s="5">
        <v>151.0</v>
      </c>
      <c r="O53" s="5">
        <v>8.0</v>
      </c>
      <c r="P53" s="5">
        <v>80.0</v>
      </c>
      <c r="Q53" s="5"/>
      <c r="R53" s="1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38.0</v>
      </c>
      <c r="I54" s="5">
        <v>45.0</v>
      </c>
      <c r="J54" s="5">
        <v>35.0</v>
      </c>
      <c r="K54" s="5">
        <v>18.0</v>
      </c>
      <c r="L54" s="5">
        <v>26.0</v>
      </c>
      <c r="M54" s="5">
        <v>19.0</v>
      </c>
      <c r="N54" s="5">
        <v>155.0</v>
      </c>
      <c r="O54" s="5">
        <v>11.0</v>
      </c>
      <c r="P54" s="5">
        <v>85.0</v>
      </c>
      <c r="Q54" s="5"/>
      <c r="R54" s="1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40.0</v>
      </c>
      <c r="I55" s="5">
        <v>53.0</v>
      </c>
      <c r="J55" s="5">
        <v>37.0</v>
      </c>
      <c r="K55" s="5">
        <v>20.0</v>
      </c>
      <c r="L55" s="5">
        <v>26.0</v>
      </c>
      <c r="M55" s="5">
        <v>21.0</v>
      </c>
      <c r="N55" s="5">
        <v>170.0</v>
      </c>
      <c r="O55" s="5">
        <v>23.0</v>
      </c>
      <c r="P55" s="5">
        <v>90.0</v>
      </c>
      <c r="Q55" s="5"/>
      <c r="R55" s="1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48.0</v>
      </c>
      <c r="I56" s="5">
        <v>60.0</v>
      </c>
      <c r="J56" s="5">
        <v>46.0</v>
      </c>
      <c r="K56" s="5">
        <v>23.0</v>
      </c>
      <c r="L56" s="5">
        <v>28.0</v>
      </c>
      <c r="M56" s="5">
        <v>22.0</v>
      </c>
      <c r="N56" s="5">
        <v>199.0</v>
      </c>
      <c r="O56" s="5">
        <v>30.0</v>
      </c>
      <c r="P56" s="5">
        <v>95.0</v>
      </c>
      <c r="Q56" s="5"/>
      <c r="R56" s="1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49.0</v>
      </c>
      <c r="I57" s="5">
        <v>61.0</v>
      </c>
      <c r="J57" s="5">
        <v>47.0</v>
      </c>
      <c r="K57" s="5">
        <v>24.0</v>
      </c>
      <c r="L57" s="5">
        <v>29.0</v>
      </c>
      <c r="M57" s="5">
        <v>23.0</v>
      </c>
      <c r="N57" s="5">
        <v>200.0</v>
      </c>
      <c r="O57" s="5">
        <v>31.0</v>
      </c>
      <c r="P57" s="5">
        <v>99.0</v>
      </c>
      <c r="Q57" s="5"/>
      <c r="R57" s="1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2.75" customHeight="1">
      <c r="A71" s="1" t="s">
        <v>98</v>
      </c>
      <c r="B71" s="1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2.75" customHeight="1">
      <c r="A72" s="1" t="s">
        <v>99</v>
      </c>
      <c r="B72" s="1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2.75" customHeight="1">
      <c r="A73" s="1" t="s">
        <v>100</v>
      </c>
      <c r="B73" s="1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2.75" customHeight="1">
      <c r="A74" s="1" t="s">
        <v>101</v>
      </c>
      <c r="B74" s="1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2.75" customHeight="1">
      <c r="A75" s="1" t="s">
        <v>102</v>
      </c>
      <c r="B75" s="1">
        <v>3.0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2.75" customHeight="1">
      <c r="A76" s="1" t="s">
        <v>103</v>
      </c>
      <c r="B76" s="1">
        <v>3.0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2.75" customHeight="1">
      <c r="A77" s="1" t="s">
        <v>104</v>
      </c>
      <c r="B77" s="1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2.75" customHeight="1">
      <c r="A78" s="1" t="s">
        <v>105</v>
      </c>
      <c r="B78" s="1">
        <v>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2.75" customHeight="1">
      <c r="A79" s="1" t="s">
        <v>106</v>
      </c>
      <c r="B79" s="1">
        <v>2.0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2.75" customHeight="1">
      <c r="A80" s="1" t="s">
        <v>107</v>
      </c>
      <c r="B80" s="1">
        <v>3.0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2.75" customHeight="1">
      <c r="A81" s="1" t="s">
        <v>108</v>
      </c>
      <c r="B81" s="1">
        <v>3.0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1.0</v>
      </c>
      <c r="D1" s="3" t="s">
        <v>1</v>
      </c>
      <c r="E1" s="3">
        <f>SUM(B1:B21)</f>
        <v>21</v>
      </c>
    </row>
    <row r="2" ht="12.75" customHeight="1">
      <c r="A2" s="1" t="s">
        <v>2</v>
      </c>
      <c r="B2" s="1">
        <v>1.0</v>
      </c>
      <c r="D2" s="3" t="s">
        <v>3</v>
      </c>
      <c r="E2" s="3">
        <f>SUM(B22:B45)</f>
        <v>35</v>
      </c>
      <c r="G2" s="5"/>
      <c r="H2" s="5"/>
      <c r="I2" s="5"/>
      <c r="J2" s="6"/>
    </row>
    <row r="3" ht="12.75" customHeight="1">
      <c r="A3" s="1" t="s">
        <v>4</v>
      </c>
      <c r="B3" s="1">
        <v>1.0</v>
      </c>
      <c r="D3" s="3" t="s">
        <v>5</v>
      </c>
      <c r="E3" s="3">
        <f>SUM(B46:B64)</f>
        <v>54</v>
      </c>
      <c r="G3" s="7"/>
      <c r="H3" s="7">
        <f>COUNTIF(B1:B89,"3")</f>
        <v>33</v>
      </c>
      <c r="I3" s="7"/>
      <c r="J3" s="6"/>
    </row>
    <row r="4" ht="12.75" customHeight="1">
      <c r="A4" s="1" t="s">
        <v>6</v>
      </c>
      <c r="B4" s="1">
        <v>1.0</v>
      </c>
      <c r="D4" s="3" t="s">
        <v>7</v>
      </c>
      <c r="E4" s="3">
        <f>SUM(B65:B76)</f>
        <v>30</v>
      </c>
      <c r="G4" s="7"/>
      <c r="H4" s="7">
        <f>COUNTIF(B1:B89,"4")</f>
        <v>6</v>
      </c>
      <c r="I4" s="7"/>
      <c r="J4" s="6"/>
    </row>
    <row r="5" ht="12.75" customHeight="1">
      <c r="A5" s="1" t="s">
        <v>8</v>
      </c>
      <c r="B5" s="1">
        <v>1.0</v>
      </c>
      <c r="D5" s="3" t="s">
        <v>9</v>
      </c>
      <c r="E5" s="3">
        <f>SUM(B77:B89)</f>
        <v>40</v>
      </c>
      <c r="G5" s="7"/>
      <c r="H5" s="7">
        <f>SUM(H3:H4)</f>
        <v>39</v>
      </c>
      <c r="I5" s="7"/>
      <c r="J5" s="6"/>
    </row>
    <row r="6" ht="12.75" customHeight="1">
      <c r="A6" s="1" t="s">
        <v>10</v>
      </c>
      <c r="B6" s="1">
        <v>1.0</v>
      </c>
      <c r="D6" s="3" t="s">
        <v>11</v>
      </c>
      <c r="E6" s="3">
        <f>SUM(B1,B6,B14,B16,B24,B49,B50,B55,B60,B65,B69)</f>
        <v>22</v>
      </c>
      <c r="G6" s="6"/>
      <c r="H6" s="6"/>
      <c r="I6" s="6"/>
      <c r="J6" s="6"/>
    </row>
    <row r="7" ht="12.75" customHeight="1">
      <c r="A7" s="1" t="s">
        <v>12</v>
      </c>
      <c r="B7" s="1">
        <v>1.0</v>
      </c>
      <c r="D7" s="3" t="s">
        <v>13</v>
      </c>
      <c r="E7" s="3">
        <f>SUM(E1:E5)</f>
        <v>180</v>
      </c>
    </row>
    <row r="8" ht="12.75" customHeight="1">
      <c r="A8" s="1" t="s">
        <v>14</v>
      </c>
      <c r="B8" s="1">
        <v>1.0</v>
      </c>
      <c r="D8" s="3" t="s">
        <v>15</v>
      </c>
      <c r="E8" s="3">
        <f>H5</f>
        <v>39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1.0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1.0</v>
      </c>
      <c r="D10" s="3" t="s">
        <v>1</v>
      </c>
      <c r="E10" s="3">
        <f>VLOOKUP(E1,H36:P57,9,1)</f>
        <v>1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1.0</v>
      </c>
      <c r="D11" s="3" t="s">
        <v>3</v>
      </c>
      <c r="E11" s="3">
        <f>VLOOKUP(E2,I37:P57,8,1)</f>
        <v>50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1.0</v>
      </c>
      <c r="D12" s="3" t="s">
        <v>5</v>
      </c>
      <c r="E12" s="3">
        <f>VLOOKUP(E3,J37:P57,7,1)</f>
        <v>95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1.0</v>
      </c>
      <c r="D13" s="3" t="s">
        <v>7</v>
      </c>
      <c r="E13" s="3">
        <f>VLOOKUP(E4,K37:P57,6,1)</f>
        <v>95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1.0</v>
      </c>
      <c r="D14" s="3" t="s">
        <v>9</v>
      </c>
      <c r="E14" s="3">
        <f>VLOOKUP(E5,L37:P57,5,1)</f>
        <v>95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1.0</v>
      </c>
      <c r="D15" s="3" t="s">
        <v>11</v>
      </c>
      <c r="E15" s="3">
        <f>VLOOKUP(E6,M37:P57,4,1)</f>
        <v>85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1.0</v>
      </c>
      <c r="D16" s="3" t="s">
        <v>13</v>
      </c>
      <c r="E16" s="3">
        <f>VLOOKUP(E7,N37:P57,3,1)</f>
        <v>85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1.0</v>
      </c>
      <c r="D17" s="3" t="s">
        <v>15</v>
      </c>
      <c r="E17" s="3">
        <f>VLOOKUP(E8,O37:P57,2,1)</f>
        <v>90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1.0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1.0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1.0</v>
      </c>
    </row>
    <row r="21" ht="12.75" customHeight="1">
      <c r="A21" s="1" t="s">
        <v>34</v>
      </c>
      <c r="B21" s="1">
        <v>1.0</v>
      </c>
      <c r="D21" s="3" t="s">
        <v>1</v>
      </c>
      <c r="E21" s="3" t="str">
        <f>VLOOKUP(E10,D39:E64,2,1)</f>
        <v>SEM SIGNIFICÂNCIA CLINICA</v>
      </c>
    </row>
    <row r="22" ht="12.75" customHeight="1">
      <c r="A22" s="1" t="s">
        <v>35</v>
      </c>
      <c r="B22" s="1">
        <v>1.0</v>
      </c>
      <c r="D22" s="3" t="s">
        <v>3</v>
      </c>
      <c r="E22" s="3" t="str">
        <f>VLOOKUP(E11,D39:E64,2,1)</f>
        <v>SEM SIGNIFICÂNCIA CLINICA</v>
      </c>
    </row>
    <row r="23" ht="12.75" customHeight="1">
      <c r="A23" s="1" t="s">
        <v>36</v>
      </c>
      <c r="B23" s="1">
        <v>1.0</v>
      </c>
      <c r="D23" s="3" t="s">
        <v>5</v>
      </c>
      <c r="E23" s="3" t="str">
        <f>VLOOKUP(E12,D39:E64,2,1)</f>
        <v>DEFICIÊNCIA LEVE</v>
      </c>
    </row>
    <row r="24" ht="12.75" customHeight="1">
      <c r="A24" s="1" t="s">
        <v>37</v>
      </c>
      <c r="B24" s="1">
        <v>1.0</v>
      </c>
      <c r="D24" s="3" t="s">
        <v>7</v>
      </c>
      <c r="E24" s="3" t="str">
        <f>VLOOKUP(E13,D39:E64,2,1)</f>
        <v>DEFICIÊNCIA LEVE</v>
      </c>
    </row>
    <row r="25" ht="12.75" customHeight="1">
      <c r="A25" s="1" t="s">
        <v>38</v>
      </c>
      <c r="B25" s="1">
        <v>1.0</v>
      </c>
      <c r="D25" s="3" t="s">
        <v>9</v>
      </c>
      <c r="E25" s="3" t="str">
        <f>VLOOKUP(E14,D39:E64,2,1)</f>
        <v>DEFICIÊNCIA LEVE</v>
      </c>
    </row>
    <row r="26" ht="12.75" customHeight="1">
      <c r="A26" s="1" t="s">
        <v>39</v>
      </c>
      <c r="B26" s="1">
        <v>1.0</v>
      </c>
      <c r="D26" s="3" t="s">
        <v>11</v>
      </c>
      <c r="E26" s="3" t="str">
        <f>VLOOKUP(E15,D39:E64,2,1)</f>
        <v>LIMITROFE</v>
      </c>
    </row>
    <row r="27" ht="12.75" customHeight="1">
      <c r="A27" s="1" t="s">
        <v>40</v>
      </c>
      <c r="B27" s="1">
        <v>1.0</v>
      </c>
      <c r="D27" s="3" t="s">
        <v>13</v>
      </c>
      <c r="E27" s="3" t="str">
        <f>VLOOKUP(E16,D39:E64,2,1)</f>
        <v>LIMITROFE</v>
      </c>
    </row>
    <row r="28" ht="12.75" customHeight="1">
      <c r="A28" s="1" t="s">
        <v>41</v>
      </c>
      <c r="B28" s="1">
        <v>1.0</v>
      </c>
      <c r="D28" s="3" t="s">
        <v>15</v>
      </c>
      <c r="E28" s="3" t="str">
        <f>VLOOKUP(E17,D39:E64,2,1)</f>
        <v>LIMITROFE</v>
      </c>
    </row>
    <row r="29" ht="12.75" customHeight="1">
      <c r="A29" s="1" t="s">
        <v>42</v>
      </c>
      <c r="B29" s="1">
        <v>1.0</v>
      </c>
    </row>
    <row r="30" ht="12.75" customHeight="1">
      <c r="A30" s="1" t="s">
        <v>43</v>
      </c>
      <c r="B30" s="1">
        <v>1.0</v>
      </c>
    </row>
    <row r="31" ht="12.75" customHeight="1">
      <c r="A31" s="1" t="s">
        <v>44</v>
      </c>
      <c r="B31" s="1">
        <v>1.0</v>
      </c>
    </row>
    <row r="32" ht="12.75" customHeight="1">
      <c r="A32" s="1" t="s">
        <v>45</v>
      </c>
      <c r="B32" s="1">
        <v>1.0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2.75" customHeight="1">
      <c r="A33" s="1" t="s">
        <v>46</v>
      </c>
      <c r="B33" s="1">
        <v>1.0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5"/>
      <c r="S33" s="5"/>
      <c r="T33" s="5"/>
    </row>
    <row r="34" ht="12.75" customHeight="1">
      <c r="A34" s="1" t="s">
        <v>47</v>
      </c>
      <c r="B34" s="1">
        <v>1.0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2.75" customHeight="1">
      <c r="A35" s="1" t="s">
        <v>48</v>
      </c>
      <c r="B35" s="1">
        <v>1.0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2.75" customHeight="1">
      <c r="A36" s="1" t="s">
        <v>49</v>
      </c>
      <c r="B36" s="1">
        <v>1.0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  <c r="S36" s="5"/>
      <c r="T36" s="5"/>
    </row>
    <row r="37" ht="12.75" customHeight="1">
      <c r="A37" s="1" t="s">
        <v>58</v>
      </c>
      <c r="B37" s="1">
        <v>1.0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  <c r="S37" s="5"/>
      <c r="T37" s="5"/>
    </row>
    <row r="38" ht="12.75" customHeight="1">
      <c r="A38" s="1" t="s">
        <v>59</v>
      </c>
      <c r="B38" s="1">
        <v>1.0</v>
      </c>
      <c r="D38" s="5"/>
      <c r="E38" s="5"/>
      <c r="F38" s="5"/>
      <c r="G38" s="5"/>
      <c r="H38" s="5">
        <v>22.0</v>
      </c>
      <c r="I38" s="5">
        <v>24.0</v>
      </c>
      <c r="J38" s="5">
        <v>20.0</v>
      </c>
      <c r="K38" s="5">
        <v>12.0</v>
      </c>
      <c r="L38" s="5">
        <v>13.0</v>
      </c>
      <c r="M38" s="5">
        <v>12.0</v>
      </c>
      <c r="N38" s="5">
        <v>97.0</v>
      </c>
      <c r="O38" s="5">
        <v>0.0</v>
      </c>
      <c r="P38" s="5">
        <v>5.0</v>
      </c>
      <c r="Q38" s="5"/>
      <c r="R38" s="5"/>
      <c r="S38" s="5"/>
      <c r="T38" s="5"/>
    </row>
    <row r="39" ht="12.75" customHeight="1">
      <c r="A39" s="1" t="s">
        <v>60</v>
      </c>
      <c r="B39" s="1">
        <v>1.0</v>
      </c>
      <c r="D39" s="5">
        <v>1.0</v>
      </c>
      <c r="E39" s="5" t="s">
        <v>61</v>
      </c>
      <c r="F39" s="5"/>
      <c r="G39" s="5"/>
      <c r="H39" s="5">
        <v>24.0</v>
      </c>
      <c r="I39" s="5">
        <v>26.0</v>
      </c>
      <c r="J39" s="5">
        <v>21.0</v>
      </c>
      <c r="K39" s="5">
        <v>12.0</v>
      </c>
      <c r="L39" s="5">
        <v>14.0</v>
      </c>
      <c r="M39" s="5">
        <v>13.0</v>
      </c>
      <c r="N39" s="5">
        <v>100.0</v>
      </c>
      <c r="O39" s="5">
        <v>0.0</v>
      </c>
      <c r="P39" s="5">
        <v>10.0</v>
      </c>
      <c r="Q39" s="5"/>
      <c r="R39" s="5"/>
      <c r="S39" s="5"/>
      <c r="T39" s="5"/>
    </row>
    <row r="40" ht="12.75" customHeight="1">
      <c r="A40" s="1" t="s">
        <v>62</v>
      </c>
      <c r="B40" s="1">
        <v>1.0</v>
      </c>
      <c r="D40" s="5">
        <v>75.0</v>
      </c>
      <c r="E40" s="5" t="s">
        <v>61</v>
      </c>
      <c r="F40" s="5"/>
      <c r="G40" s="5"/>
      <c r="H40" s="5">
        <v>25.0</v>
      </c>
      <c r="I40" s="5">
        <v>27.0</v>
      </c>
      <c r="J40" s="5">
        <v>22.0</v>
      </c>
      <c r="K40" s="5">
        <v>12.0</v>
      </c>
      <c r="L40" s="5">
        <v>15.0</v>
      </c>
      <c r="M40" s="5">
        <v>13.0</v>
      </c>
      <c r="N40" s="5">
        <v>104.0</v>
      </c>
      <c r="O40" s="5">
        <v>0.0</v>
      </c>
      <c r="P40" s="5">
        <v>15.0</v>
      </c>
      <c r="Q40" s="5"/>
      <c r="R40" s="5"/>
      <c r="S40" s="5"/>
      <c r="T40" s="5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26.0</v>
      </c>
      <c r="I41" s="5">
        <v>28.0</v>
      </c>
      <c r="J41" s="5">
        <v>22.0</v>
      </c>
      <c r="K41" s="5">
        <v>13.0</v>
      </c>
      <c r="L41" s="5">
        <v>15.0</v>
      </c>
      <c r="M41" s="5">
        <v>13.0</v>
      </c>
      <c r="N41" s="5">
        <v>110.0</v>
      </c>
      <c r="O41" s="5">
        <v>0.0</v>
      </c>
      <c r="P41" s="5">
        <v>20.0</v>
      </c>
      <c r="Q41" s="5"/>
      <c r="R41" s="5"/>
      <c r="S41" s="5"/>
      <c r="T41" s="5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27.0</v>
      </c>
      <c r="I42" s="5">
        <v>29.0</v>
      </c>
      <c r="J42" s="5">
        <v>23.0</v>
      </c>
      <c r="K42" s="5">
        <v>13.0</v>
      </c>
      <c r="L42" s="5">
        <v>16.0</v>
      </c>
      <c r="M42" s="5">
        <v>14.0</v>
      </c>
      <c r="N42" s="5">
        <v>114.0</v>
      </c>
      <c r="O42" s="5">
        <v>0.0</v>
      </c>
      <c r="P42" s="5">
        <v>25.0</v>
      </c>
      <c r="Q42" s="5"/>
      <c r="R42" s="5"/>
      <c r="S42" s="5"/>
      <c r="T42" s="5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28.0</v>
      </c>
      <c r="I43" s="5">
        <v>30.0</v>
      </c>
      <c r="J43" s="5">
        <v>24.0</v>
      </c>
      <c r="K43" s="5">
        <v>13.0</v>
      </c>
      <c r="L43" s="5">
        <v>17.0</v>
      </c>
      <c r="M43" s="5">
        <v>15.0</v>
      </c>
      <c r="N43" s="5">
        <v>118.0</v>
      </c>
      <c r="O43" s="5">
        <v>1.0</v>
      </c>
      <c r="P43" s="5">
        <v>30.0</v>
      </c>
      <c r="Q43" s="5"/>
      <c r="R43" s="5"/>
      <c r="S43" s="5"/>
      <c r="T43" s="5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29.0</v>
      </c>
      <c r="I44" s="5">
        <v>31.0</v>
      </c>
      <c r="J44" s="5">
        <v>24.0</v>
      </c>
      <c r="K44" s="5">
        <v>14.0</v>
      </c>
      <c r="L44" s="5">
        <v>17.0</v>
      </c>
      <c r="M44" s="5">
        <v>15.0</v>
      </c>
      <c r="N44" s="5">
        <v>121.0</v>
      </c>
      <c r="O44" s="5">
        <v>1.0</v>
      </c>
      <c r="P44" s="5">
        <v>35.0</v>
      </c>
      <c r="Q44" s="5"/>
      <c r="R44" s="5"/>
      <c r="S44" s="5"/>
      <c r="T44" s="5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30.0</v>
      </c>
      <c r="I45" s="5">
        <v>32.0</v>
      </c>
      <c r="J45" s="5">
        <v>25.0</v>
      </c>
      <c r="K45" s="5">
        <v>14.0</v>
      </c>
      <c r="L45" s="5">
        <v>18.0</v>
      </c>
      <c r="M45" s="5">
        <v>16.0</v>
      </c>
      <c r="N45" s="5">
        <v>123.0</v>
      </c>
      <c r="O45" s="5">
        <v>2.0</v>
      </c>
      <c r="P45" s="5">
        <v>40.0</v>
      </c>
      <c r="Q45" s="5"/>
      <c r="R45" s="5"/>
      <c r="S45" s="5"/>
      <c r="T45" s="5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31.0</v>
      </c>
      <c r="I46" s="5">
        <v>34.0</v>
      </c>
      <c r="J46" s="5">
        <v>26.0</v>
      </c>
      <c r="K46" s="5">
        <v>14.0</v>
      </c>
      <c r="L46" s="5">
        <v>18.0</v>
      </c>
      <c r="M46" s="5">
        <v>16.0</v>
      </c>
      <c r="N46" s="5">
        <v>128.0</v>
      </c>
      <c r="O46" s="5">
        <v>3.0</v>
      </c>
      <c r="P46" s="5">
        <v>45.0</v>
      </c>
      <c r="Q46" s="5"/>
      <c r="R46" s="5"/>
      <c r="S46" s="5"/>
      <c r="T46" s="5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33.0</v>
      </c>
      <c r="I47" s="5">
        <v>35.0</v>
      </c>
      <c r="J47" s="5">
        <v>27.0</v>
      </c>
      <c r="K47" s="5">
        <v>15.0</v>
      </c>
      <c r="L47" s="5">
        <v>19.0</v>
      </c>
      <c r="M47" s="5">
        <v>17.0</v>
      </c>
      <c r="N47" s="5">
        <v>131.0</v>
      </c>
      <c r="O47" s="5">
        <v>5.0</v>
      </c>
      <c r="P47" s="5">
        <v>50.0</v>
      </c>
      <c r="Q47" s="5"/>
      <c r="R47" s="5"/>
      <c r="S47" s="5"/>
      <c r="T47" s="5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35.0</v>
      </c>
      <c r="I48" s="5">
        <v>36.0</v>
      </c>
      <c r="J48" s="5">
        <v>28.0</v>
      </c>
      <c r="K48" s="5">
        <v>15.0</v>
      </c>
      <c r="L48" s="5">
        <v>20.0</v>
      </c>
      <c r="M48" s="5">
        <v>17.0</v>
      </c>
      <c r="N48" s="5">
        <v>137.0</v>
      </c>
      <c r="O48" s="5">
        <v>6.0</v>
      </c>
      <c r="P48" s="5">
        <v>55.0</v>
      </c>
      <c r="Q48" s="5"/>
      <c r="R48" s="5"/>
      <c r="S48" s="5"/>
      <c r="T48" s="5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36.0</v>
      </c>
      <c r="I49" s="5">
        <v>39.0</v>
      </c>
      <c r="J49" s="5">
        <v>29.0</v>
      </c>
      <c r="K49" s="5">
        <v>16.0</v>
      </c>
      <c r="L49" s="5">
        <v>21.0</v>
      </c>
      <c r="M49" s="5">
        <v>17.0</v>
      </c>
      <c r="N49" s="5">
        <v>143.0</v>
      </c>
      <c r="O49" s="5">
        <v>7.0</v>
      </c>
      <c r="P49" s="5">
        <v>60.0</v>
      </c>
      <c r="Q49" s="5"/>
      <c r="R49" s="5"/>
      <c r="S49" s="5"/>
      <c r="T49" s="5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37.0</v>
      </c>
      <c r="I50" s="5">
        <v>40.0</v>
      </c>
      <c r="J50" s="5">
        <v>30.0</v>
      </c>
      <c r="K50" s="5">
        <v>17.0</v>
      </c>
      <c r="L50" s="5">
        <v>22.0</v>
      </c>
      <c r="M50" s="5">
        <v>18.0</v>
      </c>
      <c r="N50" s="5">
        <v>147.0</v>
      </c>
      <c r="O50" s="5">
        <v>8.0</v>
      </c>
      <c r="P50" s="5">
        <v>65.0</v>
      </c>
      <c r="Q50" s="5"/>
      <c r="R50" s="5"/>
      <c r="S50" s="5"/>
      <c r="T50" s="5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39.0</v>
      </c>
      <c r="I51" s="5">
        <v>44.0</v>
      </c>
      <c r="J51" s="5">
        <v>31.0</v>
      </c>
      <c r="K51" s="5">
        <v>18.0</v>
      </c>
      <c r="L51" s="5">
        <v>23.0</v>
      </c>
      <c r="M51" s="5">
        <v>19.0</v>
      </c>
      <c r="N51" s="5">
        <v>155.0</v>
      </c>
      <c r="O51" s="5">
        <v>11.0</v>
      </c>
      <c r="P51" s="5">
        <v>70.0</v>
      </c>
      <c r="Q51" s="5"/>
      <c r="R51" s="5"/>
      <c r="S51" s="5"/>
      <c r="T51" s="5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42.0</v>
      </c>
      <c r="I52" s="5">
        <v>46.0</v>
      </c>
      <c r="J52" s="5">
        <v>32.0</v>
      </c>
      <c r="K52" s="5">
        <v>19.0</v>
      </c>
      <c r="L52" s="5">
        <v>24.0</v>
      </c>
      <c r="M52" s="5">
        <v>19.0</v>
      </c>
      <c r="N52" s="5">
        <v>162.0</v>
      </c>
      <c r="O52" s="5">
        <v>16.0</v>
      </c>
      <c r="P52" s="5">
        <v>75.0</v>
      </c>
      <c r="Q52" s="5"/>
      <c r="R52" s="5"/>
      <c r="S52" s="5"/>
      <c r="T52" s="5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44.0</v>
      </c>
      <c r="I53" s="5">
        <v>49.0</v>
      </c>
      <c r="J53" s="5">
        <v>35.0</v>
      </c>
      <c r="K53" s="5">
        <v>20.0</v>
      </c>
      <c r="L53" s="5">
        <v>25.0</v>
      </c>
      <c r="M53" s="5">
        <v>21.0</v>
      </c>
      <c r="N53" s="5">
        <v>166.0</v>
      </c>
      <c r="O53" s="5">
        <v>19.0</v>
      </c>
      <c r="P53" s="5">
        <v>80.0</v>
      </c>
      <c r="Q53" s="5"/>
      <c r="R53" s="5"/>
      <c r="S53" s="5"/>
      <c r="T53" s="5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48.0</v>
      </c>
      <c r="I54" s="5">
        <v>53.0</v>
      </c>
      <c r="J54" s="5">
        <v>37.0</v>
      </c>
      <c r="K54" s="5">
        <v>22.0</v>
      </c>
      <c r="L54" s="5">
        <v>27.0</v>
      </c>
      <c r="M54" s="5">
        <v>22.0</v>
      </c>
      <c r="N54" s="5">
        <v>178.0</v>
      </c>
      <c r="O54" s="5">
        <v>25.0</v>
      </c>
      <c r="P54" s="5">
        <v>85.0</v>
      </c>
      <c r="Q54" s="5"/>
      <c r="R54" s="5"/>
      <c r="S54" s="5"/>
      <c r="T54" s="5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52.0</v>
      </c>
      <c r="I55" s="5">
        <v>58.0</v>
      </c>
      <c r="J55" s="5">
        <v>42.0</v>
      </c>
      <c r="K55" s="5">
        <v>24.0</v>
      </c>
      <c r="L55" s="5">
        <v>30.0</v>
      </c>
      <c r="M55" s="5">
        <v>24.0</v>
      </c>
      <c r="N55" s="5">
        <v>190.0</v>
      </c>
      <c r="O55" s="5">
        <v>32.0</v>
      </c>
      <c r="P55" s="5">
        <v>90.0</v>
      </c>
      <c r="Q55" s="5"/>
      <c r="R55" s="5"/>
      <c r="S55" s="5"/>
      <c r="T55" s="5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56.0</v>
      </c>
      <c r="I56" s="5">
        <v>65.0</v>
      </c>
      <c r="J56" s="5">
        <v>46.0</v>
      </c>
      <c r="K56" s="5">
        <v>28.0</v>
      </c>
      <c r="L56" s="5">
        <v>38.0</v>
      </c>
      <c r="M56" s="5">
        <v>28.0</v>
      </c>
      <c r="N56" s="5">
        <v>223.0</v>
      </c>
      <c r="O56" s="5">
        <v>44.0</v>
      </c>
      <c r="P56" s="5">
        <v>95.0</v>
      </c>
      <c r="Q56" s="5"/>
      <c r="R56" s="5"/>
      <c r="S56" s="5"/>
      <c r="T56" s="5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72.0</v>
      </c>
      <c r="I57" s="5">
        <v>81.0</v>
      </c>
      <c r="J57" s="5">
        <v>57.0</v>
      </c>
      <c r="K57" s="5">
        <v>34.0</v>
      </c>
      <c r="L57" s="5">
        <v>43.0</v>
      </c>
      <c r="M57" s="5">
        <v>33.0</v>
      </c>
      <c r="N57" s="5">
        <v>248.0</v>
      </c>
      <c r="O57" s="5">
        <v>58.0</v>
      </c>
      <c r="P57" s="5">
        <v>99.0</v>
      </c>
      <c r="Q57" s="5"/>
      <c r="R57" s="5"/>
      <c r="S57" s="5"/>
      <c r="T57" s="5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2.75" customHeight="1">
      <c r="A71" s="1" t="s">
        <v>98</v>
      </c>
      <c r="B71" s="1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2.75" customHeight="1">
      <c r="A72" s="1" t="s">
        <v>99</v>
      </c>
      <c r="B72" s="1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2.75" customHeight="1">
      <c r="A73" s="1" t="s">
        <v>100</v>
      </c>
      <c r="B73" s="1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2.75" customHeight="1">
      <c r="A74" s="1" t="s">
        <v>101</v>
      </c>
      <c r="B74" s="1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2.75" customHeight="1">
      <c r="A75" s="1" t="s">
        <v>102</v>
      </c>
      <c r="B75" s="1">
        <v>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 t="s">
        <v>103</v>
      </c>
      <c r="B76" s="1">
        <v>3.0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 t="s">
        <v>104</v>
      </c>
      <c r="B77" s="1">
        <v>4.0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 t="s">
        <v>105</v>
      </c>
      <c r="B78" s="1">
        <v>4.0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 t="s">
        <v>106</v>
      </c>
      <c r="B79" s="1">
        <v>2.0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 t="s">
        <v>107</v>
      </c>
      <c r="B80" s="1">
        <v>3.0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 t="s">
        <v>108</v>
      </c>
      <c r="B81" s="1">
        <v>3.0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 t="s">
        <v>109</v>
      </c>
      <c r="B82" s="1">
        <v>3.0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 t="s">
        <v>110</v>
      </c>
      <c r="B83" s="1">
        <v>4.0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7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95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95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90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95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DEFICIÊNCIA LEVE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LEVE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LEVE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DEFICIÊNCIA LEVE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LIMITROFE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DEFICIÊNCIA LEVE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LEVE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</row>
    <row r="30" ht="12.75" customHeight="1">
      <c r="A30" s="1" t="s">
        <v>43</v>
      </c>
      <c r="B30" s="1">
        <v>4.0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12.75" customHeight="1">
      <c r="A31" s="1" t="s">
        <v>44</v>
      </c>
      <c r="B31" s="1">
        <v>2.0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12.75" customHeight="1">
      <c r="A32" s="1" t="s">
        <v>45</v>
      </c>
      <c r="B32" s="1">
        <v>3.0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" t="s">
        <v>46</v>
      </c>
      <c r="B33" s="1">
        <v>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1" t="s">
        <v>47</v>
      </c>
      <c r="B34" s="1">
        <v>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22.0</v>
      </c>
      <c r="I38" s="5">
        <v>24.0</v>
      </c>
      <c r="J38" s="5">
        <v>20.0</v>
      </c>
      <c r="K38" s="5">
        <v>12.0</v>
      </c>
      <c r="L38" s="5">
        <v>13.0</v>
      </c>
      <c r="M38" s="5">
        <v>12.0</v>
      </c>
      <c r="N38" s="5">
        <v>96.0</v>
      </c>
      <c r="O38" s="5">
        <v>0.0</v>
      </c>
      <c r="P38" s="5">
        <v>5.0</v>
      </c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23.0</v>
      </c>
      <c r="I39" s="5">
        <v>25.0</v>
      </c>
      <c r="J39" s="5">
        <v>21.0</v>
      </c>
      <c r="K39" s="5">
        <v>12.0</v>
      </c>
      <c r="L39" s="5">
        <v>14.0</v>
      </c>
      <c r="M39" s="5">
        <v>13.0</v>
      </c>
      <c r="N39" s="5">
        <v>103.0</v>
      </c>
      <c r="O39" s="5">
        <v>0.0</v>
      </c>
      <c r="P39" s="5">
        <v>10.0</v>
      </c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25.0</v>
      </c>
      <c r="I40" s="5">
        <v>26.0</v>
      </c>
      <c r="J40" s="5">
        <v>22.0</v>
      </c>
      <c r="K40" s="5">
        <v>12.0</v>
      </c>
      <c r="L40" s="5">
        <v>14.0</v>
      </c>
      <c r="M40" s="5">
        <v>13.0</v>
      </c>
      <c r="N40" s="5">
        <v>107.0</v>
      </c>
      <c r="O40" s="5">
        <v>0.0</v>
      </c>
      <c r="P40" s="5">
        <v>15.0</v>
      </c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26.0</v>
      </c>
      <c r="I41" s="5">
        <v>27.0</v>
      </c>
      <c r="J41" s="5">
        <v>23.0</v>
      </c>
      <c r="K41" s="5">
        <v>12.0</v>
      </c>
      <c r="L41" s="5">
        <v>15.0</v>
      </c>
      <c r="M41" s="5">
        <v>14.0</v>
      </c>
      <c r="N41" s="5">
        <v>110.0</v>
      </c>
      <c r="O41" s="5">
        <v>0.0</v>
      </c>
      <c r="P41" s="5">
        <v>20.0</v>
      </c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27.0</v>
      </c>
      <c r="I42" s="5">
        <v>29.0</v>
      </c>
      <c r="J42" s="5">
        <v>24.0</v>
      </c>
      <c r="K42" s="5">
        <v>13.0</v>
      </c>
      <c r="L42" s="5">
        <v>16.0</v>
      </c>
      <c r="M42" s="5">
        <v>14.0</v>
      </c>
      <c r="N42" s="5">
        <v>114.0</v>
      </c>
      <c r="O42" s="5">
        <v>1.0</v>
      </c>
      <c r="P42" s="5">
        <v>25.0</v>
      </c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28.0</v>
      </c>
      <c r="I43" s="5">
        <v>29.0</v>
      </c>
      <c r="J43" s="5">
        <v>24.0</v>
      </c>
      <c r="K43" s="5">
        <v>13.0</v>
      </c>
      <c r="L43" s="5">
        <v>16.0</v>
      </c>
      <c r="M43" s="5">
        <v>14.0</v>
      </c>
      <c r="N43" s="5">
        <v>115.0</v>
      </c>
      <c r="O43" s="5">
        <v>1.0</v>
      </c>
      <c r="P43" s="5">
        <v>30.0</v>
      </c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29.0</v>
      </c>
      <c r="I44" s="5">
        <v>31.0</v>
      </c>
      <c r="J44" s="5">
        <v>25.0</v>
      </c>
      <c r="K44" s="5">
        <v>14.0</v>
      </c>
      <c r="L44" s="5">
        <v>17.0</v>
      </c>
      <c r="M44" s="5">
        <v>15.0</v>
      </c>
      <c r="N44" s="5">
        <v>120.0</v>
      </c>
      <c r="O44" s="5">
        <v>2.0</v>
      </c>
      <c r="P44" s="5">
        <v>35.0</v>
      </c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30.0</v>
      </c>
      <c r="I45" s="5">
        <v>32.0</v>
      </c>
      <c r="J45" s="5">
        <v>26.0</v>
      </c>
      <c r="K45" s="5">
        <v>14.0</v>
      </c>
      <c r="L45" s="5">
        <v>18.0</v>
      </c>
      <c r="M45" s="5">
        <v>16.0</v>
      </c>
      <c r="N45" s="5">
        <v>125.0</v>
      </c>
      <c r="O45" s="5">
        <v>3.0</v>
      </c>
      <c r="P45" s="5">
        <v>40.0</v>
      </c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31.0</v>
      </c>
      <c r="I46" s="5">
        <v>33.0</v>
      </c>
      <c r="J46" s="5">
        <v>28.0</v>
      </c>
      <c r="K46" s="5">
        <v>14.0</v>
      </c>
      <c r="L46" s="5">
        <v>19.0</v>
      </c>
      <c r="M46" s="5">
        <v>16.0</v>
      </c>
      <c r="N46" s="5">
        <v>128.0</v>
      </c>
      <c r="O46" s="5">
        <v>3.0</v>
      </c>
      <c r="P46" s="5">
        <v>45.0</v>
      </c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33.0</v>
      </c>
      <c r="I47" s="5">
        <v>35.0</v>
      </c>
      <c r="J47" s="5">
        <v>29.0</v>
      </c>
      <c r="K47" s="5">
        <v>15.0</v>
      </c>
      <c r="L47" s="5">
        <v>20.0</v>
      </c>
      <c r="M47" s="5">
        <v>17.0</v>
      </c>
      <c r="N47" s="5">
        <v>133.0</v>
      </c>
      <c r="O47" s="5">
        <v>5.0</v>
      </c>
      <c r="P47" s="5">
        <v>50.0</v>
      </c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35.0</v>
      </c>
      <c r="I48" s="5">
        <v>36.0</v>
      </c>
      <c r="J48" s="5">
        <v>30.0</v>
      </c>
      <c r="K48" s="5">
        <v>15.0</v>
      </c>
      <c r="L48" s="5">
        <v>21.0</v>
      </c>
      <c r="M48" s="5">
        <v>17.0</v>
      </c>
      <c r="N48" s="5">
        <v>137.0</v>
      </c>
      <c r="O48" s="5">
        <v>7.0</v>
      </c>
      <c r="P48" s="5">
        <v>55.0</v>
      </c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36.0</v>
      </c>
      <c r="I49" s="5">
        <v>38.0</v>
      </c>
      <c r="J49" s="5">
        <v>31.0</v>
      </c>
      <c r="K49" s="5">
        <v>16.0</v>
      </c>
      <c r="L49" s="5">
        <v>21.0</v>
      </c>
      <c r="M49" s="5">
        <v>18.0</v>
      </c>
      <c r="N49" s="5">
        <v>145.0</v>
      </c>
      <c r="O49" s="5">
        <v>9.0</v>
      </c>
      <c r="P49" s="5">
        <v>60.0</v>
      </c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39.0</v>
      </c>
      <c r="I50" s="5">
        <v>41.0</v>
      </c>
      <c r="J50" s="5">
        <v>32.0</v>
      </c>
      <c r="K50" s="5">
        <v>16.0</v>
      </c>
      <c r="L50" s="5">
        <v>24.0</v>
      </c>
      <c r="M50" s="5">
        <v>19.0</v>
      </c>
      <c r="N50" s="5">
        <v>152.0</v>
      </c>
      <c r="O50" s="5">
        <v>12.0</v>
      </c>
      <c r="P50" s="5">
        <v>65.0</v>
      </c>
      <c r="Q50" s="5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42.0</v>
      </c>
      <c r="I51" s="5">
        <v>43.0</v>
      </c>
      <c r="J51" s="5">
        <v>34.0</v>
      </c>
      <c r="K51" s="5">
        <v>17.0</v>
      </c>
      <c r="L51" s="5">
        <v>26.0</v>
      </c>
      <c r="M51" s="5">
        <v>20.0</v>
      </c>
      <c r="N51" s="5">
        <v>159.0</v>
      </c>
      <c r="O51" s="5">
        <v>16.0</v>
      </c>
      <c r="P51" s="5">
        <v>70.0</v>
      </c>
      <c r="Q51" s="5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45.0</v>
      </c>
      <c r="I52" s="5">
        <v>46.0</v>
      </c>
      <c r="J52" s="5">
        <v>36.0</v>
      </c>
      <c r="K52" s="5">
        <v>19.0</v>
      </c>
      <c r="L52" s="5">
        <v>27.0</v>
      </c>
      <c r="M52" s="5">
        <v>21.0</v>
      </c>
      <c r="N52" s="5">
        <v>169.0</v>
      </c>
      <c r="O52" s="5">
        <v>20.0</v>
      </c>
      <c r="P52" s="5">
        <v>75.0</v>
      </c>
      <c r="Q52" s="5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48.0</v>
      </c>
      <c r="I53" s="5">
        <v>49.0</v>
      </c>
      <c r="J53" s="5">
        <v>38.0</v>
      </c>
      <c r="K53" s="5">
        <v>20.0</v>
      </c>
      <c r="L53" s="5">
        <v>30.0</v>
      </c>
      <c r="M53" s="5">
        <v>22.0</v>
      </c>
      <c r="N53" s="5">
        <v>188.0</v>
      </c>
      <c r="O53" s="5">
        <v>25.0</v>
      </c>
      <c r="P53" s="5">
        <v>80.0</v>
      </c>
      <c r="Q53" s="5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53.0</v>
      </c>
      <c r="I54" s="5">
        <v>54.0</v>
      </c>
      <c r="J54" s="5">
        <v>42.0</v>
      </c>
      <c r="K54" s="5">
        <v>24.0</v>
      </c>
      <c r="L54" s="5">
        <v>34.0</v>
      </c>
      <c r="M54" s="5">
        <v>25.0</v>
      </c>
      <c r="N54" s="5">
        <v>200.0</v>
      </c>
      <c r="O54" s="5">
        <v>33.0</v>
      </c>
      <c r="P54" s="5">
        <v>85.0</v>
      </c>
      <c r="Q54" s="5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57.0</v>
      </c>
      <c r="I55" s="5">
        <v>63.0</v>
      </c>
      <c r="J55" s="5">
        <v>44.0</v>
      </c>
      <c r="K55" s="5">
        <v>26.0</v>
      </c>
      <c r="L55" s="5">
        <v>36.0</v>
      </c>
      <c r="M55" s="5">
        <v>27.0</v>
      </c>
      <c r="N55" s="5">
        <v>210.0</v>
      </c>
      <c r="O55" s="5">
        <v>38.0</v>
      </c>
      <c r="P55" s="5">
        <v>90.0</v>
      </c>
      <c r="Q55" s="5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62.0</v>
      </c>
      <c r="I56" s="5">
        <v>72.0</v>
      </c>
      <c r="J56" s="5">
        <v>49.0</v>
      </c>
      <c r="K56" s="5">
        <v>29.0</v>
      </c>
      <c r="L56" s="5">
        <v>44.0</v>
      </c>
      <c r="M56" s="5">
        <v>31.0</v>
      </c>
      <c r="N56" s="5">
        <v>230.0</v>
      </c>
      <c r="O56" s="5">
        <v>49.0</v>
      </c>
      <c r="P56" s="5">
        <v>95.0</v>
      </c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75.0</v>
      </c>
      <c r="I57" s="5">
        <v>83.0</v>
      </c>
      <c r="J57" s="5">
        <v>58.0</v>
      </c>
      <c r="K57" s="5">
        <v>38.0</v>
      </c>
      <c r="L57" s="5">
        <v>49.0</v>
      </c>
      <c r="M57" s="5">
        <v>34.0</v>
      </c>
      <c r="N57" s="5">
        <v>280.0</v>
      </c>
      <c r="O57" s="5">
        <v>67.0</v>
      </c>
      <c r="P57" s="5">
        <v>99.0</v>
      </c>
      <c r="Q57" s="5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 t="s">
        <v>98</v>
      </c>
      <c r="B71" s="1">
        <v>3.0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 t="s">
        <v>99</v>
      </c>
      <c r="B72" s="1">
        <v>2.0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 t="s">
        <v>100</v>
      </c>
      <c r="B73" s="1">
        <v>3.0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 t="s">
        <v>101</v>
      </c>
      <c r="B74" s="1">
        <v>3.0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 t="s">
        <v>102</v>
      </c>
      <c r="B75" s="1">
        <v>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 t="s">
        <v>103</v>
      </c>
      <c r="B76" s="1">
        <v>3.0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 t="s">
        <v>104</v>
      </c>
      <c r="B77" s="1">
        <v>4.0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 t="s">
        <v>105</v>
      </c>
      <c r="B78" s="1">
        <v>4.0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 t="s">
        <v>106</v>
      </c>
      <c r="B79" s="1">
        <v>2.0</v>
      </c>
    </row>
    <row r="80" ht="12.75" customHeight="1">
      <c r="A80" s="1" t="s">
        <v>107</v>
      </c>
      <c r="B80" s="1">
        <v>3.0</v>
      </c>
    </row>
    <row r="81" ht="12.75" customHeight="1">
      <c r="A81" s="1" t="s">
        <v>108</v>
      </c>
      <c r="B81" s="1">
        <v>3.0</v>
      </c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90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90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95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LIMITROFE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LEVE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LEVE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LIMITROFE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LIMITROFE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DEFICIÊNCIA LEVE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LEVE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1">
        <v>4.0</v>
      </c>
    </row>
    <row r="30" ht="12.75" customHeight="1">
      <c r="A30" s="1" t="s">
        <v>43</v>
      </c>
      <c r="B30" s="1">
        <v>4.0</v>
      </c>
    </row>
    <row r="31" ht="12.75" customHeight="1">
      <c r="A31" s="1" t="s">
        <v>44</v>
      </c>
      <c r="B31" s="1">
        <v>2.0</v>
      </c>
    </row>
    <row r="32" ht="12.75" customHeight="1">
      <c r="A32" s="1" t="s">
        <v>45</v>
      </c>
      <c r="B32" s="1">
        <v>3.0</v>
      </c>
    </row>
    <row r="33" ht="12.75" customHeight="1">
      <c r="A33" s="1" t="s">
        <v>46</v>
      </c>
      <c r="B33" s="1">
        <v>3.0</v>
      </c>
    </row>
    <row r="34" ht="12.75" customHeight="1">
      <c r="A34" s="1" t="s">
        <v>47</v>
      </c>
      <c r="B34" s="1">
        <v>3.0</v>
      </c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24.0</v>
      </c>
      <c r="I38" s="5">
        <v>25.0</v>
      </c>
      <c r="J38" s="5">
        <v>20.0</v>
      </c>
      <c r="K38" s="5">
        <v>12.0</v>
      </c>
      <c r="L38" s="5">
        <v>13.0</v>
      </c>
      <c r="M38" s="5">
        <v>12.0</v>
      </c>
      <c r="N38" s="5">
        <v>102.0</v>
      </c>
      <c r="O38" s="5">
        <v>0.0</v>
      </c>
      <c r="P38" s="5">
        <v>5.0</v>
      </c>
      <c r="Q38" s="5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25.0</v>
      </c>
      <c r="I39" s="5">
        <v>26.0</v>
      </c>
      <c r="J39" s="5">
        <v>22.0</v>
      </c>
      <c r="K39" s="5">
        <v>12.0</v>
      </c>
      <c r="L39" s="5">
        <v>14.0</v>
      </c>
      <c r="M39" s="5">
        <v>13.0</v>
      </c>
      <c r="N39" s="5">
        <v>108.0</v>
      </c>
      <c r="O39" s="5">
        <v>0.0</v>
      </c>
      <c r="P39" s="5">
        <v>10.0</v>
      </c>
      <c r="Q39" s="5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26.0</v>
      </c>
      <c r="I40" s="5">
        <v>27.0</v>
      </c>
      <c r="J40" s="5">
        <v>23.0</v>
      </c>
      <c r="K40" s="5">
        <v>13.0</v>
      </c>
      <c r="L40" s="5">
        <v>15.0</v>
      </c>
      <c r="M40" s="5">
        <v>14.0</v>
      </c>
      <c r="N40" s="5">
        <v>112.0</v>
      </c>
      <c r="O40" s="5">
        <v>1.0</v>
      </c>
      <c r="P40" s="5">
        <v>15.0</v>
      </c>
      <c r="Q40" s="5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28.0</v>
      </c>
      <c r="I41" s="5">
        <v>29.0</v>
      </c>
      <c r="J41" s="5">
        <v>24.0</v>
      </c>
      <c r="K41" s="5">
        <v>13.0</v>
      </c>
      <c r="L41" s="5">
        <v>16.0</v>
      </c>
      <c r="M41" s="5">
        <v>14.0</v>
      </c>
      <c r="N41" s="5">
        <v>116.0</v>
      </c>
      <c r="O41" s="5">
        <v>2.0</v>
      </c>
      <c r="P41" s="5">
        <v>20.0</v>
      </c>
      <c r="Q41" s="5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30.0</v>
      </c>
      <c r="I42" s="5">
        <v>29.0</v>
      </c>
      <c r="J42" s="5">
        <v>24.0</v>
      </c>
      <c r="K42" s="5">
        <v>14.0</v>
      </c>
      <c r="L42" s="5">
        <v>16.0</v>
      </c>
      <c r="M42" s="5">
        <v>14.0</v>
      </c>
      <c r="N42" s="5">
        <v>120.0</v>
      </c>
      <c r="O42" s="5">
        <v>2.0</v>
      </c>
      <c r="P42" s="5">
        <v>25.0</v>
      </c>
      <c r="Q42" s="5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31.0</v>
      </c>
      <c r="I43" s="5">
        <v>30.0</v>
      </c>
      <c r="J43" s="5">
        <v>25.0</v>
      </c>
      <c r="K43" s="5">
        <v>14.0</v>
      </c>
      <c r="L43" s="5">
        <v>18.0</v>
      </c>
      <c r="M43" s="5">
        <v>15.0</v>
      </c>
      <c r="N43" s="5">
        <v>125.0</v>
      </c>
      <c r="O43" s="5">
        <v>3.0</v>
      </c>
      <c r="P43" s="5">
        <v>30.0</v>
      </c>
      <c r="Q43" s="5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32.0</v>
      </c>
      <c r="I44" s="5">
        <v>32.0</v>
      </c>
      <c r="J44" s="5">
        <v>26.0</v>
      </c>
      <c r="K44" s="5">
        <v>14.0</v>
      </c>
      <c r="L44" s="5">
        <v>18.0</v>
      </c>
      <c r="M44" s="5">
        <v>16.0</v>
      </c>
      <c r="N44" s="5">
        <v>128.0</v>
      </c>
      <c r="O44" s="5">
        <v>3.0</v>
      </c>
      <c r="P44" s="5">
        <v>35.0</v>
      </c>
      <c r="Q44" s="5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33.0</v>
      </c>
      <c r="I45" s="5">
        <v>33.0</v>
      </c>
      <c r="J45" s="5">
        <v>27.0</v>
      </c>
      <c r="K45" s="5">
        <v>15.0</v>
      </c>
      <c r="L45" s="5">
        <v>19.0</v>
      </c>
      <c r="M45" s="5">
        <v>16.0</v>
      </c>
      <c r="N45" s="5">
        <v>131.0</v>
      </c>
      <c r="O45" s="5">
        <v>4.0</v>
      </c>
      <c r="P45" s="5">
        <v>40.0</v>
      </c>
      <c r="Q45" s="5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35.0</v>
      </c>
      <c r="I46" s="5">
        <v>35.0</v>
      </c>
      <c r="J46" s="5">
        <v>28.0</v>
      </c>
      <c r="K46" s="5">
        <v>15.0</v>
      </c>
      <c r="L46" s="5">
        <v>20.0</v>
      </c>
      <c r="M46" s="5">
        <v>17.0</v>
      </c>
      <c r="N46" s="5">
        <v>137.0</v>
      </c>
      <c r="O46" s="5">
        <v>5.0</v>
      </c>
      <c r="P46" s="5">
        <v>45.0</v>
      </c>
      <c r="Q46" s="5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37.0</v>
      </c>
      <c r="I47" s="5">
        <v>36.0</v>
      </c>
      <c r="J47" s="5">
        <v>29.0</v>
      </c>
      <c r="K47" s="5">
        <v>16.0</v>
      </c>
      <c r="L47" s="5">
        <v>21.0</v>
      </c>
      <c r="M47" s="5">
        <v>17.0</v>
      </c>
      <c r="N47" s="5">
        <v>141.0</v>
      </c>
      <c r="O47" s="5">
        <v>7.0</v>
      </c>
      <c r="P47" s="5">
        <v>50.0</v>
      </c>
      <c r="Q47" s="5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37.0</v>
      </c>
      <c r="I48" s="5">
        <v>39.0</v>
      </c>
      <c r="J48" s="5">
        <v>30.0</v>
      </c>
      <c r="K48" s="5">
        <v>16.0</v>
      </c>
      <c r="L48" s="5">
        <v>22.0</v>
      </c>
      <c r="M48" s="5">
        <v>18.0</v>
      </c>
      <c r="N48" s="5">
        <v>147.0</v>
      </c>
      <c r="O48" s="5">
        <v>9.0</v>
      </c>
      <c r="P48" s="5">
        <v>55.0</v>
      </c>
      <c r="Q48" s="5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39.0</v>
      </c>
      <c r="I49" s="5">
        <v>42.0</v>
      </c>
      <c r="J49" s="5">
        <v>31.0</v>
      </c>
      <c r="K49" s="5">
        <v>17.0</v>
      </c>
      <c r="L49" s="5">
        <v>23.0</v>
      </c>
      <c r="M49" s="5">
        <v>19.0</v>
      </c>
      <c r="N49" s="5">
        <v>152.0</v>
      </c>
      <c r="O49" s="5">
        <v>13.0</v>
      </c>
      <c r="P49" s="5">
        <v>60.0</v>
      </c>
      <c r="Q49" s="5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41.0</v>
      </c>
      <c r="I50" s="5">
        <v>45.0</v>
      </c>
      <c r="J50" s="5">
        <v>33.0</v>
      </c>
      <c r="K50" s="5">
        <v>19.0</v>
      </c>
      <c r="L50" s="5">
        <v>24.0</v>
      </c>
      <c r="M50" s="5">
        <v>19.0</v>
      </c>
      <c r="N50" s="5">
        <v>160.0</v>
      </c>
      <c r="O50" s="5">
        <v>15.0</v>
      </c>
      <c r="P50" s="5">
        <v>65.0</v>
      </c>
      <c r="Q50" s="5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44.0</v>
      </c>
      <c r="I51" s="5">
        <v>49.0</v>
      </c>
      <c r="J51" s="5">
        <v>35.0</v>
      </c>
      <c r="K51" s="5">
        <v>20.0</v>
      </c>
      <c r="L51" s="5">
        <v>26.0</v>
      </c>
      <c r="M51" s="5">
        <v>20.0</v>
      </c>
      <c r="N51" s="5">
        <v>170.0</v>
      </c>
      <c r="O51" s="5">
        <v>21.0</v>
      </c>
      <c r="P51" s="5">
        <v>70.0</v>
      </c>
      <c r="Q51" s="5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46.0</v>
      </c>
      <c r="I52" s="5">
        <v>52.0</v>
      </c>
      <c r="J52" s="5">
        <v>37.0</v>
      </c>
      <c r="K52" s="5">
        <v>20.0</v>
      </c>
      <c r="L52" s="5">
        <v>27.0</v>
      </c>
      <c r="M52" s="5">
        <v>22.0</v>
      </c>
      <c r="N52" s="5">
        <v>186.0</v>
      </c>
      <c r="O52" s="5">
        <v>27.0</v>
      </c>
      <c r="P52" s="5">
        <v>75.0</v>
      </c>
      <c r="Q52" s="5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51.0</v>
      </c>
      <c r="I53" s="5">
        <v>54.0</v>
      </c>
      <c r="J53" s="5">
        <v>38.0</v>
      </c>
      <c r="K53" s="5">
        <v>22.0</v>
      </c>
      <c r="L53" s="5">
        <v>30.0</v>
      </c>
      <c r="M53" s="5">
        <v>23.0</v>
      </c>
      <c r="N53" s="5">
        <v>194.0</v>
      </c>
      <c r="O53" s="5">
        <v>32.0</v>
      </c>
      <c r="P53" s="5">
        <v>80.0</v>
      </c>
      <c r="Q53" s="5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55.0</v>
      </c>
      <c r="I54" s="5">
        <v>59.0</v>
      </c>
      <c r="J54" s="5">
        <v>42.0</v>
      </c>
      <c r="K54" s="5">
        <v>24.0</v>
      </c>
      <c r="L54" s="5">
        <v>33.0</v>
      </c>
      <c r="M54" s="5">
        <v>26.0</v>
      </c>
      <c r="N54" s="5">
        <v>205.0</v>
      </c>
      <c r="O54" s="5">
        <v>36.0</v>
      </c>
      <c r="P54" s="5">
        <v>85.0</v>
      </c>
      <c r="Q54" s="5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60.0</v>
      </c>
      <c r="I55" s="5">
        <v>64.0</v>
      </c>
      <c r="J55" s="5">
        <v>45.0</v>
      </c>
      <c r="K55" s="5">
        <v>26.0</v>
      </c>
      <c r="L55" s="5">
        <v>38.0</v>
      </c>
      <c r="M55" s="5">
        <v>28.0</v>
      </c>
      <c r="N55" s="5">
        <v>213.0</v>
      </c>
      <c r="O55" s="5">
        <v>41.0</v>
      </c>
      <c r="P55" s="5">
        <v>90.0</v>
      </c>
      <c r="Q55" s="5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67.0</v>
      </c>
      <c r="I56" s="5">
        <v>68.0</v>
      </c>
      <c r="J56" s="5">
        <v>51.0</v>
      </c>
      <c r="K56" s="5">
        <v>31.0</v>
      </c>
      <c r="L56" s="5">
        <v>44.0</v>
      </c>
      <c r="M56" s="5">
        <v>30.0</v>
      </c>
      <c r="N56" s="5">
        <v>244.0</v>
      </c>
      <c r="O56" s="5">
        <v>52.0</v>
      </c>
      <c r="P56" s="5">
        <v>95.0</v>
      </c>
      <c r="Q56" s="5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77.0</v>
      </c>
      <c r="I57" s="5">
        <v>85.0</v>
      </c>
      <c r="J57" s="5">
        <v>61.0</v>
      </c>
      <c r="K57" s="5">
        <v>40.0</v>
      </c>
      <c r="L57" s="5">
        <v>49.0</v>
      </c>
      <c r="M57" s="5">
        <v>36.0</v>
      </c>
      <c r="N57" s="5">
        <v>293.0</v>
      </c>
      <c r="O57" s="5">
        <v>72.0</v>
      </c>
      <c r="P57" s="5">
        <v>99.0</v>
      </c>
      <c r="Q57" s="5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2.75" customHeight="1">
      <c r="A69" s="1" t="s">
        <v>96</v>
      </c>
      <c r="B69" s="1">
        <v>3.0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 t="s">
        <v>97</v>
      </c>
      <c r="B70" s="1">
        <v>3.0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 t="s">
        <v>98</v>
      </c>
      <c r="B71" s="1">
        <v>3.0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 t="s">
        <v>99</v>
      </c>
      <c r="B72" s="1">
        <v>2.0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 t="s">
        <v>100</v>
      </c>
      <c r="B73" s="1">
        <v>3.0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 t="s">
        <v>101</v>
      </c>
      <c r="B74" s="1">
        <v>3.0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 t="s">
        <v>102</v>
      </c>
      <c r="B75" s="1">
        <v>3.0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 t="s">
        <v>103</v>
      </c>
      <c r="B76" s="1">
        <v>3.0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 t="s">
        <v>104</v>
      </c>
      <c r="B77" s="1">
        <v>4.0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 t="s">
        <v>105</v>
      </c>
      <c r="B78" s="1">
        <v>4.0</v>
      </c>
    </row>
    <row r="79" ht="12.75" customHeight="1">
      <c r="A79" s="1" t="s">
        <v>106</v>
      </c>
      <c r="B79" s="1">
        <v>2.0</v>
      </c>
    </row>
    <row r="80" ht="12.75" customHeight="1">
      <c r="A80" s="1" t="s">
        <v>107</v>
      </c>
      <c r="B80" s="1">
        <v>3.0</v>
      </c>
    </row>
    <row r="81" ht="12.75" customHeight="1">
      <c r="A81" s="1" t="s">
        <v>108</v>
      </c>
      <c r="B81" s="1">
        <v>3.0</v>
      </c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1">
        <v>3.0</v>
      </c>
      <c r="D1" s="3" t="s">
        <v>1</v>
      </c>
      <c r="E1" s="3">
        <f>SUM(B1:B21)</f>
        <v>66</v>
      </c>
    </row>
    <row r="2" ht="12.75" customHeight="1">
      <c r="A2" s="1" t="s">
        <v>2</v>
      </c>
      <c r="B2" s="1">
        <v>3.0</v>
      </c>
      <c r="D2" s="3" t="s">
        <v>3</v>
      </c>
      <c r="E2" s="3">
        <f>SUM(B22:B45)</f>
        <v>78</v>
      </c>
      <c r="G2" s="5"/>
      <c r="H2" s="5"/>
      <c r="I2" s="5"/>
      <c r="J2" s="6"/>
    </row>
    <row r="3" ht="12.75" customHeight="1">
      <c r="A3" s="1" t="s">
        <v>4</v>
      </c>
      <c r="B3" s="1">
        <v>4.0</v>
      </c>
      <c r="D3" s="3" t="s">
        <v>5</v>
      </c>
      <c r="E3" s="3">
        <f>SUM(B46:B64)</f>
        <v>54</v>
      </c>
      <c r="G3" s="7"/>
      <c r="H3" s="7">
        <f>COUNTIF(B1:B89,"3")</f>
        <v>59</v>
      </c>
      <c r="I3" s="7"/>
      <c r="J3" s="6"/>
    </row>
    <row r="4" ht="12.75" customHeight="1">
      <c r="A4" s="1" t="s">
        <v>6</v>
      </c>
      <c r="B4" s="1">
        <v>2.0</v>
      </c>
      <c r="D4" s="3" t="s">
        <v>7</v>
      </c>
      <c r="E4" s="3">
        <f>SUM(B65:B76)</f>
        <v>30</v>
      </c>
      <c r="G4" s="7"/>
      <c r="H4" s="7">
        <f>COUNTIF(B1:B89,"4")</f>
        <v>17</v>
      </c>
      <c r="I4" s="7"/>
      <c r="J4" s="6"/>
    </row>
    <row r="5" ht="12.75" customHeight="1">
      <c r="A5" s="1" t="s">
        <v>8</v>
      </c>
      <c r="B5" s="1">
        <v>2.0</v>
      </c>
      <c r="D5" s="3" t="s">
        <v>9</v>
      </c>
      <c r="E5" s="3">
        <f>SUM(B77:B89)</f>
        <v>40</v>
      </c>
      <c r="G5" s="7"/>
      <c r="H5" s="7">
        <f>SUM(H3:H4)</f>
        <v>76</v>
      </c>
      <c r="I5" s="7"/>
      <c r="J5" s="6"/>
    </row>
    <row r="6" ht="12.75" customHeight="1">
      <c r="A6" s="1" t="s">
        <v>10</v>
      </c>
      <c r="B6" s="1">
        <v>3.0</v>
      </c>
      <c r="D6" s="3" t="s">
        <v>11</v>
      </c>
      <c r="E6" s="3">
        <f>SUM(B1,B6,B14,B16,B24,B49,B50,B55,B60,B65,B69)</f>
        <v>32</v>
      </c>
      <c r="G6" s="6"/>
      <c r="H6" s="6"/>
      <c r="I6" s="6"/>
      <c r="J6" s="6"/>
    </row>
    <row r="7" ht="12.75" customHeight="1">
      <c r="A7" s="1" t="s">
        <v>12</v>
      </c>
      <c r="B7" s="1">
        <v>3.0</v>
      </c>
      <c r="D7" s="3" t="s">
        <v>13</v>
      </c>
      <c r="E7" s="3">
        <f>SUM(E1:E5)</f>
        <v>268</v>
      </c>
    </row>
    <row r="8" ht="12.75" customHeight="1">
      <c r="A8" s="1" t="s">
        <v>14</v>
      </c>
      <c r="B8" s="1">
        <v>4.0</v>
      </c>
      <c r="D8" s="3" t="s">
        <v>15</v>
      </c>
      <c r="E8" s="3">
        <f>H5</f>
        <v>76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1">
        <v>4.0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1">
        <v>3.0</v>
      </c>
      <c r="D10" s="3" t="s">
        <v>1</v>
      </c>
      <c r="E10" s="3">
        <f>VLOOKUP(E1,H36:P57,9,1)</f>
        <v>90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1">
        <v>4.0</v>
      </c>
      <c r="D11" s="3" t="s">
        <v>3</v>
      </c>
      <c r="E11" s="3">
        <f>VLOOKUP(E2,I37:P57,8,1)</f>
        <v>95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1">
        <v>3.0</v>
      </c>
      <c r="D12" s="3" t="s">
        <v>5</v>
      </c>
      <c r="E12" s="3">
        <f>VLOOKUP(E3,J37:P57,7,1)</f>
        <v>95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1">
        <v>3.0</v>
      </c>
      <c r="D13" s="3" t="s">
        <v>7</v>
      </c>
      <c r="E13" s="3">
        <f>VLOOKUP(E4,K37:P57,6,1)</f>
        <v>85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1">
        <v>3.0</v>
      </c>
      <c r="D14" s="3" t="s">
        <v>9</v>
      </c>
      <c r="E14" s="3">
        <f>VLOOKUP(E5,L37:P57,5,1)</f>
        <v>90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1">
        <v>3.0</v>
      </c>
      <c r="D15" s="3" t="s">
        <v>11</v>
      </c>
      <c r="E15" s="3">
        <f>VLOOKUP(E6,M37:P57,4,1)</f>
        <v>90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1">
        <v>3.0</v>
      </c>
      <c r="D16" s="3" t="s">
        <v>13</v>
      </c>
      <c r="E16" s="3">
        <f>VLOOKUP(E7,N37:P57,3,1)</f>
        <v>95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1">
        <v>3.0</v>
      </c>
      <c r="D17" s="3" t="s">
        <v>15</v>
      </c>
      <c r="E17" s="3">
        <f>VLOOKUP(E8,O37:P57,2,1)</f>
        <v>95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1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1">
        <v>3.0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1">
        <v>4.0</v>
      </c>
    </row>
    <row r="21" ht="12.75" customHeight="1">
      <c r="A21" s="1" t="s">
        <v>34</v>
      </c>
      <c r="B21" s="1">
        <v>3.0</v>
      </c>
      <c r="D21" s="3" t="s">
        <v>1</v>
      </c>
      <c r="E21" s="3" t="str">
        <f>VLOOKUP(E10,D39:E64,2,1)</f>
        <v>LIMITROFE</v>
      </c>
    </row>
    <row r="22" ht="12.75" customHeight="1">
      <c r="A22" s="1" t="s">
        <v>35</v>
      </c>
      <c r="B22" s="1">
        <v>3.0</v>
      </c>
      <c r="D22" s="3" t="s">
        <v>3</v>
      </c>
      <c r="E22" s="3" t="str">
        <f>VLOOKUP(E11,D39:E64,2,1)</f>
        <v>DEFICIÊNCIA LEVE</v>
      </c>
    </row>
    <row r="23" ht="12.75" customHeight="1">
      <c r="A23" s="1" t="s">
        <v>36</v>
      </c>
      <c r="B23" s="1">
        <v>4.0</v>
      </c>
      <c r="D23" s="3" t="s">
        <v>5</v>
      </c>
      <c r="E23" s="3" t="str">
        <f>VLOOKUP(E12,D39:E64,2,1)</f>
        <v>DEFICIÊNCIA LEVE</v>
      </c>
    </row>
    <row r="24" ht="12.75" customHeight="1">
      <c r="A24" s="1" t="s">
        <v>37</v>
      </c>
      <c r="B24" s="1">
        <v>3.0</v>
      </c>
      <c r="D24" s="3" t="s">
        <v>7</v>
      </c>
      <c r="E24" s="3" t="str">
        <f>VLOOKUP(E13,D39:E64,2,1)</f>
        <v>LIMITROFE</v>
      </c>
    </row>
    <row r="25" ht="12.75" customHeight="1">
      <c r="A25" s="1" t="s">
        <v>38</v>
      </c>
      <c r="B25" s="1">
        <v>4.0</v>
      </c>
      <c r="D25" s="3" t="s">
        <v>9</v>
      </c>
      <c r="E25" s="3" t="str">
        <f>VLOOKUP(E14,D39:E64,2,1)</f>
        <v>LIMITROFE</v>
      </c>
    </row>
    <row r="26" ht="12.75" customHeight="1">
      <c r="A26" s="1" t="s">
        <v>39</v>
      </c>
      <c r="B26" s="1">
        <v>3.0</v>
      </c>
      <c r="D26" s="3" t="s">
        <v>11</v>
      </c>
      <c r="E26" s="3" t="str">
        <f>VLOOKUP(E15,D39:E64,2,1)</f>
        <v>LIMITROFE</v>
      </c>
    </row>
    <row r="27" ht="12.75" customHeight="1">
      <c r="A27" s="1" t="s">
        <v>40</v>
      </c>
      <c r="B27" s="1">
        <v>3.0</v>
      </c>
      <c r="D27" s="3" t="s">
        <v>13</v>
      </c>
      <c r="E27" s="3" t="str">
        <f>VLOOKUP(E16,D39:E64,2,1)</f>
        <v>DEFICIÊNCIA LEVE</v>
      </c>
    </row>
    <row r="28" ht="12.75" customHeight="1">
      <c r="A28" s="1" t="s">
        <v>41</v>
      </c>
      <c r="B28" s="1">
        <v>3.0</v>
      </c>
      <c r="D28" s="3" t="s">
        <v>15</v>
      </c>
      <c r="E28" s="3" t="str">
        <f>VLOOKUP(E17,D39:E64,2,1)</f>
        <v>DEFICIÊNCIA LEVE</v>
      </c>
    </row>
    <row r="29" ht="12.75" customHeight="1">
      <c r="A29" s="1" t="s">
        <v>42</v>
      </c>
      <c r="B29" s="1">
        <v>4.0</v>
      </c>
    </row>
    <row r="30" ht="12.75" customHeight="1">
      <c r="A30" s="1" t="s">
        <v>43</v>
      </c>
      <c r="B30" s="1">
        <v>4.0</v>
      </c>
    </row>
    <row r="31" ht="12.75" customHeight="1">
      <c r="A31" s="1" t="s">
        <v>44</v>
      </c>
      <c r="B31" s="1">
        <v>2.0</v>
      </c>
    </row>
    <row r="32" ht="12.75" customHeight="1">
      <c r="A32" s="1" t="s">
        <v>45</v>
      </c>
      <c r="B32" s="1">
        <v>3.0</v>
      </c>
    </row>
    <row r="33" ht="12.75" customHeight="1">
      <c r="A33" s="1" t="s">
        <v>46</v>
      </c>
      <c r="B33" s="1">
        <v>3.0</v>
      </c>
    </row>
    <row r="34" ht="12.75" customHeight="1">
      <c r="A34" s="1" t="s">
        <v>47</v>
      </c>
      <c r="B34" s="1">
        <v>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ht="12.75" customHeight="1">
      <c r="A35" s="1" t="s">
        <v>48</v>
      </c>
      <c r="B35" s="1">
        <v>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/>
      <c r="S35" s="1"/>
    </row>
    <row r="36" ht="12.75" customHeight="1">
      <c r="A36" s="1" t="s">
        <v>49</v>
      </c>
      <c r="B36" s="1">
        <v>3.0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1"/>
      <c r="S36" s="1"/>
    </row>
    <row r="37" ht="12.75" customHeight="1">
      <c r="A37" s="1" t="s">
        <v>58</v>
      </c>
      <c r="B37" s="1">
        <v>3.0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1"/>
      <c r="S37" s="1"/>
    </row>
    <row r="38" ht="12.75" customHeight="1">
      <c r="A38" s="1" t="s">
        <v>59</v>
      </c>
      <c r="B38" s="1">
        <v>3.0</v>
      </c>
      <c r="D38" s="5"/>
      <c r="E38" s="5"/>
      <c r="F38" s="5"/>
      <c r="G38" s="5"/>
      <c r="H38" s="5">
        <v>24.0</v>
      </c>
      <c r="I38" s="5">
        <v>26.0</v>
      </c>
      <c r="J38" s="5">
        <v>21.0</v>
      </c>
      <c r="K38" s="5">
        <v>12.0</v>
      </c>
      <c r="L38" s="5">
        <v>14.0</v>
      </c>
      <c r="M38" s="5">
        <v>12.0</v>
      </c>
      <c r="N38" s="5">
        <v>102.0</v>
      </c>
      <c r="O38" s="5">
        <v>0.0</v>
      </c>
      <c r="P38" s="5">
        <v>5.0</v>
      </c>
      <c r="Q38" s="5"/>
      <c r="R38" s="1"/>
      <c r="S38" s="1"/>
    </row>
    <row r="39" ht="12.75" customHeight="1">
      <c r="A39" s="1" t="s">
        <v>60</v>
      </c>
      <c r="B39" s="1">
        <v>4.0</v>
      </c>
      <c r="D39" s="5">
        <v>1.0</v>
      </c>
      <c r="E39" s="5" t="s">
        <v>61</v>
      </c>
      <c r="F39" s="5"/>
      <c r="G39" s="5"/>
      <c r="H39" s="5">
        <v>27.0</v>
      </c>
      <c r="I39" s="5">
        <v>27.0</v>
      </c>
      <c r="J39" s="5">
        <v>22.0</v>
      </c>
      <c r="K39" s="5">
        <v>13.0</v>
      </c>
      <c r="L39" s="5">
        <v>15.0</v>
      </c>
      <c r="M39" s="5">
        <v>13.0</v>
      </c>
      <c r="N39" s="5">
        <v>110.0</v>
      </c>
      <c r="O39" s="5">
        <v>1.0</v>
      </c>
      <c r="P39" s="5">
        <v>10.0</v>
      </c>
      <c r="Q39" s="5"/>
      <c r="R39" s="1"/>
      <c r="S39" s="1"/>
    </row>
    <row r="40" ht="12.75" customHeight="1">
      <c r="A40" s="1" t="s">
        <v>62</v>
      </c>
      <c r="B40" s="1">
        <v>4.0</v>
      </c>
      <c r="D40" s="5">
        <v>75.0</v>
      </c>
      <c r="E40" s="5" t="s">
        <v>61</v>
      </c>
      <c r="F40" s="5"/>
      <c r="G40" s="5"/>
      <c r="H40" s="5">
        <v>28.0</v>
      </c>
      <c r="I40" s="5">
        <v>28.0</v>
      </c>
      <c r="J40" s="5">
        <v>23.0</v>
      </c>
      <c r="K40" s="5">
        <v>13.0</v>
      </c>
      <c r="L40" s="5">
        <v>15.0</v>
      </c>
      <c r="M40" s="5">
        <v>14.0</v>
      </c>
      <c r="N40" s="5">
        <v>118.0</v>
      </c>
      <c r="O40" s="5">
        <v>1.0</v>
      </c>
      <c r="P40" s="5">
        <v>15.0</v>
      </c>
      <c r="Q40" s="5"/>
      <c r="R40" s="1"/>
      <c r="S40" s="1"/>
    </row>
    <row r="41" ht="12.75" customHeight="1">
      <c r="A41" s="1" t="s">
        <v>63</v>
      </c>
      <c r="B41" s="1">
        <v>3.0</v>
      </c>
      <c r="D41" s="5">
        <v>76.0</v>
      </c>
      <c r="E41" s="5" t="s">
        <v>64</v>
      </c>
      <c r="F41" s="5"/>
      <c r="G41" s="5"/>
      <c r="H41" s="5">
        <v>30.0</v>
      </c>
      <c r="I41" s="5">
        <v>29.0</v>
      </c>
      <c r="J41" s="5">
        <v>24.0</v>
      </c>
      <c r="K41" s="5">
        <v>13.0</v>
      </c>
      <c r="L41" s="5">
        <v>17.0</v>
      </c>
      <c r="M41" s="5">
        <v>15.0</v>
      </c>
      <c r="N41" s="5">
        <v>121.0</v>
      </c>
      <c r="O41" s="5">
        <v>2.0</v>
      </c>
      <c r="P41" s="5">
        <v>20.0</v>
      </c>
      <c r="Q41" s="5"/>
      <c r="R41" s="1"/>
      <c r="S41" s="1"/>
    </row>
    <row r="42" ht="12.75" customHeight="1">
      <c r="A42" s="1" t="s">
        <v>65</v>
      </c>
      <c r="B42" s="1">
        <v>4.0</v>
      </c>
      <c r="D42" s="5">
        <v>77.0</v>
      </c>
      <c r="E42" s="5" t="s">
        <v>64</v>
      </c>
      <c r="F42" s="5"/>
      <c r="G42" s="5"/>
      <c r="H42" s="5">
        <v>31.0</v>
      </c>
      <c r="I42" s="5">
        <v>31.0</v>
      </c>
      <c r="J42" s="5">
        <v>25.0</v>
      </c>
      <c r="K42" s="5">
        <v>14.0</v>
      </c>
      <c r="L42" s="5">
        <v>17.0</v>
      </c>
      <c r="M42" s="5">
        <v>16.0</v>
      </c>
      <c r="N42" s="5">
        <v>126.0</v>
      </c>
      <c r="O42" s="5">
        <v>3.0</v>
      </c>
      <c r="P42" s="5">
        <v>25.0</v>
      </c>
      <c r="Q42" s="5"/>
      <c r="R42" s="1"/>
      <c r="S42" s="1"/>
    </row>
    <row r="43" ht="12.75" customHeight="1">
      <c r="A43" s="1" t="s">
        <v>66</v>
      </c>
      <c r="B43" s="1">
        <v>3.0</v>
      </c>
      <c r="D43" s="5">
        <v>78.0</v>
      </c>
      <c r="E43" s="5" t="s">
        <v>64</v>
      </c>
      <c r="F43" s="5"/>
      <c r="G43" s="5"/>
      <c r="H43" s="5">
        <v>32.0</v>
      </c>
      <c r="I43" s="5">
        <v>33.0</v>
      </c>
      <c r="J43" s="5">
        <v>26.0</v>
      </c>
      <c r="K43" s="5">
        <v>15.0</v>
      </c>
      <c r="L43" s="5">
        <v>18.0</v>
      </c>
      <c r="M43" s="5">
        <v>16.0</v>
      </c>
      <c r="N43" s="5">
        <v>130.0</v>
      </c>
      <c r="O43" s="5">
        <v>5.0</v>
      </c>
      <c r="P43" s="5">
        <v>30.0</v>
      </c>
      <c r="Q43" s="5"/>
      <c r="R43" s="1"/>
      <c r="S43" s="1"/>
    </row>
    <row r="44" ht="12.75" customHeight="1">
      <c r="A44" s="1" t="s">
        <v>67</v>
      </c>
      <c r="B44" s="1">
        <v>3.0</v>
      </c>
      <c r="D44" s="5">
        <v>79.0</v>
      </c>
      <c r="E44" s="5" t="s">
        <v>64</v>
      </c>
      <c r="F44" s="5"/>
      <c r="G44" s="5"/>
      <c r="H44" s="5">
        <v>33.0</v>
      </c>
      <c r="I44" s="5">
        <v>34.0</v>
      </c>
      <c r="J44" s="5">
        <v>27.0</v>
      </c>
      <c r="K44" s="5">
        <v>15.0</v>
      </c>
      <c r="L44" s="5">
        <v>19.0</v>
      </c>
      <c r="M44" s="5">
        <v>17.0</v>
      </c>
      <c r="N44" s="5">
        <v>135.0</v>
      </c>
      <c r="O44" s="5">
        <v>6.0</v>
      </c>
      <c r="P44" s="5">
        <v>35.0</v>
      </c>
      <c r="Q44" s="5"/>
      <c r="R44" s="1"/>
      <c r="S44" s="1"/>
    </row>
    <row r="45" ht="12.75" customHeight="1">
      <c r="A45" s="1" t="s">
        <v>68</v>
      </c>
      <c r="B45" s="1">
        <v>3.0</v>
      </c>
      <c r="D45" s="5">
        <v>80.0</v>
      </c>
      <c r="E45" s="5" t="s">
        <v>64</v>
      </c>
      <c r="F45" s="5"/>
      <c r="G45" s="5"/>
      <c r="H45" s="5">
        <v>35.0</v>
      </c>
      <c r="I45" s="5">
        <v>36.0</v>
      </c>
      <c r="J45" s="5">
        <v>28.0</v>
      </c>
      <c r="K45" s="5">
        <v>15.0</v>
      </c>
      <c r="L45" s="5">
        <v>21.0</v>
      </c>
      <c r="M45" s="5">
        <v>17.0</v>
      </c>
      <c r="N45" s="5">
        <v>140.0</v>
      </c>
      <c r="O45" s="5">
        <v>8.0</v>
      </c>
      <c r="P45" s="5">
        <v>40.0</v>
      </c>
      <c r="Q45" s="5"/>
      <c r="R45" s="1"/>
      <c r="S45" s="1"/>
    </row>
    <row r="46" ht="12.75" customHeight="1">
      <c r="A46" s="1" t="s">
        <v>69</v>
      </c>
      <c r="B46" s="1">
        <v>3.0</v>
      </c>
      <c r="D46" s="5">
        <v>81.0</v>
      </c>
      <c r="E46" s="5" t="s">
        <v>64</v>
      </c>
      <c r="F46" s="5"/>
      <c r="G46" s="5"/>
      <c r="H46" s="5">
        <v>36.0</v>
      </c>
      <c r="I46" s="5">
        <v>39.0</v>
      </c>
      <c r="J46" s="5">
        <v>30.0</v>
      </c>
      <c r="K46" s="5">
        <v>16.0</v>
      </c>
      <c r="L46" s="5">
        <v>21.0</v>
      </c>
      <c r="M46" s="5">
        <v>18.0</v>
      </c>
      <c r="N46" s="5">
        <v>145.0</v>
      </c>
      <c r="O46" s="5">
        <v>10.0</v>
      </c>
      <c r="P46" s="5">
        <v>45.0</v>
      </c>
      <c r="Q46" s="5"/>
      <c r="R46" s="1"/>
      <c r="S46" s="1"/>
    </row>
    <row r="47" ht="12.75" customHeight="1">
      <c r="A47" s="1" t="s">
        <v>70</v>
      </c>
      <c r="B47" s="1">
        <v>3.0</v>
      </c>
      <c r="D47" s="5">
        <v>82.0</v>
      </c>
      <c r="E47" s="5" t="s">
        <v>64</v>
      </c>
      <c r="F47" s="5"/>
      <c r="G47" s="5"/>
      <c r="H47" s="5">
        <v>38.0</v>
      </c>
      <c r="I47" s="5">
        <v>40.0</v>
      </c>
      <c r="J47" s="5">
        <v>31.0</v>
      </c>
      <c r="K47" s="5">
        <v>17.0</v>
      </c>
      <c r="L47" s="5">
        <v>22.0</v>
      </c>
      <c r="M47" s="5">
        <v>19.0</v>
      </c>
      <c r="N47" s="5">
        <v>151.0</v>
      </c>
      <c r="O47" s="5">
        <v>12.0</v>
      </c>
      <c r="P47" s="5">
        <v>50.0</v>
      </c>
      <c r="Q47" s="5"/>
      <c r="R47" s="1"/>
      <c r="S47" s="1"/>
    </row>
    <row r="48" ht="12.75" customHeight="1">
      <c r="A48" s="1" t="s">
        <v>71</v>
      </c>
      <c r="B48" s="1">
        <v>3.0</v>
      </c>
      <c r="D48" s="5">
        <v>83.0</v>
      </c>
      <c r="E48" s="5" t="s">
        <v>64</v>
      </c>
      <c r="F48" s="5"/>
      <c r="G48" s="5"/>
      <c r="H48" s="5">
        <v>40.0</v>
      </c>
      <c r="I48" s="5">
        <v>41.0</v>
      </c>
      <c r="J48" s="5">
        <v>31.0</v>
      </c>
      <c r="K48" s="5">
        <v>18.0</v>
      </c>
      <c r="L48" s="5">
        <v>24.0</v>
      </c>
      <c r="M48" s="5">
        <v>19.0</v>
      </c>
      <c r="N48" s="5">
        <v>158.0</v>
      </c>
      <c r="O48" s="5">
        <v>14.0</v>
      </c>
      <c r="P48" s="5">
        <v>55.0</v>
      </c>
      <c r="Q48" s="5"/>
      <c r="R48" s="1"/>
      <c r="S48" s="1"/>
    </row>
    <row r="49" ht="12.75" customHeight="1">
      <c r="A49" s="1" t="s">
        <v>72</v>
      </c>
      <c r="B49" s="1">
        <v>3.0</v>
      </c>
      <c r="D49" s="5">
        <v>84.0</v>
      </c>
      <c r="E49" s="5" t="s">
        <v>64</v>
      </c>
      <c r="F49" s="5"/>
      <c r="G49" s="5"/>
      <c r="H49" s="5">
        <v>42.0</v>
      </c>
      <c r="I49" s="5">
        <v>42.0</v>
      </c>
      <c r="J49" s="5">
        <v>33.0</v>
      </c>
      <c r="K49" s="5">
        <v>19.0</v>
      </c>
      <c r="L49" s="5">
        <v>25.0</v>
      </c>
      <c r="M49" s="5">
        <v>20.0</v>
      </c>
      <c r="N49" s="5">
        <v>164.0</v>
      </c>
      <c r="O49" s="5">
        <v>17.0</v>
      </c>
      <c r="P49" s="5">
        <v>60.0</v>
      </c>
      <c r="Q49" s="5"/>
      <c r="R49" s="1"/>
      <c r="S49" s="1"/>
    </row>
    <row r="50" ht="12.75" customHeight="1">
      <c r="A50" s="1" t="s">
        <v>73</v>
      </c>
      <c r="B50" s="1">
        <v>2.0</v>
      </c>
      <c r="D50" s="5">
        <v>85.0</v>
      </c>
      <c r="E50" s="5" t="s">
        <v>74</v>
      </c>
      <c r="F50" s="5"/>
      <c r="G50" s="5"/>
      <c r="H50" s="5">
        <v>44.0</v>
      </c>
      <c r="I50" s="5">
        <v>46.0</v>
      </c>
      <c r="J50" s="5">
        <v>34.0</v>
      </c>
      <c r="K50" s="5">
        <v>20.0</v>
      </c>
      <c r="L50" s="5">
        <v>26.0</v>
      </c>
      <c r="M50" s="5">
        <v>21.0</v>
      </c>
      <c r="N50" s="5">
        <v>171.0</v>
      </c>
      <c r="O50" s="5">
        <v>21.0</v>
      </c>
      <c r="P50" s="5">
        <v>65.0</v>
      </c>
      <c r="Q50" s="5"/>
      <c r="R50" s="1"/>
      <c r="S50" s="1"/>
    </row>
    <row r="51" ht="12.75" customHeight="1">
      <c r="A51" s="1" t="s">
        <v>75</v>
      </c>
      <c r="B51" s="1">
        <v>3.0</v>
      </c>
      <c r="D51" s="5">
        <v>86.0</v>
      </c>
      <c r="E51" s="5" t="s">
        <v>74</v>
      </c>
      <c r="F51" s="5"/>
      <c r="G51" s="5"/>
      <c r="H51" s="5">
        <v>46.0</v>
      </c>
      <c r="I51" s="5">
        <v>49.0</v>
      </c>
      <c r="J51" s="5">
        <v>35.0</v>
      </c>
      <c r="K51" s="5">
        <v>22.0</v>
      </c>
      <c r="L51" s="5">
        <v>27.0</v>
      </c>
      <c r="M51" s="5">
        <v>22.0</v>
      </c>
      <c r="N51" s="5">
        <v>178.0</v>
      </c>
      <c r="O51" s="5">
        <v>23.0</v>
      </c>
      <c r="P51" s="5">
        <v>70.0</v>
      </c>
      <c r="Q51" s="5"/>
      <c r="R51" s="1"/>
      <c r="S51" s="1"/>
    </row>
    <row r="52" ht="12.75" customHeight="1">
      <c r="A52" s="1" t="s">
        <v>76</v>
      </c>
      <c r="B52" s="1">
        <v>3.0</v>
      </c>
      <c r="D52" s="5">
        <v>87.0</v>
      </c>
      <c r="E52" s="5" t="s">
        <v>74</v>
      </c>
      <c r="F52" s="5"/>
      <c r="G52" s="5"/>
      <c r="H52" s="5">
        <v>50.0</v>
      </c>
      <c r="I52" s="5">
        <v>52.0</v>
      </c>
      <c r="J52" s="5">
        <v>37.0</v>
      </c>
      <c r="K52" s="5">
        <v>24.0</v>
      </c>
      <c r="L52" s="5">
        <v>28.0</v>
      </c>
      <c r="M52" s="5">
        <v>23.0</v>
      </c>
      <c r="N52" s="5">
        <v>184.0</v>
      </c>
      <c r="O52" s="5">
        <v>27.0</v>
      </c>
      <c r="P52" s="5">
        <v>75.0</v>
      </c>
      <c r="Q52" s="5"/>
      <c r="R52" s="1"/>
      <c r="S52" s="1"/>
    </row>
    <row r="53" ht="12.75" customHeight="1">
      <c r="A53" s="1" t="s">
        <v>77</v>
      </c>
      <c r="B53" s="1">
        <v>3.0</v>
      </c>
      <c r="D53" s="5">
        <v>88.0</v>
      </c>
      <c r="E53" s="5" t="s">
        <v>74</v>
      </c>
      <c r="F53" s="5"/>
      <c r="G53" s="5"/>
      <c r="H53" s="5">
        <v>54.0</v>
      </c>
      <c r="I53" s="5">
        <v>56.0</v>
      </c>
      <c r="J53" s="5">
        <v>39.0</v>
      </c>
      <c r="K53" s="5">
        <v>25.0</v>
      </c>
      <c r="L53" s="5">
        <v>30.0</v>
      </c>
      <c r="M53" s="5">
        <v>24.0</v>
      </c>
      <c r="N53" s="5">
        <v>194.0</v>
      </c>
      <c r="O53" s="5">
        <v>30.0</v>
      </c>
      <c r="P53" s="5">
        <v>80.0</v>
      </c>
      <c r="Q53" s="5"/>
      <c r="R53" s="1"/>
      <c r="S53" s="1"/>
    </row>
    <row r="54" ht="12.75" customHeight="1">
      <c r="A54" s="1" t="s">
        <v>78</v>
      </c>
      <c r="B54" s="1">
        <v>3.0</v>
      </c>
      <c r="D54" s="5">
        <v>89.0</v>
      </c>
      <c r="E54" s="5" t="s">
        <v>74</v>
      </c>
      <c r="F54" s="5"/>
      <c r="G54" s="5"/>
      <c r="H54" s="5">
        <v>58.0</v>
      </c>
      <c r="I54" s="5">
        <v>59.0</v>
      </c>
      <c r="J54" s="5">
        <v>42.0</v>
      </c>
      <c r="K54" s="5">
        <v>28.0</v>
      </c>
      <c r="L54" s="5">
        <v>32.0</v>
      </c>
      <c r="M54" s="5">
        <v>26.0</v>
      </c>
      <c r="N54" s="5">
        <v>206.0</v>
      </c>
      <c r="O54" s="5">
        <v>36.0</v>
      </c>
      <c r="P54" s="5">
        <v>85.0</v>
      </c>
      <c r="Q54" s="5"/>
      <c r="R54" s="1"/>
      <c r="S54" s="1"/>
    </row>
    <row r="55" ht="12.75" customHeight="1">
      <c r="A55" s="1" t="s">
        <v>79</v>
      </c>
      <c r="B55" s="1">
        <v>3.0</v>
      </c>
      <c r="D55" s="5">
        <v>90.0</v>
      </c>
      <c r="E55" s="5" t="s">
        <v>74</v>
      </c>
      <c r="F55" s="5"/>
      <c r="G55" s="5"/>
      <c r="H55" s="5">
        <v>64.0</v>
      </c>
      <c r="I55" s="5">
        <v>65.0</v>
      </c>
      <c r="J55" s="5">
        <v>46.0</v>
      </c>
      <c r="K55" s="5">
        <v>32.0</v>
      </c>
      <c r="L55" s="5">
        <v>36.0</v>
      </c>
      <c r="M55" s="5">
        <v>29.0</v>
      </c>
      <c r="N55" s="5">
        <v>224.0</v>
      </c>
      <c r="O55" s="5">
        <v>45.0</v>
      </c>
      <c r="P55" s="5">
        <v>90.0</v>
      </c>
      <c r="Q55" s="5"/>
      <c r="R55" s="1"/>
      <c r="S55" s="1"/>
    </row>
    <row r="56" ht="12.75" customHeight="1">
      <c r="A56" s="1" t="s">
        <v>80</v>
      </c>
      <c r="B56" s="1">
        <v>3.0</v>
      </c>
      <c r="D56" s="5">
        <v>91.0</v>
      </c>
      <c r="E56" s="5" t="s">
        <v>74</v>
      </c>
      <c r="F56" s="5"/>
      <c r="G56" s="5"/>
      <c r="H56" s="5">
        <v>69.0</v>
      </c>
      <c r="I56" s="5">
        <v>74.0</v>
      </c>
      <c r="J56" s="5">
        <v>54.0</v>
      </c>
      <c r="K56" s="5">
        <v>37.0</v>
      </c>
      <c r="L56" s="5">
        <v>42.0</v>
      </c>
      <c r="M56" s="5">
        <v>33.0</v>
      </c>
      <c r="N56" s="5">
        <v>264.0</v>
      </c>
      <c r="O56" s="5">
        <v>58.0</v>
      </c>
      <c r="P56" s="5">
        <v>95.0</v>
      </c>
      <c r="Q56" s="5"/>
      <c r="R56" s="1"/>
      <c r="S56" s="1"/>
    </row>
    <row r="57" ht="12.75" customHeight="1">
      <c r="A57" s="1" t="s">
        <v>81</v>
      </c>
      <c r="B57" s="1">
        <v>3.0</v>
      </c>
      <c r="D57" s="5">
        <v>92.0</v>
      </c>
      <c r="E57" s="5" t="s">
        <v>74</v>
      </c>
      <c r="F57" s="5"/>
      <c r="G57" s="5"/>
      <c r="H57" s="5">
        <v>80.0</v>
      </c>
      <c r="I57" s="5">
        <v>92.0</v>
      </c>
      <c r="J57" s="5">
        <v>68.0</v>
      </c>
      <c r="K57" s="5">
        <v>44.0</v>
      </c>
      <c r="L57" s="5">
        <v>50.0</v>
      </c>
      <c r="M57" s="5">
        <v>40.0</v>
      </c>
      <c r="N57" s="5">
        <v>324.0</v>
      </c>
      <c r="O57" s="5">
        <v>80.0</v>
      </c>
      <c r="P57" s="5">
        <v>99.0</v>
      </c>
      <c r="Q57" s="5"/>
      <c r="R57" s="1"/>
      <c r="S57" s="1"/>
    </row>
    <row r="58" ht="12.75" customHeight="1">
      <c r="A58" s="1" t="s">
        <v>82</v>
      </c>
      <c r="B58" s="1">
        <v>2.0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/>
      <c r="S58" s="1"/>
    </row>
    <row r="59" ht="12.75" customHeight="1">
      <c r="A59" s="1" t="s">
        <v>84</v>
      </c>
      <c r="B59" s="1">
        <v>1.0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/>
      <c r="S59" s="1"/>
    </row>
    <row r="60" ht="12.75" customHeight="1">
      <c r="A60" s="1" t="s">
        <v>85</v>
      </c>
      <c r="B60" s="1">
        <v>3.0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/>
      <c r="S60" s="1"/>
    </row>
    <row r="61" ht="12.75" customHeight="1">
      <c r="A61" s="1" t="s">
        <v>86</v>
      </c>
      <c r="B61" s="1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"/>
      <c r="S61" s="1"/>
    </row>
    <row r="62" ht="12.75" customHeight="1">
      <c r="A62" s="1" t="s">
        <v>88</v>
      </c>
      <c r="B62" s="1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/>
      <c r="S62" s="1"/>
    </row>
    <row r="63" ht="12.75" customHeight="1">
      <c r="A63" s="1" t="s">
        <v>89</v>
      </c>
      <c r="B63" s="1">
        <v>3.0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"/>
      <c r="S63" s="1"/>
    </row>
    <row r="64" ht="12.75" customHeight="1">
      <c r="A64" s="1" t="s">
        <v>90</v>
      </c>
      <c r="B64" s="1">
        <v>2.0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/>
      <c r="S64" s="1"/>
    </row>
    <row r="65" ht="12.75" customHeight="1">
      <c r="A65" s="1" t="s">
        <v>92</v>
      </c>
      <c r="B65" s="1">
        <v>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2.75" customHeight="1">
      <c r="A66" s="1" t="s">
        <v>93</v>
      </c>
      <c r="B66" s="1">
        <v>2.0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1" t="s">
        <v>94</v>
      </c>
      <c r="B67" s="1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1" t="s">
        <v>95</v>
      </c>
      <c r="B68" s="1">
        <v>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2.75" customHeight="1">
      <c r="A69" s="1" t="s">
        <v>96</v>
      </c>
      <c r="B69" s="1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2.75" customHeight="1">
      <c r="A70" s="1" t="s">
        <v>97</v>
      </c>
      <c r="B70" s="1">
        <v>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2.75" customHeight="1">
      <c r="A71" s="1" t="s">
        <v>98</v>
      </c>
      <c r="B71" s="1">
        <v>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2.75" customHeight="1">
      <c r="A72" s="1" t="s">
        <v>99</v>
      </c>
      <c r="B72" s="1">
        <v>2.0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2.75" customHeight="1">
      <c r="A73" s="1" t="s">
        <v>100</v>
      </c>
      <c r="B73" s="1">
        <v>3.0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2.75" customHeight="1">
      <c r="A74" s="1" t="s">
        <v>101</v>
      </c>
      <c r="B74" s="1">
        <v>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2.75" customHeight="1">
      <c r="A75" s="1" t="s">
        <v>102</v>
      </c>
      <c r="B75" s="1">
        <v>3.0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2.75" customHeight="1">
      <c r="A76" s="1" t="s">
        <v>103</v>
      </c>
      <c r="B76" s="1">
        <v>3.0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2.75" customHeight="1">
      <c r="A77" s="1" t="s">
        <v>104</v>
      </c>
      <c r="B77" s="1">
        <v>4.0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2.75" customHeight="1">
      <c r="A78" s="1" t="s">
        <v>105</v>
      </c>
      <c r="B78" s="1">
        <v>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2.75" customHeight="1">
      <c r="A79" s="1" t="s">
        <v>106</v>
      </c>
      <c r="B79" s="1">
        <v>2.0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2.75" customHeight="1">
      <c r="A80" s="1" t="s">
        <v>107</v>
      </c>
      <c r="B80" s="1">
        <v>3.0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2.75" customHeight="1">
      <c r="A81" s="1" t="s">
        <v>108</v>
      </c>
      <c r="B81" s="1">
        <v>3.0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2.75" customHeight="1">
      <c r="A82" s="1" t="s">
        <v>109</v>
      </c>
      <c r="B82" s="1">
        <v>3.0</v>
      </c>
    </row>
    <row r="83" ht="12.75" customHeight="1">
      <c r="A83" s="1" t="s">
        <v>110</v>
      </c>
      <c r="B83" s="1">
        <v>4.0</v>
      </c>
    </row>
    <row r="84" ht="12.75" customHeight="1">
      <c r="A84" s="1" t="s">
        <v>111</v>
      </c>
      <c r="B84" s="1">
        <v>3.0</v>
      </c>
    </row>
    <row r="85" ht="12.75" customHeight="1">
      <c r="A85" s="1" t="s">
        <v>112</v>
      </c>
      <c r="B85" s="1">
        <v>3.0</v>
      </c>
    </row>
    <row r="86" ht="12.75" customHeight="1">
      <c r="A86" s="1" t="s">
        <v>113</v>
      </c>
      <c r="B86" s="1">
        <v>2.0</v>
      </c>
    </row>
    <row r="87" ht="12.75" customHeight="1">
      <c r="A87" s="1" t="s">
        <v>114</v>
      </c>
      <c r="B87" s="1">
        <v>3.0</v>
      </c>
    </row>
    <row r="88" ht="12.75" customHeight="1">
      <c r="A88" s="1" t="s">
        <v>115</v>
      </c>
      <c r="B88" s="1">
        <v>3.0</v>
      </c>
    </row>
    <row r="89" ht="12.75" customHeight="1">
      <c r="A89" s="1" t="s">
        <v>116</v>
      </c>
      <c r="B89" s="1">
        <v>3.0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3" width="8.63"/>
    <col customWidth="1" min="4" max="4" width="53.25"/>
    <col customWidth="1" min="5" max="5" width="27.13"/>
    <col customWidth="1" min="6" max="6" width="8.63"/>
    <col customWidth="1" min="7" max="7" width="22.88"/>
    <col customWidth="1" min="8" max="26" width="8.63"/>
  </cols>
  <sheetData>
    <row r="1" ht="12.75" customHeight="1">
      <c r="A1" s="1" t="s">
        <v>0</v>
      </c>
      <c r="B1" s="2">
        <v>4.0</v>
      </c>
      <c r="D1" s="3" t="s">
        <v>1</v>
      </c>
      <c r="E1" s="3">
        <f>SUM(B1:B21)</f>
        <v>71</v>
      </c>
    </row>
    <row r="2" ht="12.75" customHeight="1">
      <c r="A2" s="1" t="s">
        <v>2</v>
      </c>
      <c r="B2" s="2">
        <v>1.0</v>
      </c>
      <c r="D2" s="3" t="s">
        <v>3</v>
      </c>
      <c r="E2" s="3">
        <f>SUM(B22:B45)</f>
        <v>90</v>
      </c>
      <c r="G2" s="5"/>
      <c r="H2" s="5"/>
      <c r="I2" s="5"/>
      <c r="J2" s="6"/>
    </row>
    <row r="3" ht="12.75" customHeight="1">
      <c r="A3" s="1" t="s">
        <v>4</v>
      </c>
      <c r="B3" s="2">
        <v>3.0</v>
      </c>
      <c r="D3" s="3" t="s">
        <v>5</v>
      </c>
      <c r="E3" s="3">
        <f>SUM(B46:B64)</f>
        <v>100</v>
      </c>
      <c r="G3" s="7"/>
      <c r="H3" s="7">
        <f>COUNTIF(B1:B89,"3")</f>
        <v>9</v>
      </c>
      <c r="I3" s="7"/>
      <c r="J3" s="6"/>
    </row>
    <row r="4" ht="12.75" customHeight="1">
      <c r="A4" s="1" t="s">
        <v>6</v>
      </c>
      <c r="B4" s="2">
        <v>3.0</v>
      </c>
      <c r="D4" s="3" t="s">
        <v>7</v>
      </c>
      <c r="E4" s="3">
        <f>SUM(B65:B76)</f>
        <v>43</v>
      </c>
      <c r="G4" s="7"/>
      <c r="H4" s="7">
        <f>COUNTIF(B1:B89,"4")</f>
        <v>69</v>
      </c>
      <c r="I4" s="7"/>
      <c r="J4" s="6"/>
    </row>
    <row r="5" ht="12.75" customHeight="1">
      <c r="A5" s="1" t="s">
        <v>8</v>
      </c>
      <c r="B5" s="2">
        <v>2.0</v>
      </c>
      <c r="D5" s="3" t="s">
        <v>9</v>
      </c>
      <c r="E5" s="3">
        <f>SUM(B77:B89)</f>
        <v>49</v>
      </c>
      <c r="G5" s="7"/>
      <c r="H5" s="7">
        <f>SUM(H3:H4)</f>
        <v>78</v>
      </c>
      <c r="I5" s="7"/>
      <c r="J5" s="6"/>
    </row>
    <row r="6" ht="12.75" customHeight="1">
      <c r="A6" s="1" t="s">
        <v>10</v>
      </c>
      <c r="B6" s="2">
        <v>2.0</v>
      </c>
      <c r="D6" s="3" t="s">
        <v>11</v>
      </c>
      <c r="E6" s="3">
        <f>SUM(B1,B6,B14,B16,B24,B49,B50,B55,B60,B65,B69)</f>
        <v>39</v>
      </c>
      <c r="G6" s="6"/>
      <c r="H6" s="6"/>
      <c r="I6" s="6"/>
      <c r="J6" s="6"/>
    </row>
    <row r="7" ht="12.75" customHeight="1">
      <c r="A7" s="1" t="s">
        <v>12</v>
      </c>
      <c r="B7" s="2">
        <v>4.0</v>
      </c>
      <c r="D7" s="3" t="s">
        <v>13</v>
      </c>
      <c r="E7" s="3">
        <f>SUM(E1:E5)</f>
        <v>353</v>
      </c>
    </row>
    <row r="8" ht="12.75" customHeight="1">
      <c r="A8" s="1" t="s">
        <v>14</v>
      </c>
      <c r="B8" s="2">
        <v>4.0</v>
      </c>
      <c r="D8" s="3" t="s">
        <v>15</v>
      </c>
      <c r="E8" s="3">
        <f>H5</f>
        <v>78</v>
      </c>
      <c r="F8" s="5"/>
      <c r="G8" s="5"/>
      <c r="H8" s="5"/>
      <c r="I8" s="5"/>
      <c r="J8" s="5"/>
      <c r="K8" s="5"/>
      <c r="L8" s="5"/>
      <c r="M8" s="1"/>
      <c r="N8" s="1"/>
      <c r="O8" s="1"/>
    </row>
    <row r="9" ht="12.75" customHeight="1">
      <c r="A9" s="1" t="s">
        <v>16</v>
      </c>
      <c r="B9" s="2">
        <v>3.0</v>
      </c>
      <c r="D9" s="3"/>
      <c r="E9" s="3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/>
      <c r="L9" s="7"/>
      <c r="M9" s="8"/>
      <c r="N9" s="8"/>
      <c r="O9" s="8"/>
      <c r="P9" s="9"/>
      <c r="Q9" s="9"/>
      <c r="R9" s="9"/>
    </row>
    <row r="10" ht="12.75" customHeight="1">
      <c r="A10" s="1" t="s">
        <v>23</v>
      </c>
      <c r="B10" s="2">
        <v>4.0</v>
      </c>
      <c r="D10" s="3" t="s">
        <v>1</v>
      </c>
      <c r="E10" s="3">
        <f>VLOOKUP(E1,H36:P57,9,1)</f>
        <v>95</v>
      </c>
      <c r="F10" s="7">
        <v>76.0</v>
      </c>
      <c r="G10" s="7">
        <v>84.0</v>
      </c>
      <c r="H10" s="7">
        <v>93.0</v>
      </c>
      <c r="I10" s="7">
        <v>96.0</v>
      </c>
      <c r="J10" s="7">
        <v>99.0</v>
      </c>
      <c r="K10" s="7"/>
      <c r="L10" s="7"/>
      <c r="M10" s="8"/>
      <c r="N10" s="8"/>
      <c r="O10" s="8"/>
      <c r="P10" s="9"/>
      <c r="Q10" s="9"/>
      <c r="R10" s="9"/>
    </row>
    <row r="11" ht="12.75" customHeight="1">
      <c r="A11" s="1" t="s">
        <v>24</v>
      </c>
      <c r="B11" s="2">
        <v>4.0</v>
      </c>
      <c r="D11" s="3" t="s">
        <v>3</v>
      </c>
      <c r="E11" s="3">
        <f>VLOOKUP(E2,I37:P57,8,1)</f>
        <v>99</v>
      </c>
      <c r="F11" s="7">
        <v>76.0</v>
      </c>
      <c r="G11" s="7">
        <v>84.0</v>
      </c>
      <c r="H11" s="7">
        <v>93.0</v>
      </c>
      <c r="I11" s="7">
        <v>96.0</v>
      </c>
      <c r="J11" s="7">
        <v>99.0</v>
      </c>
      <c r="K11" s="7"/>
      <c r="L11" s="7"/>
      <c r="M11" s="8"/>
      <c r="N11" s="8"/>
      <c r="O11" s="8"/>
      <c r="P11" s="9"/>
      <c r="Q11" s="9"/>
      <c r="R11" s="9"/>
    </row>
    <row r="12" ht="12.75" customHeight="1">
      <c r="A12" s="1" t="s">
        <v>25</v>
      </c>
      <c r="B12" s="2">
        <v>4.0</v>
      </c>
      <c r="D12" s="3" t="s">
        <v>5</v>
      </c>
      <c r="E12" s="3">
        <f>VLOOKUP(E3,J37:P57,7,1)</f>
        <v>99</v>
      </c>
      <c r="F12" s="7">
        <v>76.0</v>
      </c>
      <c r="G12" s="7">
        <v>84.0</v>
      </c>
      <c r="H12" s="7">
        <v>93.0</v>
      </c>
      <c r="I12" s="7">
        <v>96.0</v>
      </c>
      <c r="J12" s="7">
        <v>99.0</v>
      </c>
      <c r="K12" s="7"/>
      <c r="L12" s="7"/>
      <c r="M12" s="8"/>
      <c r="N12" s="8"/>
      <c r="O12" s="8"/>
      <c r="P12" s="9"/>
      <c r="Q12" s="9"/>
      <c r="R12" s="9"/>
    </row>
    <row r="13" ht="12.75" customHeight="1">
      <c r="A13" s="1" t="s">
        <v>26</v>
      </c>
      <c r="B13" s="2">
        <v>4.0</v>
      </c>
      <c r="D13" s="3" t="s">
        <v>7</v>
      </c>
      <c r="E13" s="3">
        <f>VLOOKUP(E4,K37:P57,6,1)</f>
        <v>95</v>
      </c>
      <c r="F13" s="7">
        <v>76.0</v>
      </c>
      <c r="G13" s="7">
        <v>84.0</v>
      </c>
      <c r="H13" s="7">
        <v>93.0</v>
      </c>
      <c r="I13" s="7">
        <v>96.0</v>
      </c>
      <c r="J13" s="7">
        <v>99.0</v>
      </c>
      <c r="K13" s="7"/>
      <c r="L13" s="7"/>
      <c r="M13" s="8"/>
      <c r="N13" s="8"/>
      <c r="O13" s="8"/>
      <c r="P13" s="9"/>
      <c r="Q13" s="9"/>
      <c r="R13" s="9"/>
    </row>
    <row r="14" ht="12.75" customHeight="1">
      <c r="A14" s="1" t="s">
        <v>27</v>
      </c>
      <c r="B14" s="2">
        <v>4.0</v>
      </c>
      <c r="D14" s="3" t="s">
        <v>9</v>
      </c>
      <c r="E14" s="3">
        <f>VLOOKUP(E5,L37:P57,5,1)</f>
        <v>99</v>
      </c>
      <c r="F14" s="7">
        <v>76.0</v>
      </c>
      <c r="G14" s="7">
        <v>84.0</v>
      </c>
      <c r="H14" s="7">
        <v>93.0</v>
      </c>
      <c r="I14" s="7">
        <v>96.0</v>
      </c>
      <c r="J14" s="7">
        <v>99.0</v>
      </c>
      <c r="K14" s="7"/>
      <c r="L14" s="7"/>
      <c r="M14" s="8"/>
      <c r="N14" s="8"/>
      <c r="O14" s="8"/>
      <c r="P14" s="9"/>
      <c r="Q14" s="9"/>
      <c r="R14" s="9"/>
    </row>
    <row r="15" ht="12.75" customHeight="1">
      <c r="A15" s="1" t="s">
        <v>28</v>
      </c>
      <c r="B15" s="2">
        <v>4.0</v>
      </c>
      <c r="D15" s="3" t="s">
        <v>11</v>
      </c>
      <c r="E15" s="3">
        <f>VLOOKUP(E6,M37:P57,4,1)</f>
        <v>99</v>
      </c>
      <c r="F15" s="7">
        <v>76.0</v>
      </c>
      <c r="G15" s="7">
        <v>84.0</v>
      </c>
      <c r="H15" s="7">
        <v>93.0</v>
      </c>
      <c r="I15" s="7">
        <v>96.0</v>
      </c>
      <c r="J15" s="7">
        <v>99.0</v>
      </c>
      <c r="K15" s="7"/>
      <c r="L15" s="7"/>
      <c r="M15" s="8"/>
      <c r="N15" s="8"/>
      <c r="O15" s="8"/>
      <c r="P15" s="9"/>
      <c r="Q15" s="9"/>
      <c r="R15" s="9"/>
    </row>
    <row r="16" ht="12.75" customHeight="1">
      <c r="A16" s="1" t="s">
        <v>29</v>
      </c>
      <c r="B16" s="2">
        <v>4.0</v>
      </c>
      <c r="D16" s="3" t="s">
        <v>13</v>
      </c>
      <c r="E16" s="3">
        <f>VLOOKUP(E7,N37:P57,3,1)</f>
        <v>99</v>
      </c>
      <c r="F16" s="7">
        <v>76.0</v>
      </c>
      <c r="G16" s="7">
        <v>84.0</v>
      </c>
      <c r="H16" s="7">
        <v>93.0</v>
      </c>
      <c r="I16" s="7">
        <v>96.0</v>
      </c>
      <c r="J16" s="7">
        <v>99.0</v>
      </c>
      <c r="K16" s="7"/>
      <c r="L16" s="7"/>
      <c r="M16" s="8"/>
      <c r="N16" s="8"/>
      <c r="O16" s="8"/>
      <c r="P16" s="9"/>
      <c r="Q16" s="9"/>
      <c r="R16" s="9"/>
    </row>
    <row r="17" ht="12.75" customHeight="1">
      <c r="A17" s="1" t="s">
        <v>30</v>
      </c>
      <c r="B17" s="2">
        <v>4.0</v>
      </c>
      <c r="D17" s="3" t="s">
        <v>15</v>
      </c>
      <c r="E17" s="3">
        <f>VLOOKUP(E8,O37:P57,2,1)</f>
        <v>99</v>
      </c>
      <c r="F17" s="7">
        <v>76.0</v>
      </c>
      <c r="G17" s="7">
        <v>84.0</v>
      </c>
      <c r="H17" s="7">
        <v>93.0</v>
      </c>
      <c r="I17" s="7">
        <v>96.0</v>
      </c>
      <c r="J17" s="7">
        <v>99.0</v>
      </c>
      <c r="K17" s="8"/>
      <c r="L17" s="8"/>
      <c r="M17" s="8"/>
      <c r="N17" s="8"/>
      <c r="O17" s="8"/>
      <c r="P17" s="9"/>
      <c r="Q17" s="9"/>
      <c r="R17" s="9"/>
    </row>
    <row r="18" ht="12.75" customHeight="1">
      <c r="A18" s="1" t="s">
        <v>31</v>
      </c>
      <c r="B18" s="2">
        <v>3.0</v>
      </c>
      <c r="F18" s="5"/>
      <c r="G18" s="5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1" t="s">
        <v>32</v>
      </c>
      <c r="B19" s="2">
        <v>2.0</v>
      </c>
      <c r="F19" s="1"/>
      <c r="G19" s="1"/>
      <c r="H19" s="1"/>
      <c r="I19" s="1"/>
      <c r="J19" s="1"/>
      <c r="K19" s="1"/>
      <c r="L19" s="1"/>
      <c r="M19" s="1"/>
      <c r="N19" s="1"/>
    </row>
    <row r="20" ht="12.75" customHeight="1">
      <c r="A20" s="1" t="s">
        <v>33</v>
      </c>
      <c r="B20" s="2">
        <v>4.0</v>
      </c>
    </row>
    <row r="21" ht="12.75" customHeight="1">
      <c r="A21" s="1" t="s">
        <v>34</v>
      </c>
      <c r="B21" s="2">
        <v>4.0</v>
      </c>
      <c r="D21" s="3" t="s">
        <v>1</v>
      </c>
      <c r="E21" s="3" t="str">
        <f>VLOOKUP(E10,D39:E64,2,1)</f>
        <v>DEFICIÊNCIA LEVE</v>
      </c>
    </row>
    <row r="22" ht="12.75" customHeight="1">
      <c r="A22" s="1" t="s">
        <v>35</v>
      </c>
      <c r="B22" s="2">
        <v>4.0</v>
      </c>
      <c r="D22" s="3" t="s">
        <v>3</v>
      </c>
      <c r="E22" s="3" t="str">
        <f>VLOOKUP(E11,D39:E64,2,1)</f>
        <v>DEFICIÊNCIA SEVERA</v>
      </c>
    </row>
    <row r="23" ht="12.75" customHeight="1">
      <c r="A23" s="1" t="s">
        <v>36</v>
      </c>
      <c r="B23" s="2">
        <v>4.0</v>
      </c>
      <c r="D23" s="3" t="s">
        <v>5</v>
      </c>
      <c r="E23" s="3" t="str">
        <f>VLOOKUP(E12,D39:E64,2,1)</f>
        <v>DEFICIÊNCIA SEVERA</v>
      </c>
    </row>
    <row r="24" ht="12.75" customHeight="1">
      <c r="A24" s="1" t="s">
        <v>37</v>
      </c>
      <c r="B24" s="2">
        <v>4.0</v>
      </c>
      <c r="D24" s="3" t="s">
        <v>7</v>
      </c>
      <c r="E24" s="3" t="str">
        <f>VLOOKUP(E13,D39:E64,2,1)</f>
        <v>DEFICIÊNCIA LEVE</v>
      </c>
    </row>
    <row r="25" ht="12.75" customHeight="1">
      <c r="A25" s="1" t="s">
        <v>38</v>
      </c>
      <c r="B25" s="2">
        <v>4.0</v>
      </c>
      <c r="D25" s="3" t="s">
        <v>9</v>
      </c>
      <c r="E25" s="3" t="str">
        <f>VLOOKUP(E14,D39:E64,2,1)</f>
        <v>DEFICIÊNCIA SEVERA</v>
      </c>
    </row>
    <row r="26" ht="12.75" customHeight="1">
      <c r="A26" s="1" t="s">
        <v>39</v>
      </c>
      <c r="B26" s="2">
        <v>4.0</v>
      </c>
      <c r="D26" s="3" t="s">
        <v>11</v>
      </c>
      <c r="E26" s="3" t="str">
        <f>VLOOKUP(E15,D39:E64,2,1)</f>
        <v>DEFICIÊNCIA SEVERA</v>
      </c>
    </row>
    <row r="27" ht="12.75" customHeight="1">
      <c r="A27" s="1" t="s">
        <v>40</v>
      </c>
      <c r="B27" s="2">
        <v>2.0</v>
      </c>
      <c r="D27" s="3" t="s">
        <v>13</v>
      </c>
      <c r="E27" s="3" t="str">
        <f>VLOOKUP(E16,D39:E64,2,1)</f>
        <v>DEFICIÊNCIA SEVERA</v>
      </c>
    </row>
    <row r="28" ht="12.75" customHeight="1">
      <c r="A28" s="1" t="s">
        <v>41</v>
      </c>
      <c r="B28" s="2">
        <v>4.0</v>
      </c>
      <c r="D28" s="3" t="s">
        <v>15</v>
      </c>
      <c r="E28" s="3" t="str">
        <f>VLOOKUP(E17,D39:E64,2,1)</f>
        <v>DEFICIÊNCIA SEVERA</v>
      </c>
    </row>
    <row r="29" ht="12.75" customHeight="1">
      <c r="A29" s="1" t="s">
        <v>42</v>
      </c>
      <c r="B29" s="2">
        <v>3.0</v>
      </c>
    </row>
    <row r="30" ht="12.75" customHeight="1">
      <c r="A30" s="1" t="s">
        <v>43</v>
      </c>
      <c r="B30" s="2">
        <v>4.0</v>
      </c>
    </row>
    <row r="31" ht="12.75" customHeight="1">
      <c r="A31" s="1" t="s">
        <v>44</v>
      </c>
      <c r="B31" s="2">
        <v>4.0</v>
      </c>
    </row>
    <row r="32" ht="12.75" customHeight="1">
      <c r="A32" s="1" t="s">
        <v>45</v>
      </c>
      <c r="B32" s="2">
        <v>4.0</v>
      </c>
    </row>
    <row r="33" ht="12.75" customHeight="1">
      <c r="A33" s="1" t="s">
        <v>46</v>
      </c>
      <c r="B33" s="2">
        <v>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2.75" customHeight="1">
      <c r="A34" s="1" t="s">
        <v>47</v>
      </c>
      <c r="B34" s="2">
        <v>4.0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2.75" customHeight="1">
      <c r="A35" s="1" t="s">
        <v>48</v>
      </c>
      <c r="B35" s="2">
        <v>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2.75" customHeight="1">
      <c r="A36" s="1" t="s">
        <v>49</v>
      </c>
      <c r="B36" s="2">
        <v>4.0</v>
      </c>
      <c r="D36" s="5"/>
      <c r="E36" s="5"/>
      <c r="F36" s="5"/>
      <c r="G36" s="5"/>
      <c r="H36" s="5" t="s">
        <v>50</v>
      </c>
      <c r="I36" s="5" t="s">
        <v>51</v>
      </c>
      <c r="J36" s="5" t="s">
        <v>52</v>
      </c>
      <c r="K36" s="5" t="s">
        <v>53</v>
      </c>
      <c r="L36" s="5" t="s">
        <v>54</v>
      </c>
      <c r="M36" s="5" t="s">
        <v>55</v>
      </c>
      <c r="N36" s="5" t="s">
        <v>56</v>
      </c>
      <c r="O36" s="5" t="s">
        <v>57</v>
      </c>
      <c r="P36" s="5" t="s">
        <v>17</v>
      </c>
      <c r="Q36" s="5"/>
      <c r="R36" s="5"/>
    </row>
    <row r="37" ht="12.75" customHeight="1">
      <c r="A37" s="1" t="s">
        <v>58</v>
      </c>
      <c r="B37" s="2">
        <v>2.0</v>
      </c>
      <c r="D37" s="5"/>
      <c r="E37" s="5"/>
      <c r="F37" s="5"/>
      <c r="G37" s="5"/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0.0</v>
      </c>
      <c r="P37" s="5">
        <v>1.0</v>
      </c>
      <c r="Q37" s="5"/>
      <c r="R37" s="5"/>
    </row>
    <row r="38" ht="12.75" customHeight="1">
      <c r="A38" s="1" t="s">
        <v>59</v>
      </c>
      <c r="B38" s="2">
        <v>4.0</v>
      </c>
      <c r="D38" s="5"/>
      <c r="E38" s="5"/>
      <c r="F38" s="5"/>
      <c r="G38" s="5"/>
      <c r="H38" s="5">
        <v>25.0</v>
      </c>
      <c r="I38" s="5">
        <v>27.0</v>
      </c>
      <c r="J38" s="5">
        <v>22.0</v>
      </c>
      <c r="K38" s="5">
        <v>12.0</v>
      </c>
      <c r="L38" s="5">
        <v>15.0</v>
      </c>
      <c r="M38" s="5">
        <v>13.0</v>
      </c>
      <c r="N38" s="5">
        <v>110.0</v>
      </c>
      <c r="O38" s="5">
        <v>1.0</v>
      </c>
      <c r="P38" s="5">
        <v>5.0</v>
      </c>
      <c r="Q38" s="5"/>
      <c r="R38" s="5"/>
    </row>
    <row r="39" ht="12.75" customHeight="1">
      <c r="A39" s="1" t="s">
        <v>60</v>
      </c>
      <c r="B39" s="2">
        <v>4.0</v>
      </c>
      <c r="D39" s="5">
        <v>1.0</v>
      </c>
      <c r="E39" s="5" t="s">
        <v>61</v>
      </c>
      <c r="F39" s="5"/>
      <c r="G39" s="5"/>
      <c r="H39" s="5">
        <v>27.0</v>
      </c>
      <c r="I39" s="5">
        <v>30.0</v>
      </c>
      <c r="J39" s="5">
        <v>23.0</v>
      </c>
      <c r="K39" s="5">
        <v>13.0</v>
      </c>
      <c r="L39" s="5">
        <v>16.0</v>
      </c>
      <c r="M39" s="5">
        <v>14.0</v>
      </c>
      <c r="N39" s="5">
        <v>117.0</v>
      </c>
      <c r="O39" s="5">
        <v>2.0</v>
      </c>
      <c r="P39" s="5">
        <v>10.0</v>
      </c>
      <c r="Q39" s="5"/>
      <c r="R39" s="5"/>
    </row>
    <row r="40" ht="12.75" customHeight="1">
      <c r="A40" s="1" t="s">
        <v>62</v>
      </c>
      <c r="B40" s="2">
        <v>3.0</v>
      </c>
      <c r="D40" s="5">
        <v>75.0</v>
      </c>
      <c r="E40" s="5" t="s">
        <v>61</v>
      </c>
      <c r="F40" s="5"/>
      <c r="G40" s="5"/>
      <c r="H40" s="5">
        <v>29.0</v>
      </c>
      <c r="I40" s="5">
        <v>33.0</v>
      </c>
      <c r="J40" s="5">
        <v>25.0</v>
      </c>
      <c r="K40" s="5">
        <v>13.0</v>
      </c>
      <c r="L40" s="5">
        <v>17.0</v>
      </c>
      <c r="M40" s="5">
        <v>15.0</v>
      </c>
      <c r="N40" s="5">
        <v>125.0</v>
      </c>
      <c r="O40" s="5">
        <v>3.0</v>
      </c>
      <c r="P40" s="5">
        <v>15.0</v>
      </c>
      <c r="Q40" s="5"/>
      <c r="R40" s="5"/>
    </row>
    <row r="41" ht="12.75" customHeight="1">
      <c r="A41" s="1" t="s">
        <v>63</v>
      </c>
      <c r="B41" s="2">
        <v>4.0</v>
      </c>
      <c r="D41" s="5">
        <v>76.0</v>
      </c>
      <c r="E41" s="5" t="s">
        <v>64</v>
      </c>
      <c r="F41" s="5"/>
      <c r="G41" s="5"/>
      <c r="H41" s="5">
        <v>30.0</v>
      </c>
      <c r="I41" s="5">
        <v>35.0</v>
      </c>
      <c r="J41" s="5">
        <v>26.0</v>
      </c>
      <c r="K41" s="5">
        <v>14.0</v>
      </c>
      <c r="L41" s="5">
        <v>18.0</v>
      </c>
      <c r="M41" s="5">
        <v>16.0</v>
      </c>
      <c r="N41" s="5">
        <v>132.0</v>
      </c>
      <c r="O41" s="5">
        <v>5.0</v>
      </c>
      <c r="P41" s="5">
        <v>20.0</v>
      </c>
      <c r="Q41" s="5"/>
      <c r="R41" s="5"/>
    </row>
    <row r="42" ht="12.75" customHeight="1">
      <c r="A42" s="1" t="s">
        <v>65</v>
      </c>
      <c r="B42" s="2">
        <v>4.0</v>
      </c>
      <c r="D42" s="5">
        <v>77.0</v>
      </c>
      <c r="E42" s="5" t="s">
        <v>64</v>
      </c>
      <c r="F42" s="5"/>
      <c r="G42" s="5"/>
      <c r="H42" s="5">
        <v>32.0</v>
      </c>
      <c r="I42" s="5">
        <v>36.0</v>
      </c>
      <c r="J42" s="5">
        <v>27.0</v>
      </c>
      <c r="K42" s="5">
        <v>15.0</v>
      </c>
      <c r="L42" s="5">
        <v>19.0</v>
      </c>
      <c r="M42" s="5">
        <v>16.0</v>
      </c>
      <c r="N42" s="5">
        <v>137.0</v>
      </c>
      <c r="O42" s="5">
        <v>6.0</v>
      </c>
      <c r="P42" s="5">
        <v>25.0</v>
      </c>
      <c r="Q42" s="5"/>
      <c r="R42" s="5"/>
    </row>
    <row r="43" ht="12.75" customHeight="1">
      <c r="A43" s="1" t="s">
        <v>66</v>
      </c>
      <c r="B43" s="2">
        <v>4.0</v>
      </c>
      <c r="D43" s="5">
        <v>78.0</v>
      </c>
      <c r="E43" s="5" t="s">
        <v>64</v>
      </c>
      <c r="F43" s="5"/>
      <c r="G43" s="5"/>
      <c r="H43" s="5">
        <v>33.0</v>
      </c>
      <c r="I43" s="5">
        <v>38.0</v>
      </c>
      <c r="J43" s="5">
        <v>28.0</v>
      </c>
      <c r="K43" s="5">
        <v>15.0</v>
      </c>
      <c r="L43" s="5">
        <v>20.0</v>
      </c>
      <c r="M43" s="5">
        <v>17.0</v>
      </c>
      <c r="N43" s="5">
        <v>142.0</v>
      </c>
      <c r="O43" s="5">
        <v>8.0</v>
      </c>
      <c r="P43" s="5">
        <v>30.0</v>
      </c>
      <c r="Q43" s="5"/>
      <c r="R43" s="5"/>
    </row>
    <row r="44" ht="12.75" customHeight="1">
      <c r="A44" s="1" t="s">
        <v>67</v>
      </c>
      <c r="B44" s="2">
        <v>4.0</v>
      </c>
      <c r="D44" s="5">
        <v>79.0</v>
      </c>
      <c r="E44" s="5" t="s">
        <v>64</v>
      </c>
      <c r="F44" s="5"/>
      <c r="G44" s="5"/>
      <c r="H44" s="5">
        <v>35.0</v>
      </c>
      <c r="I44" s="5">
        <v>41.0</v>
      </c>
      <c r="J44" s="5">
        <v>29.0</v>
      </c>
      <c r="K44" s="5">
        <v>16.0</v>
      </c>
      <c r="L44" s="5">
        <v>21.0</v>
      </c>
      <c r="M44" s="5">
        <v>17.0</v>
      </c>
      <c r="N44" s="5">
        <v>146.0</v>
      </c>
      <c r="O44" s="5">
        <v>10.0</v>
      </c>
      <c r="P44" s="5">
        <v>35.0</v>
      </c>
      <c r="Q44" s="5"/>
      <c r="R44" s="5"/>
    </row>
    <row r="45" ht="12.75" customHeight="1">
      <c r="A45" s="1" t="s">
        <v>68</v>
      </c>
      <c r="B45" s="2">
        <v>4.0</v>
      </c>
      <c r="D45" s="5">
        <v>80.0</v>
      </c>
      <c r="E45" s="5" t="s">
        <v>64</v>
      </c>
      <c r="F45" s="5"/>
      <c r="G45" s="5"/>
      <c r="H45" s="5">
        <v>36.0</v>
      </c>
      <c r="I45" s="5">
        <v>42.0</v>
      </c>
      <c r="J45" s="5">
        <v>30.0</v>
      </c>
      <c r="K45" s="5">
        <v>16.0</v>
      </c>
      <c r="L45" s="5">
        <v>22.0</v>
      </c>
      <c r="M45" s="5">
        <v>18.0</v>
      </c>
      <c r="N45" s="5">
        <v>152.0</v>
      </c>
      <c r="O45" s="5">
        <v>12.0</v>
      </c>
      <c r="P45" s="5">
        <v>40.0</v>
      </c>
      <c r="Q45" s="5"/>
      <c r="R45" s="5"/>
    </row>
    <row r="46" ht="12.75" customHeight="1">
      <c r="A46" s="1" t="s">
        <v>69</v>
      </c>
      <c r="B46" s="2">
        <v>4.0</v>
      </c>
      <c r="D46" s="5">
        <v>81.0</v>
      </c>
      <c r="E46" s="5" t="s">
        <v>64</v>
      </c>
      <c r="F46" s="5"/>
      <c r="G46" s="5"/>
      <c r="H46" s="5">
        <v>37.0</v>
      </c>
      <c r="I46" s="5">
        <v>44.0</v>
      </c>
      <c r="J46" s="5">
        <v>31.0</v>
      </c>
      <c r="K46" s="5">
        <v>17.0</v>
      </c>
      <c r="L46" s="5">
        <v>23.0</v>
      </c>
      <c r="M46" s="5">
        <v>18.0</v>
      </c>
      <c r="N46" s="5">
        <v>156.0</v>
      </c>
      <c r="O46" s="5">
        <v>13.0</v>
      </c>
      <c r="P46" s="5">
        <v>45.0</v>
      </c>
      <c r="Q46" s="5"/>
      <c r="R46" s="5"/>
    </row>
    <row r="47" ht="12.75" customHeight="1">
      <c r="A47" s="1" t="s">
        <v>70</v>
      </c>
      <c r="B47" s="2">
        <v>4.0</v>
      </c>
      <c r="D47" s="5">
        <v>82.0</v>
      </c>
      <c r="E47" s="5" t="s">
        <v>64</v>
      </c>
      <c r="F47" s="5"/>
      <c r="G47" s="5"/>
      <c r="H47" s="5">
        <v>39.0</v>
      </c>
      <c r="I47" s="5">
        <v>45.0</v>
      </c>
      <c r="J47" s="5">
        <v>32.0</v>
      </c>
      <c r="K47" s="5">
        <v>18.0</v>
      </c>
      <c r="L47" s="5">
        <v>24.0</v>
      </c>
      <c r="M47" s="5">
        <v>19.0</v>
      </c>
      <c r="N47" s="5">
        <v>159.0</v>
      </c>
      <c r="O47" s="5">
        <v>15.0</v>
      </c>
      <c r="P47" s="5">
        <v>50.0</v>
      </c>
      <c r="Q47" s="5"/>
      <c r="R47" s="5"/>
    </row>
    <row r="48" ht="12.75" customHeight="1">
      <c r="A48" s="1" t="s">
        <v>71</v>
      </c>
      <c r="B48" s="2">
        <v>4.0</v>
      </c>
      <c r="D48" s="5">
        <v>83.0</v>
      </c>
      <c r="E48" s="5" t="s">
        <v>64</v>
      </c>
      <c r="F48" s="5"/>
      <c r="G48" s="5"/>
      <c r="H48" s="5">
        <v>41.0</v>
      </c>
      <c r="I48" s="5">
        <v>47.0</v>
      </c>
      <c r="J48" s="5">
        <v>33.0</v>
      </c>
      <c r="K48" s="5">
        <v>19.0</v>
      </c>
      <c r="L48" s="5">
        <v>25.0</v>
      </c>
      <c r="M48" s="5">
        <v>20.0</v>
      </c>
      <c r="N48" s="5">
        <v>165.0</v>
      </c>
      <c r="O48" s="5">
        <v>18.0</v>
      </c>
      <c r="P48" s="5">
        <v>55.0</v>
      </c>
      <c r="Q48" s="5"/>
      <c r="R48" s="5"/>
    </row>
    <row r="49" ht="12.75" customHeight="1">
      <c r="A49" s="1" t="s">
        <v>72</v>
      </c>
      <c r="B49" s="2">
        <v>4.0</v>
      </c>
      <c r="D49" s="5">
        <v>84.0</v>
      </c>
      <c r="E49" s="5" t="s">
        <v>64</v>
      </c>
      <c r="F49" s="5"/>
      <c r="G49" s="5"/>
      <c r="H49" s="5">
        <v>43.0</v>
      </c>
      <c r="I49" s="5">
        <v>49.0</v>
      </c>
      <c r="J49" s="5">
        <v>34.0</v>
      </c>
      <c r="K49" s="5">
        <v>20.0</v>
      </c>
      <c r="L49" s="5">
        <v>27.0</v>
      </c>
      <c r="M49" s="5">
        <v>21.0</v>
      </c>
      <c r="N49" s="5">
        <v>171.0</v>
      </c>
      <c r="O49" s="5">
        <v>21.0</v>
      </c>
      <c r="P49" s="5">
        <v>60.0</v>
      </c>
      <c r="Q49" s="5"/>
      <c r="R49" s="5"/>
    </row>
    <row r="50" ht="12.75" customHeight="1">
      <c r="A50" s="1" t="s">
        <v>73</v>
      </c>
      <c r="B50" s="2">
        <v>4.0</v>
      </c>
      <c r="D50" s="5">
        <v>85.0</v>
      </c>
      <c r="E50" s="5" t="s">
        <v>74</v>
      </c>
      <c r="F50" s="5"/>
      <c r="G50" s="5"/>
      <c r="H50" s="5">
        <v>45.0</v>
      </c>
      <c r="I50" s="5">
        <v>51.0</v>
      </c>
      <c r="J50" s="5">
        <v>35.0</v>
      </c>
      <c r="K50" s="5">
        <v>20.0</v>
      </c>
      <c r="L50" s="5">
        <v>27.0</v>
      </c>
      <c r="M50" s="5">
        <v>22.0</v>
      </c>
      <c r="N50" s="5">
        <v>179.0</v>
      </c>
      <c r="O50" s="5">
        <v>23.0</v>
      </c>
      <c r="P50" s="5">
        <v>65.0</v>
      </c>
      <c r="Q50" s="5"/>
      <c r="R50" s="5"/>
    </row>
    <row r="51" ht="12.75" customHeight="1">
      <c r="A51" s="1" t="s">
        <v>75</v>
      </c>
      <c r="B51" s="2">
        <v>4.0</v>
      </c>
      <c r="D51" s="5">
        <v>86.0</v>
      </c>
      <c r="E51" s="5" t="s">
        <v>74</v>
      </c>
      <c r="F51" s="5"/>
      <c r="G51" s="5"/>
      <c r="H51" s="5">
        <v>48.0</v>
      </c>
      <c r="I51" s="5">
        <v>52.0</v>
      </c>
      <c r="J51" s="5">
        <v>37.0</v>
      </c>
      <c r="K51" s="5">
        <v>22.0</v>
      </c>
      <c r="L51" s="5">
        <v>29.0</v>
      </c>
      <c r="M51" s="5">
        <v>23.0</v>
      </c>
      <c r="N51" s="5">
        <v>187.0</v>
      </c>
      <c r="O51" s="5">
        <v>27.0</v>
      </c>
      <c r="P51" s="5">
        <v>70.0</v>
      </c>
      <c r="Q51" s="5"/>
      <c r="R51" s="5"/>
    </row>
    <row r="52" ht="12.75" customHeight="1">
      <c r="A52" s="1" t="s">
        <v>76</v>
      </c>
      <c r="B52" s="2">
        <v>4.0</v>
      </c>
      <c r="D52" s="5">
        <v>87.0</v>
      </c>
      <c r="E52" s="5" t="s">
        <v>74</v>
      </c>
      <c r="F52" s="5"/>
      <c r="G52" s="5"/>
      <c r="H52" s="5">
        <v>49.0</v>
      </c>
      <c r="I52" s="5">
        <v>55.0</v>
      </c>
      <c r="J52" s="5">
        <v>39.0</v>
      </c>
      <c r="K52" s="5">
        <v>23.0</v>
      </c>
      <c r="L52" s="5">
        <v>31.0</v>
      </c>
      <c r="M52" s="5">
        <v>24.0</v>
      </c>
      <c r="N52" s="5">
        <v>191.0</v>
      </c>
      <c r="O52" s="5">
        <v>29.0</v>
      </c>
      <c r="P52" s="5">
        <v>75.0</v>
      </c>
      <c r="Q52" s="5"/>
      <c r="R52" s="5"/>
    </row>
    <row r="53" ht="12.75" customHeight="1">
      <c r="A53" s="1" t="s">
        <v>77</v>
      </c>
      <c r="B53" s="2">
        <v>4.0</v>
      </c>
      <c r="D53" s="5">
        <v>88.0</v>
      </c>
      <c r="E53" s="5" t="s">
        <v>74</v>
      </c>
      <c r="F53" s="5"/>
      <c r="G53" s="5"/>
      <c r="H53" s="5">
        <v>53.0</v>
      </c>
      <c r="I53" s="5">
        <v>58.0</v>
      </c>
      <c r="J53" s="5">
        <v>41.0</v>
      </c>
      <c r="K53" s="5">
        <v>24.0</v>
      </c>
      <c r="L53" s="5">
        <v>33.0</v>
      </c>
      <c r="M53" s="5">
        <v>25.0</v>
      </c>
      <c r="N53" s="5">
        <v>202.0</v>
      </c>
      <c r="O53" s="5">
        <v>33.0</v>
      </c>
      <c r="P53" s="5">
        <v>80.0</v>
      </c>
      <c r="Q53" s="5"/>
      <c r="R53" s="5"/>
    </row>
    <row r="54" ht="12.75" customHeight="1">
      <c r="A54" s="1" t="s">
        <v>78</v>
      </c>
      <c r="B54" s="2">
        <v>4.0</v>
      </c>
      <c r="D54" s="5">
        <v>89.0</v>
      </c>
      <c r="E54" s="5" t="s">
        <v>74</v>
      </c>
      <c r="F54" s="5"/>
      <c r="G54" s="5"/>
      <c r="H54" s="5">
        <v>57.0</v>
      </c>
      <c r="I54" s="5">
        <v>61.0</v>
      </c>
      <c r="J54" s="5">
        <v>43.0</v>
      </c>
      <c r="K54" s="5">
        <v>27.0</v>
      </c>
      <c r="L54" s="5">
        <v>35.0</v>
      </c>
      <c r="M54" s="5">
        <v>27.0</v>
      </c>
      <c r="N54" s="5">
        <v>206.0</v>
      </c>
      <c r="O54" s="5">
        <v>36.0</v>
      </c>
      <c r="P54" s="5">
        <v>85.0</v>
      </c>
      <c r="Q54" s="5"/>
      <c r="R54" s="5"/>
    </row>
    <row r="55" ht="12.75" customHeight="1">
      <c r="A55" s="1" t="s">
        <v>79</v>
      </c>
      <c r="B55" s="2">
        <v>2.0</v>
      </c>
      <c r="D55" s="5">
        <v>90.0</v>
      </c>
      <c r="E55" s="5" t="s">
        <v>74</v>
      </c>
      <c r="F55" s="5"/>
      <c r="G55" s="5"/>
      <c r="H55" s="5">
        <v>61.0</v>
      </c>
      <c r="I55" s="5">
        <v>66.0</v>
      </c>
      <c r="J55" s="5">
        <v>46.0</v>
      </c>
      <c r="K55" s="5">
        <v>29.0</v>
      </c>
      <c r="L55" s="5">
        <v>37.0</v>
      </c>
      <c r="M55" s="5">
        <v>28.0</v>
      </c>
      <c r="N55" s="5">
        <v>225.0</v>
      </c>
      <c r="O55" s="5">
        <v>45.0</v>
      </c>
      <c r="P55" s="5">
        <v>90.0</v>
      </c>
      <c r="Q55" s="5"/>
      <c r="R55" s="5"/>
    </row>
    <row r="56" ht="12.75" customHeight="1">
      <c r="A56" s="1" t="s">
        <v>80</v>
      </c>
      <c r="B56" s="2">
        <v>34.0</v>
      </c>
      <c r="D56" s="5">
        <v>91.0</v>
      </c>
      <c r="E56" s="5" t="s">
        <v>74</v>
      </c>
      <c r="F56" s="5"/>
      <c r="G56" s="5"/>
      <c r="H56" s="5">
        <v>67.0</v>
      </c>
      <c r="I56" s="5">
        <v>73.0</v>
      </c>
      <c r="J56" s="5">
        <v>51.0</v>
      </c>
      <c r="K56" s="5">
        <v>35.0</v>
      </c>
      <c r="L56" s="5">
        <v>40.0</v>
      </c>
      <c r="M56" s="5">
        <v>30.0</v>
      </c>
      <c r="N56" s="5">
        <v>247.0</v>
      </c>
      <c r="O56" s="5">
        <v>58.0</v>
      </c>
      <c r="P56" s="5">
        <v>95.0</v>
      </c>
      <c r="Q56" s="5"/>
      <c r="R56" s="5"/>
    </row>
    <row r="57" ht="12.75" customHeight="1">
      <c r="A57" s="1" t="s">
        <v>81</v>
      </c>
      <c r="B57" s="2">
        <v>3.0</v>
      </c>
      <c r="D57" s="5">
        <v>92.0</v>
      </c>
      <c r="E57" s="5" t="s">
        <v>74</v>
      </c>
      <c r="F57" s="5"/>
      <c r="G57" s="5"/>
      <c r="H57" s="5">
        <v>77.0</v>
      </c>
      <c r="I57" s="5">
        <v>85.0</v>
      </c>
      <c r="J57" s="5">
        <v>64.0</v>
      </c>
      <c r="K57" s="5">
        <v>46.0</v>
      </c>
      <c r="L57" s="5">
        <v>49.0</v>
      </c>
      <c r="M57" s="5">
        <v>39.0</v>
      </c>
      <c r="N57" s="5">
        <v>283.0</v>
      </c>
      <c r="O57" s="5">
        <v>67.0</v>
      </c>
      <c r="P57" s="5">
        <v>99.0</v>
      </c>
      <c r="Q57" s="5"/>
      <c r="R57" s="5"/>
    </row>
    <row r="58" ht="12.75" customHeight="1">
      <c r="A58" s="1" t="s">
        <v>82</v>
      </c>
      <c r="B58" s="2">
        <v>1.0</v>
      </c>
      <c r="D58" s="5">
        <v>93.0</v>
      </c>
      <c r="E58" s="5" t="s">
        <v>83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2.75" customHeight="1">
      <c r="A59" s="1" t="s">
        <v>84</v>
      </c>
      <c r="B59" s="2">
        <v>4.0</v>
      </c>
      <c r="D59" s="5">
        <v>94.0</v>
      </c>
      <c r="E59" s="5" t="s">
        <v>83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2.75" customHeight="1">
      <c r="A60" s="1" t="s">
        <v>85</v>
      </c>
      <c r="B60" s="2">
        <v>4.0</v>
      </c>
      <c r="D60" s="5">
        <v>95.0</v>
      </c>
      <c r="E60" s="5" t="s">
        <v>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2.75" customHeight="1">
      <c r="A61" s="1" t="s">
        <v>86</v>
      </c>
      <c r="B61" s="2">
        <v>4.0</v>
      </c>
      <c r="D61" s="5">
        <v>96.0</v>
      </c>
      <c r="E61" s="5" t="s">
        <v>87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2.75" customHeight="1">
      <c r="A62" s="1" t="s">
        <v>88</v>
      </c>
      <c r="B62" s="2">
        <v>4.0</v>
      </c>
      <c r="D62" s="5">
        <v>97.0</v>
      </c>
      <c r="E62" s="5" t="s">
        <v>87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2.75" customHeight="1">
      <c r="A63" s="1" t="s">
        <v>89</v>
      </c>
      <c r="B63" s="2">
        <v>4.0</v>
      </c>
      <c r="D63" s="5">
        <v>98.0</v>
      </c>
      <c r="E63" s="5" t="s">
        <v>87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2.75" customHeight="1">
      <c r="A64" s="1" t="s">
        <v>90</v>
      </c>
      <c r="B64" s="2">
        <v>4.0</v>
      </c>
      <c r="D64" s="5">
        <v>99.0</v>
      </c>
      <c r="E64" s="5" t="s">
        <v>91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2.75" customHeight="1">
      <c r="A65" s="1" t="s">
        <v>92</v>
      </c>
      <c r="B65" s="2">
        <v>4.0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2.75" customHeight="1">
      <c r="A66" s="1" t="s">
        <v>93</v>
      </c>
      <c r="B66" s="2">
        <v>4.0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2.75" customHeight="1">
      <c r="A67" s="1" t="s">
        <v>94</v>
      </c>
      <c r="B67" s="2">
        <v>3.0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2.75" customHeight="1">
      <c r="A68" s="1" t="s">
        <v>95</v>
      </c>
      <c r="B68" s="2">
        <v>4.0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2.75" customHeight="1">
      <c r="A69" s="1" t="s">
        <v>96</v>
      </c>
      <c r="B69" s="2">
        <v>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2.75" customHeight="1">
      <c r="A70" s="1" t="s">
        <v>97</v>
      </c>
      <c r="B70" s="2">
        <v>4.0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2.75" customHeight="1">
      <c r="A71" s="1" t="s">
        <v>98</v>
      </c>
      <c r="B71" s="2">
        <v>4.0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2.75" customHeight="1">
      <c r="A72" s="1" t="s">
        <v>99</v>
      </c>
      <c r="B72" s="2">
        <v>4.0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2.75" customHeight="1">
      <c r="A73" s="1" t="s">
        <v>100</v>
      </c>
      <c r="B73" s="2">
        <v>4.0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2.75" customHeight="1">
      <c r="A74" s="1" t="s">
        <v>101</v>
      </c>
      <c r="B74" s="2">
        <v>4.0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2.75" customHeight="1">
      <c r="A75" s="1" t="s">
        <v>102</v>
      </c>
      <c r="B75" s="2">
        <v>4.0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2.75" customHeight="1">
      <c r="A76" s="1" t="s">
        <v>103</v>
      </c>
      <c r="B76" s="2">
        <v>1.0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2.75" customHeight="1">
      <c r="A77" s="1" t="s">
        <v>104</v>
      </c>
      <c r="B77" s="2">
        <v>4.0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2.75" customHeight="1">
      <c r="A78" s="1" t="s">
        <v>105</v>
      </c>
      <c r="B78" s="2">
        <v>4.0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2.75" customHeight="1">
      <c r="A79" s="1" t="s">
        <v>106</v>
      </c>
      <c r="B79" s="2">
        <v>4.0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2.75" customHeight="1">
      <c r="A80" s="1" t="s">
        <v>107</v>
      </c>
      <c r="B80" s="2">
        <v>4.0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2.75" customHeight="1">
      <c r="A81" s="1" t="s">
        <v>108</v>
      </c>
      <c r="B81" s="2">
        <v>4.0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2.75" customHeight="1">
      <c r="A82" s="1" t="s">
        <v>109</v>
      </c>
      <c r="B82" s="2">
        <v>4.0</v>
      </c>
    </row>
    <row r="83" ht="12.75" customHeight="1">
      <c r="A83" s="1" t="s">
        <v>110</v>
      </c>
      <c r="B83" s="2">
        <v>4.0</v>
      </c>
    </row>
    <row r="84" ht="12.75" customHeight="1">
      <c r="A84" s="1" t="s">
        <v>111</v>
      </c>
      <c r="B84" s="2">
        <v>4.0</v>
      </c>
    </row>
    <row r="85" ht="12.75" customHeight="1">
      <c r="A85" s="1" t="s">
        <v>112</v>
      </c>
      <c r="B85" s="2">
        <v>4.0</v>
      </c>
    </row>
    <row r="86" ht="12.75" customHeight="1">
      <c r="A86" s="1" t="s">
        <v>113</v>
      </c>
      <c r="B86" s="2">
        <v>1.0</v>
      </c>
    </row>
    <row r="87" ht="12.75" customHeight="1">
      <c r="A87" s="1" t="s">
        <v>114</v>
      </c>
      <c r="B87" s="2">
        <v>4.0</v>
      </c>
    </row>
    <row r="88" ht="12.75" customHeight="1">
      <c r="A88" s="1" t="s">
        <v>115</v>
      </c>
      <c r="B88" s="2">
        <v>4.0</v>
      </c>
    </row>
    <row r="89" ht="12.75" customHeight="1">
      <c r="A89" s="1" t="s">
        <v>116</v>
      </c>
      <c r="B89" s="2">
        <v>4.0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2023-03-31T04:38:46Z</dcterms:created>
  <dc:creator>Waleska</dc:creator>
</cp:coreProperties>
</file>