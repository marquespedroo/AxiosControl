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6 - 72 MESES" sheetId="1" r:id="rId4"/>
    <sheet state="visible" name="60 - 65 MESES" sheetId="2" r:id="rId5"/>
    <sheet state="visible" name="54 - 59 MESES" sheetId="3" r:id="rId6"/>
    <sheet state="visible" name="48 - 53 MESES" sheetId="4" r:id="rId7"/>
    <sheet state="visible" name="42 - 47 MESES" sheetId="5" r:id="rId8"/>
    <sheet state="visible" name="36-41 MESES" sheetId="6" r:id="rId9"/>
  </sheets>
  <definedNames>
    <definedName name="_xlchart.v1.8">'42 - 47 MESES'!$F$13:$F$19</definedName>
    <definedName name="_xlchart.v1.3">'60 - 65 MESES'!$H$13:$H$19</definedName>
    <definedName name="_xlchart.v1.10">'36-41 MESES'!$F$13:$F$19</definedName>
    <definedName name="_xlchart.v1.1">'66 - 72 MESES'!$H$13:$H$19</definedName>
    <definedName name="_xlchart.v1.5">'54 - 59 MESES'!$H$13:$H$19</definedName>
    <definedName name="_xlchart.v1.9">'42 - 47 MESES'!$H$13:$H$19</definedName>
    <definedName name="_xlchart.v1.11">'36-41 MESES'!$H$13:$H$19</definedName>
    <definedName name="_xlchart.v1.6">'48 - 53 MESES'!$F$13:$F$19</definedName>
    <definedName name="_xlchart.v1.4">'54 - 59 MESES'!$F$13:$F$19</definedName>
    <definedName name="_xlchart.v1.7">'48 - 53 MESES'!$H$13:$H$19</definedName>
    <definedName name="_xlchart.v1.0">'66 - 72 MESES'!$F$13:$F$19</definedName>
    <definedName name="_xlchart.v1.2">'60 - 65 MESES'!$F$13:$F$19</definedName>
  </definedNames>
  <calcPr/>
  <extLst>
    <ext uri="GoogleSheetsCustomDataVersion2">
      <go:sheetsCustomData xmlns:go="http://customooxmlschemas.google.com/" r:id="rId10" roundtripDataChecksum="77NJhpy0c2sRT5hrUYUXnPHOvAq75qw4BUF2d5wiC0Q="/>
    </ext>
  </extLst>
</workbook>
</file>

<file path=xl/sharedStrings.xml><?xml version="1.0" encoding="utf-8"?>
<sst xmlns="http://schemas.openxmlformats.org/spreadsheetml/2006/main" count="377" uniqueCount="40">
  <si>
    <t>66-72MESES</t>
  </si>
  <si>
    <t>Nome :</t>
  </si>
  <si>
    <t>Data do teste</t>
  </si>
  <si>
    <t>Data de nascimento</t>
  </si>
  <si>
    <t>IDADE CRONOLÓGICA DA CRIANÇA:</t>
  </si>
  <si>
    <t>Ano</t>
  </si>
  <si>
    <t>Meses</t>
  </si>
  <si>
    <t>Resultados</t>
  </si>
  <si>
    <t>Faixa etária considerada ( MESES)</t>
  </si>
  <si>
    <t>INTERVALO DE CONFIANÇA</t>
  </si>
  <si>
    <t>DOMINIOS</t>
  </si>
  <si>
    <t>PONTUAÇÃO BRUTA</t>
  </si>
  <si>
    <t>ESCORE DESENVOLVIMENTAL</t>
  </si>
  <si>
    <t>INFERIOR</t>
  </si>
  <si>
    <t>SUPERIOR</t>
  </si>
  <si>
    <t>ESCORE Z</t>
  </si>
  <si>
    <t>CLASSIFICAÇÃO</t>
  </si>
  <si>
    <t>ESCORE PADRONIZADO</t>
  </si>
  <si>
    <t>COGNITVO</t>
  </si>
  <si>
    <t>SOCIOEMOCIONAL</t>
  </si>
  <si>
    <t>COMUNICAÇÃO E LINGUAGEM RECEPTIVA</t>
  </si>
  <si>
    <t>COMUNICAÇÃO E LINGUAGEM EXPRESSIVA</t>
  </si>
  <si>
    <t>MOTRICIDADE AMPLA</t>
  </si>
  <si>
    <t>MOTRICIDADE FINA</t>
  </si>
  <si>
    <t>COMPORTAMENTO ADAPTATIVO</t>
  </si>
  <si>
    <t>DOMINIO COGNITIVO</t>
  </si>
  <si>
    <t>DOMINIO SOCIOEMOCIONAL</t>
  </si>
  <si>
    <t>linguagem receptiva</t>
  </si>
  <si>
    <t>linguagem expressiva</t>
  </si>
  <si>
    <t>ESCORE BRUTO</t>
  </si>
  <si>
    <t>ESCORE DESENVOL</t>
  </si>
  <si>
    <t>PADRONIZADO</t>
  </si>
  <si>
    <t>motricidade ampla</t>
  </si>
  <si>
    <t>motricidade fina</t>
  </si>
  <si>
    <t>comportamento adaptativo</t>
  </si>
  <si>
    <t>60-65MESES</t>
  </si>
  <si>
    <t>54-59MESES</t>
  </si>
  <si>
    <t>48-53MESES</t>
  </si>
  <si>
    <t>42-47MESES</t>
  </si>
  <si>
    <t>36-41MESES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</si>
</sst>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6.0"/>
      <color theme="1"/>
      <name val="Amasis MT Pro Black"/>
    </font>
    <font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/>
    <font>
      <sz val="8.0"/>
      <color theme="1"/>
      <name val="Calibri"/>
    </font>
    <font>
      <b/>
      <sz val="11.0"/>
      <color theme="1"/>
      <name val="Arial"/>
    </font>
    <font>
      <b/>
      <sz val="8.0"/>
      <color theme="1"/>
      <name val="Arial"/>
    </font>
    <font>
      <sz val="11.0"/>
      <color theme="1"/>
      <name val="Calibri"/>
    </font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8EAADB"/>
      </left>
      <right style="thin">
        <color rgb="FF8EAADB"/>
      </right>
      <top style="thin">
        <color rgb="FF8EAADB"/>
      </top>
    </border>
    <border>
      <right style="thin">
        <color rgb="FF8EAADB"/>
      </right>
      <top style="thin">
        <color rgb="FF8EAADB"/>
      </top>
      <bottom style="thin">
        <color rgb="FF8EAADB"/>
      </bottom>
    </border>
    <border>
      <left style="thin">
        <color rgb="FF8EAADB"/>
      </left>
      <right style="thin">
        <color rgb="FF8EAADB"/>
      </right>
      <bottom style="thin">
        <color rgb="FF8EAADB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1" fillId="0" fontId="3" numFmtId="14" xfId="0" applyAlignment="1" applyBorder="1" applyFont="1" applyNumberFormat="1">
      <alignment horizontal="center" shrinkToFit="0" vertical="center" wrapText="1"/>
    </xf>
    <xf borderId="0" fillId="0" fontId="4" numFmtId="0" xfId="0" applyFont="1"/>
    <xf borderId="1" fillId="2" fontId="3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left" shrinkToFit="0" wrapText="1"/>
    </xf>
    <xf borderId="3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/>
    </xf>
    <xf borderId="6" fillId="0" fontId="5" numFmtId="0" xfId="0" applyBorder="1" applyFont="1"/>
    <xf borderId="7" fillId="0" fontId="5" numFmtId="0" xfId="0" applyBorder="1" applyFont="1"/>
    <xf borderId="5" fillId="2" fontId="4" numFmtId="0" xfId="0" applyAlignment="1" applyBorder="1" applyFont="1">
      <alignment horizontal="left"/>
    </xf>
    <xf borderId="8" fillId="2" fontId="4" numFmtId="0" xfId="0" applyBorder="1" applyFont="1"/>
    <xf borderId="5" fillId="2" fontId="6" numFmtId="0" xfId="0" applyAlignment="1" applyBorder="1" applyFont="1">
      <alignment horizontal="center"/>
    </xf>
    <xf borderId="8" fillId="2" fontId="7" numFmtId="0" xfId="0" applyAlignment="1" applyBorder="1" applyFont="1">
      <alignment horizontal="center" vertical="center"/>
    </xf>
    <xf borderId="8" fillId="2" fontId="8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 readingOrder="0"/>
    </xf>
    <xf borderId="0" fillId="0" fontId="9" numFmtId="0" xfId="0" applyAlignment="1" applyFont="1">
      <alignment shrinkToFit="0" wrapText="1"/>
    </xf>
    <xf borderId="0" fillId="0" fontId="9" numFmtId="0" xfId="0" applyFont="1"/>
    <xf borderId="0" fillId="0" fontId="10" numFmtId="0" xfId="0" applyFont="1"/>
    <xf borderId="9" fillId="3" fontId="10" numFmtId="0" xfId="0" applyBorder="1" applyFill="1" applyFont="1"/>
    <xf borderId="1" fillId="0" fontId="3" numFmtId="14" xfId="0" applyAlignment="1" applyBorder="1" applyFont="1" applyNumberForma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8" fillId="0" fontId="9" numFmtId="0" xfId="0" applyBorder="1" applyFont="1"/>
    <xf borderId="8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'66 - 72 MESES'!$F$13:$F$18</c:f>
            </c:strRef>
          </c:cat>
          <c:val>
            <c:numRef>
              <c:f>'66 - 72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'66 - 72 MESES'!$F$13:$F$19</c:f>
            </c:strRef>
          </c:cat>
          <c:val>
            <c:numRef>
              <c:f>'66 - 72 MESES'!$M$13:$M$19</c:f>
              <c:numCache/>
            </c:numRef>
          </c:val>
        </c:ser>
        <c:axId val="869950488"/>
        <c:axId val="1900829069"/>
      </c:barChart>
      <c:catAx>
        <c:axId val="869950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00829069"/>
      </c:catAx>
      <c:valAx>
        <c:axId val="19008290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9950488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'60 - 65 MESES'!$F$13:$F$18</c:f>
            </c:strRef>
          </c:cat>
          <c:val>
            <c:numRef>
              <c:f>'60 - 65 MESES'!$G$13:$G$19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'60 - 65 MESES'!$F$13:$F$19</c:f>
            </c:strRef>
          </c:cat>
          <c:val>
            <c:numRef>
              <c:f>'60 - 65 MESES'!$M$13:$M$19</c:f>
              <c:numCache/>
            </c:numRef>
          </c:val>
        </c:ser>
        <c:axId val="615411066"/>
        <c:axId val="419545298"/>
      </c:barChart>
      <c:catAx>
        <c:axId val="615411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9545298"/>
      </c:catAx>
      <c:valAx>
        <c:axId val="419545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15411066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'54 - 59 MESES'!$F$13:$F$18</c:f>
            </c:strRef>
          </c:cat>
          <c:val>
            <c:numRef>
              <c:f>'54 - 59 MESES'!$G$13:$G$19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'54 - 59 MESES'!$F$13:$F$19</c:f>
            </c:strRef>
          </c:cat>
          <c:val>
            <c:numRef>
              <c:f>'54 - 59 MESES'!$M$13:$M$19</c:f>
              <c:numCache/>
            </c:numRef>
          </c:val>
        </c:ser>
        <c:axId val="1267085737"/>
        <c:axId val="917162899"/>
      </c:barChart>
      <c:catAx>
        <c:axId val="12670857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7162899"/>
      </c:catAx>
      <c:valAx>
        <c:axId val="917162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7085737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'48 - 53 MESES'!$F$13:$F$18</c:f>
            </c:strRef>
          </c:cat>
          <c:val>
            <c:numRef>
              <c:f>'48 - 53 MESES'!$G$13:$G$19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'48 - 53 MESES'!$F$13:$F$19</c:f>
            </c:strRef>
          </c:cat>
          <c:val>
            <c:numRef>
              <c:f>'48 - 53 MESES'!$M$13:$M$19</c:f>
              <c:numCache/>
            </c:numRef>
          </c:val>
        </c:ser>
        <c:axId val="380493307"/>
        <c:axId val="1258931962"/>
      </c:barChart>
      <c:catAx>
        <c:axId val="3804933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58931962"/>
      </c:catAx>
      <c:valAx>
        <c:axId val="1258931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0493307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'42 - 47 MESES'!$F$13:$F$18</c:f>
            </c:strRef>
          </c:cat>
          <c:val>
            <c:numRef>
              <c:f>'42 - 47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'42 - 47 MESES'!$F$13:$F$19</c:f>
            </c:strRef>
          </c:cat>
          <c:val>
            <c:numRef>
              <c:f>'42 - 47 MESES'!$M$13:$M$19</c:f>
              <c:numCache/>
            </c:numRef>
          </c:val>
        </c:ser>
        <c:axId val="2084642659"/>
        <c:axId val="1571651678"/>
      </c:barChart>
      <c:catAx>
        <c:axId val="20846426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1651678"/>
      </c:catAx>
      <c:valAx>
        <c:axId val="1571651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4642659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Pontuação Bruta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'36-41 MESES'!$F$13:$F$18</c:f>
            </c:strRef>
          </c:cat>
          <c:val>
            <c:numRef>
              <c:f>'36-41 MESES'!$G$13:$G$18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ESCORE PADRONIZADO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'36-41 MESES'!$F$13:$F$19</c:f>
            </c:strRef>
          </c:cat>
          <c:val>
            <c:numRef>
              <c:f>'36-41 MESES'!$M$13:$M$19</c:f>
              <c:numCache/>
            </c:numRef>
          </c:val>
        </c:ser>
        <c:axId val="622925502"/>
        <c:axId val="964170073"/>
      </c:barChart>
      <c:catAx>
        <c:axId val="6229255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64170073"/>
      </c:catAx>
      <c:valAx>
        <c:axId val="964170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292550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219075</xdr:colOff>
      <xdr:row>1</xdr:row>
      <xdr:rowOff>28575</xdr:rowOff>
    </xdr:from>
    <xdr:ext cx="6334125" cy="3276600"/>
    <xdr:graphicFrame>
      <xdr:nvGraphicFramePr>
        <xdr:cNvPr id="1616803490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7943518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88633342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184433663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625046313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163793353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190500</xdr:colOff>
      <xdr:row>1</xdr:row>
      <xdr:rowOff>9525</xdr:rowOff>
    </xdr:from>
    <xdr:ext cx="6334125" cy="3276600"/>
    <xdr:graphicFrame>
      <xdr:nvGraphicFramePr>
        <xdr:cNvPr id="1440251926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754902874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185385995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872577189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171450</xdr:colOff>
      <xdr:row>1</xdr:row>
      <xdr:rowOff>28575</xdr:rowOff>
    </xdr:from>
    <xdr:ext cx="6334125" cy="3276600"/>
    <xdr:graphicFrame>
      <xdr:nvGraphicFramePr>
        <xdr:cNvPr id="761794429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38</xdr:col>
      <xdr:colOff>533400</xdr:colOff>
      <xdr:row>1</xdr:row>
      <xdr:rowOff>9525</xdr:rowOff>
    </xdr:from>
    <xdr:ext cx="6581775" cy="3209925"/>
    <xdr:graphicFrame>
      <xdr:nvGraphicFramePr>
        <xdr:cNvPr id="543797156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9.57"/>
    <col customWidth="1" min="8" max="11" width="0.43"/>
    <col customWidth="1" min="12" max="12" width="28.14"/>
    <col customWidth="1" min="13" max="13" width="13.71"/>
    <col customWidth="1" min="14" max="14" width="19.71"/>
    <col customWidth="1" min="15" max="62" width="8.71"/>
  </cols>
  <sheetData>
    <row r="1">
      <c r="A1" s="1" t="s">
        <v>0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44724.0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1</v>
      </c>
      <c r="E6" s="12">
        <f>DATEDIF(D4,D3,"M")-DATEDIF(D4,D3,"Y")*12</f>
        <v>10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66-72MESES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22" t="s">
        <v>18</v>
      </c>
      <c r="G13" s="23">
        <v>46.0</v>
      </c>
      <c r="H13" s="22">
        <f t="shared" ref="H13:K13" si="1">VLOOKUP(G13,C29:H119,2,0)</f>
        <v>134.1</v>
      </c>
      <c r="I13" s="22">
        <f t="shared" si="1"/>
        <v>133.1</v>
      </c>
      <c r="J13" s="22">
        <f t="shared" si="1"/>
        <v>135</v>
      </c>
      <c r="K13" s="22">
        <f t="shared" si="1"/>
        <v>-0.91</v>
      </c>
      <c r="L13" s="22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Típico</v>
      </c>
      <c r="M13" s="22">
        <f>VLOOKUP(G13,C29:H119,6,0)</f>
        <v>86</v>
      </c>
      <c r="N13" s="22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Médio</v>
      </c>
    </row>
    <row r="14">
      <c r="F14" s="22" t="s">
        <v>19</v>
      </c>
      <c r="G14" s="23">
        <v>17.0</v>
      </c>
      <c r="H14" s="22">
        <f t="shared" ref="H14:K14" si="2">VLOOKUP(G14,K29:L133,2,0)</f>
        <v>116.2</v>
      </c>
      <c r="I14" s="22">
        <f t="shared" si="2"/>
        <v>115.3</v>
      </c>
      <c r="J14" s="22">
        <f t="shared" si="2"/>
        <v>117.1</v>
      </c>
      <c r="K14" s="22">
        <f t="shared" si="2"/>
        <v>-1.94</v>
      </c>
      <c r="L14" s="22" t="str">
        <f t="shared" si="3"/>
        <v>Atraso</v>
      </c>
      <c r="M14" s="22">
        <f>VLOOKUP(G14,K29:P133,6,0)</f>
        <v>71</v>
      </c>
      <c r="N14" s="22" t="str">
        <f t="shared" si="4"/>
        <v>Inferior</v>
      </c>
    </row>
    <row r="15">
      <c r="F15" s="22" t="s">
        <v>20</v>
      </c>
      <c r="G15" s="22">
        <v>20.0</v>
      </c>
      <c r="H15" s="22">
        <f t="shared" ref="H15:K15" si="5">VLOOKUP(G15,R28:W93,2,0)</f>
        <v>125.9</v>
      </c>
      <c r="I15" s="22">
        <f t="shared" si="5"/>
        <v>123.9</v>
      </c>
      <c r="J15" s="22">
        <f t="shared" si="5"/>
        <v>127.9</v>
      </c>
      <c r="K15" s="22">
        <f t="shared" si="5"/>
        <v>-2.03</v>
      </c>
      <c r="L15" s="22" t="str">
        <f t="shared" si="3"/>
        <v>Atraso signifiticativo</v>
      </c>
      <c r="M15" s="23">
        <v>88.0</v>
      </c>
      <c r="N15" s="22" t="str">
        <f t="shared" si="4"/>
        <v>Médio</v>
      </c>
    </row>
    <row r="16">
      <c r="F16" s="22" t="s">
        <v>21</v>
      </c>
      <c r="G16" s="23">
        <v>20.0</v>
      </c>
      <c r="H16" s="22">
        <f t="shared" ref="H16:K16" si="6">VLOOKUP(G16,Z29:AE117,2,0)</f>
        <v>133.9</v>
      </c>
      <c r="I16" s="22">
        <f t="shared" si="6"/>
        <v>126.9</v>
      </c>
      <c r="J16" s="22">
        <f t="shared" si="6"/>
        <v>141</v>
      </c>
      <c r="K16" s="22">
        <f t="shared" si="6"/>
        <v>-1.46</v>
      </c>
      <c r="L16" s="22" t="str">
        <f t="shared" si="3"/>
        <v>Alerta para atraso</v>
      </c>
      <c r="M16" s="23">
        <v>79.0</v>
      </c>
      <c r="N16" s="22" t="str">
        <f t="shared" si="4"/>
        <v>Abaixo da Média</v>
      </c>
    </row>
    <row r="17">
      <c r="F17" s="22" t="s">
        <v>22</v>
      </c>
      <c r="G17" s="23">
        <v>25.0</v>
      </c>
      <c r="H17" s="22">
        <f t="shared" ref="H17:K17" si="7">VLOOKUP(G17,AI30:AN92,2,0)</f>
        <v>147.6</v>
      </c>
      <c r="I17" s="22">
        <f t="shared" si="7"/>
        <v>145.2</v>
      </c>
      <c r="J17" s="22">
        <f t="shared" si="7"/>
        <v>150</v>
      </c>
      <c r="K17" s="22">
        <f t="shared" si="7"/>
        <v>-0.51</v>
      </c>
      <c r="L17" s="22" t="str">
        <f t="shared" si="3"/>
        <v>Típico</v>
      </c>
      <c r="M17" s="22">
        <f>VLOOKUP(G17,AI30:AN92,6,0)</f>
        <v>92</v>
      </c>
      <c r="N17" s="22" t="str">
        <f t="shared" si="4"/>
        <v>Médio</v>
      </c>
    </row>
    <row r="18">
      <c r="F18" s="22" t="s">
        <v>23</v>
      </c>
      <c r="G18" s="22">
        <v>28.0</v>
      </c>
      <c r="H18" s="22">
        <f t="shared" ref="H18:K18" si="8">VLOOKUP(G18,AS29:AX71,2,0)</f>
        <v>148.7</v>
      </c>
      <c r="I18" s="22">
        <f t="shared" si="8"/>
        <v>145.2</v>
      </c>
      <c r="J18" s="22">
        <f t="shared" si="8"/>
        <v>152.3</v>
      </c>
      <c r="K18" s="22">
        <f t="shared" si="8"/>
        <v>1.22</v>
      </c>
      <c r="L18" s="22" t="str">
        <f t="shared" si="3"/>
        <v>Típico</v>
      </c>
      <c r="M18" s="23">
        <v>94.0</v>
      </c>
      <c r="N18" s="22" t="str">
        <f t="shared" si="4"/>
        <v>Médio</v>
      </c>
    </row>
    <row r="19">
      <c r="F19" s="22" t="s">
        <v>24</v>
      </c>
      <c r="G19" s="23">
        <v>77.0</v>
      </c>
      <c r="H19" s="22">
        <f t="shared" ref="H19:K19" si="9">VLOOKUP(G19,BA29:BF149,2,0)</f>
        <v>110.1</v>
      </c>
      <c r="I19" s="22">
        <f t="shared" si="9"/>
        <v>109.3</v>
      </c>
      <c r="J19" s="22">
        <f t="shared" si="9"/>
        <v>110.9</v>
      </c>
      <c r="K19" s="22">
        <f t="shared" si="9"/>
        <v>-1.17</v>
      </c>
      <c r="L19" s="22" t="str">
        <f t="shared" si="3"/>
        <v>Alerta para atraso</v>
      </c>
      <c r="M19" s="22">
        <f>VLOOKUP(G19,BA29:BF149,6,0)</f>
        <v>82</v>
      </c>
      <c r="N19" s="22" t="str">
        <f t="shared" si="4"/>
        <v>Abaixo da Média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</row>
    <row r="25" ht="15.75" customHeight="1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</row>
    <row r="26" ht="15.75" customHeight="1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</row>
    <row r="27" ht="15.75" customHeight="1">
      <c r="A27" s="25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7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</row>
    <row r="28" ht="15.75" customHeight="1">
      <c r="A28" s="25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</row>
    <row r="29" ht="15.75" customHeight="1">
      <c r="A29" s="25"/>
      <c r="B29" s="26"/>
      <c r="C29" s="26">
        <v>0.0</v>
      </c>
      <c r="D29" s="26">
        <v>108.2</v>
      </c>
      <c r="E29" s="26">
        <v>106.0</v>
      </c>
      <c r="F29" s="26">
        <v>110.5</v>
      </c>
      <c r="G29" s="26">
        <v>-4.88</v>
      </c>
      <c r="H29" s="26">
        <v>37.0</v>
      </c>
      <c r="I29" s="26"/>
      <c r="J29" s="26"/>
      <c r="K29" s="26">
        <v>0.0</v>
      </c>
      <c r="L29" s="26">
        <v>102.5</v>
      </c>
      <c r="M29" s="26">
        <v>99.2</v>
      </c>
      <c r="N29" s="26">
        <v>105.7</v>
      </c>
      <c r="O29" s="26">
        <v>-4.07</v>
      </c>
      <c r="P29" s="26">
        <v>39.0</v>
      </c>
      <c r="Q29" s="26"/>
      <c r="R29" s="26">
        <v>0.0</v>
      </c>
      <c r="S29" s="26">
        <v>112.3</v>
      </c>
      <c r="T29" s="26">
        <v>109.2</v>
      </c>
      <c r="U29" s="26">
        <v>115.4</v>
      </c>
      <c r="V29" s="26">
        <v>-5.22</v>
      </c>
      <c r="W29" s="26">
        <v>22.0</v>
      </c>
      <c r="X29" s="26"/>
      <c r="Y29" s="26"/>
      <c r="Z29" s="26">
        <v>0.0</v>
      </c>
      <c r="AA29" s="26">
        <v>91.8</v>
      </c>
      <c r="AB29" s="26">
        <v>67.8</v>
      </c>
      <c r="AC29" s="26">
        <v>115.8</v>
      </c>
      <c r="AD29" s="26">
        <v>-5.88</v>
      </c>
      <c r="AE29" s="26">
        <v>12.0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119.7</v>
      </c>
      <c r="AU29" s="26">
        <v>116.2</v>
      </c>
      <c r="AV29" s="26">
        <v>123.3</v>
      </c>
      <c r="AW29" s="26">
        <v>-4.78</v>
      </c>
      <c r="AX29" s="26">
        <v>28.0</v>
      </c>
      <c r="AY29" s="26"/>
      <c r="AZ29" s="26"/>
      <c r="BA29" s="26">
        <v>0.0</v>
      </c>
      <c r="BB29" s="26">
        <v>86.2</v>
      </c>
      <c r="BC29" s="26">
        <v>82.9</v>
      </c>
      <c r="BD29" s="26">
        <v>89.5</v>
      </c>
      <c r="BE29" s="26">
        <v>-8.55</v>
      </c>
      <c r="BF29" s="26">
        <v>-28.0</v>
      </c>
      <c r="BG29" s="26"/>
      <c r="BH29" s="26"/>
      <c r="BI29" s="26"/>
      <c r="BJ29" s="26"/>
    </row>
    <row r="30" ht="15.75" customHeight="1">
      <c r="A30" s="25"/>
      <c r="B30" s="26"/>
      <c r="C30" s="26">
        <v>1.0</v>
      </c>
      <c r="D30" s="26">
        <v>109.0</v>
      </c>
      <c r="E30" s="26">
        <v>107.6</v>
      </c>
      <c r="F30" s="26">
        <v>110.3</v>
      </c>
      <c r="G30" s="26">
        <v>-4.76</v>
      </c>
      <c r="H30" s="26">
        <v>29.0</v>
      </c>
      <c r="I30" s="26"/>
      <c r="J30" s="26"/>
      <c r="K30" s="26">
        <v>1.0</v>
      </c>
      <c r="L30" s="26">
        <v>104.2</v>
      </c>
      <c r="M30" s="26">
        <v>101.9</v>
      </c>
      <c r="N30" s="26">
        <v>106.4</v>
      </c>
      <c r="O30" s="26">
        <v>-3.81</v>
      </c>
      <c r="P30" s="26">
        <v>43.0</v>
      </c>
      <c r="Q30" s="26"/>
      <c r="R30" s="26">
        <v>1.0</v>
      </c>
      <c r="S30" s="26">
        <v>113.7</v>
      </c>
      <c r="T30" s="26">
        <v>111.9</v>
      </c>
      <c r="U30" s="26">
        <v>115.5</v>
      </c>
      <c r="V30" s="26">
        <v>-4.91</v>
      </c>
      <c r="W30" s="26">
        <v>26.0</v>
      </c>
      <c r="X30" s="26"/>
      <c r="Y30" s="26"/>
      <c r="Z30" s="26">
        <v>1.0</v>
      </c>
      <c r="AA30" s="26">
        <v>101.3</v>
      </c>
      <c r="AB30" s="26">
        <v>88.3</v>
      </c>
      <c r="AC30" s="26">
        <v>114.4</v>
      </c>
      <c r="AD30" s="26">
        <v>-4.89</v>
      </c>
      <c r="AE30" s="26">
        <v>27.0</v>
      </c>
      <c r="AF30" s="26"/>
      <c r="AG30" s="26"/>
      <c r="AH30" s="26"/>
      <c r="AI30" s="26">
        <v>0.0</v>
      </c>
      <c r="AJ30" s="26">
        <v>122.4</v>
      </c>
      <c r="AK30" s="26">
        <v>118.8</v>
      </c>
      <c r="AL30" s="26">
        <v>126.0</v>
      </c>
      <c r="AM30" s="26">
        <v>-4.42</v>
      </c>
      <c r="AN30" s="26">
        <v>34.0</v>
      </c>
      <c r="AO30" s="26"/>
      <c r="AP30" s="26"/>
      <c r="AQ30" s="26"/>
      <c r="AR30" s="26"/>
      <c r="AS30" s="26">
        <v>1.0</v>
      </c>
      <c r="AT30" s="26">
        <v>122.4</v>
      </c>
      <c r="AU30" s="26">
        <v>119.1</v>
      </c>
      <c r="AV30" s="26">
        <v>125.7</v>
      </c>
      <c r="AW30" s="26">
        <v>-4.22</v>
      </c>
      <c r="AX30" s="26">
        <v>37.0</v>
      </c>
      <c r="AY30" s="26"/>
      <c r="AZ30" s="26"/>
      <c r="BA30" s="26">
        <v>1.0</v>
      </c>
      <c r="BB30" s="26">
        <v>88.0</v>
      </c>
      <c r="BC30" s="26">
        <v>85.7</v>
      </c>
      <c r="BD30" s="26">
        <v>90.2</v>
      </c>
      <c r="BE30" s="26">
        <v>-8.02</v>
      </c>
      <c r="BF30" s="26">
        <v>-20.0</v>
      </c>
      <c r="BG30" s="26"/>
      <c r="BH30" s="26"/>
      <c r="BI30" s="26"/>
      <c r="BJ30" s="26"/>
    </row>
    <row r="31" ht="15.75" customHeight="1">
      <c r="A31" s="25"/>
      <c r="B31" s="26"/>
      <c r="C31" s="26">
        <v>2.0</v>
      </c>
      <c r="D31" s="26">
        <v>109.5</v>
      </c>
      <c r="E31" s="26">
        <v>108.4</v>
      </c>
      <c r="F31" s="26">
        <v>110.6</v>
      </c>
      <c r="G31" s="26">
        <v>-4.68</v>
      </c>
      <c r="H31" s="26">
        <v>30.0</v>
      </c>
      <c r="I31" s="26"/>
      <c r="J31" s="26"/>
      <c r="K31" s="26">
        <v>2.0</v>
      </c>
      <c r="L31" s="26">
        <v>106.0</v>
      </c>
      <c r="M31" s="26">
        <v>103.7</v>
      </c>
      <c r="N31" s="26">
        <v>108.3</v>
      </c>
      <c r="O31" s="26">
        <v>-3.52</v>
      </c>
      <c r="P31" s="26">
        <v>47.0</v>
      </c>
      <c r="Q31" s="26"/>
      <c r="R31" s="26">
        <v>2.0</v>
      </c>
      <c r="S31" s="26">
        <v>114.6</v>
      </c>
      <c r="T31" s="26">
        <v>113.2</v>
      </c>
      <c r="U31" s="26">
        <v>116.0</v>
      </c>
      <c r="V31" s="26">
        <v>-4.69</v>
      </c>
      <c r="W31" s="26">
        <v>30.0</v>
      </c>
      <c r="X31" s="26"/>
      <c r="Y31" s="26"/>
      <c r="Z31" s="26">
        <v>2.0</v>
      </c>
      <c r="AA31" s="26">
        <v>106.7</v>
      </c>
      <c r="AB31" s="26">
        <v>97.5</v>
      </c>
      <c r="AC31" s="26">
        <v>115.9</v>
      </c>
      <c r="AD31" s="26">
        <v>-4.32</v>
      </c>
      <c r="AE31" s="26">
        <v>35.0</v>
      </c>
      <c r="AF31" s="26"/>
      <c r="AG31" s="26"/>
      <c r="AH31" s="26"/>
      <c r="AI31" s="26">
        <v>1.0</v>
      </c>
      <c r="AJ31" s="26">
        <v>125.3</v>
      </c>
      <c r="AK31" s="26">
        <v>121.7</v>
      </c>
      <c r="AL31" s="26">
        <v>129.0</v>
      </c>
      <c r="AM31" s="26">
        <v>-3.96</v>
      </c>
      <c r="AN31" s="26">
        <v>41.0</v>
      </c>
      <c r="AO31" s="26"/>
      <c r="AP31" s="26"/>
      <c r="AQ31" s="26"/>
      <c r="AR31" s="26"/>
      <c r="AS31" s="26">
        <v>2.0</v>
      </c>
      <c r="AT31" s="26">
        <v>124.8</v>
      </c>
      <c r="AU31" s="26">
        <v>122.8</v>
      </c>
      <c r="AV31" s="26">
        <v>126.9</v>
      </c>
      <c r="AW31" s="26">
        <v>-3.72</v>
      </c>
      <c r="AX31" s="26">
        <v>44.0</v>
      </c>
      <c r="AY31" s="26"/>
      <c r="AZ31" s="26"/>
      <c r="BA31" s="26">
        <v>2.0</v>
      </c>
      <c r="BB31" s="26">
        <v>89.5</v>
      </c>
      <c r="BC31" s="26">
        <v>87.6</v>
      </c>
      <c r="BD31" s="26">
        <v>91.4</v>
      </c>
      <c r="BE31" s="26">
        <v>-7.54</v>
      </c>
      <c r="BF31" s="26">
        <v>-13.0</v>
      </c>
      <c r="BG31" s="26"/>
      <c r="BH31" s="26"/>
      <c r="BI31" s="26"/>
      <c r="BJ31" s="26"/>
    </row>
    <row r="32" ht="15.75" customHeight="1">
      <c r="A32" s="25"/>
      <c r="B32" s="26"/>
      <c r="C32" s="26">
        <v>3.0</v>
      </c>
      <c r="D32" s="26">
        <v>109.9</v>
      </c>
      <c r="E32" s="26">
        <v>108.9</v>
      </c>
      <c r="F32" s="26">
        <v>110.9</v>
      </c>
      <c r="G32" s="26">
        <v>-4.62</v>
      </c>
      <c r="H32" s="26">
        <v>31.0</v>
      </c>
      <c r="I32" s="26"/>
      <c r="J32" s="26"/>
      <c r="K32" s="26">
        <v>3.0</v>
      </c>
      <c r="L32" s="26">
        <v>107.8</v>
      </c>
      <c r="M32" s="26">
        <v>105.8</v>
      </c>
      <c r="N32" s="26">
        <v>109.8</v>
      </c>
      <c r="O32" s="26">
        <v>-3.25</v>
      </c>
      <c r="P32" s="26">
        <v>51.0</v>
      </c>
      <c r="Q32" s="26"/>
      <c r="R32" s="26">
        <v>3.0</v>
      </c>
      <c r="S32" s="26">
        <v>115.3</v>
      </c>
      <c r="T32" s="26">
        <v>114.0</v>
      </c>
      <c r="U32" s="26">
        <v>116.5</v>
      </c>
      <c r="V32" s="26">
        <v>-4.53</v>
      </c>
      <c r="W32" s="26">
        <v>32.0</v>
      </c>
      <c r="X32" s="26"/>
      <c r="Y32" s="26"/>
      <c r="Z32" s="26">
        <v>3.0</v>
      </c>
      <c r="AA32" s="26">
        <v>109.9</v>
      </c>
      <c r="AB32" s="26">
        <v>102.4</v>
      </c>
      <c r="AC32" s="26">
        <v>117.5</v>
      </c>
      <c r="AD32" s="26">
        <v>-3.98</v>
      </c>
      <c r="AE32" s="26">
        <v>40.0</v>
      </c>
      <c r="AF32" s="26"/>
      <c r="AG32" s="26"/>
      <c r="AH32" s="26"/>
      <c r="AI32" s="26">
        <v>2.0</v>
      </c>
      <c r="AJ32" s="26">
        <v>128.0</v>
      </c>
      <c r="AK32" s="26">
        <v>125.9</v>
      </c>
      <c r="AL32" s="26">
        <v>130.1</v>
      </c>
      <c r="AM32" s="26">
        <v>-3.55</v>
      </c>
      <c r="AN32" s="26">
        <v>47.0</v>
      </c>
      <c r="AO32" s="26"/>
      <c r="AP32" s="26"/>
      <c r="AQ32" s="26"/>
      <c r="AR32" s="26"/>
      <c r="AS32" s="26">
        <v>3.0</v>
      </c>
      <c r="AT32" s="26">
        <v>126.1</v>
      </c>
      <c r="AU32" s="26">
        <v>124.4</v>
      </c>
      <c r="AV32" s="26">
        <v>127.7</v>
      </c>
      <c r="AW32" s="26">
        <v>-3.47</v>
      </c>
      <c r="AX32" s="26">
        <v>48.0</v>
      </c>
      <c r="AY32" s="26"/>
      <c r="AZ32" s="26"/>
      <c r="BA32" s="26">
        <v>3.0</v>
      </c>
      <c r="BB32" s="26">
        <v>90.7</v>
      </c>
      <c r="BC32" s="26">
        <v>89.0</v>
      </c>
      <c r="BD32" s="26">
        <v>92.5</v>
      </c>
      <c r="BE32" s="26">
        <v>-7.16</v>
      </c>
      <c r="BF32" s="26">
        <v>-7.0</v>
      </c>
      <c r="BG32" s="26"/>
      <c r="BH32" s="26"/>
      <c r="BI32" s="26"/>
      <c r="BJ32" s="26"/>
    </row>
    <row r="33" ht="15.75" customHeight="1">
      <c r="A33" s="25"/>
      <c r="B33" s="26"/>
      <c r="C33" s="26">
        <v>4.0</v>
      </c>
      <c r="D33" s="26">
        <v>110.3</v>
      </c>
      <c r="E33" s="26">
        <v>109.3</v>
      </c>
      <c r="F33" s="26">
        <v>111.2</v>
      </c>
      <c r="G33" s="26">
        <v>-4.57</v>
      </c>
      <c r="H33" s="26">
        <v>32.0</v>
      </c>
      <c r="I33" s="26"/>
      <c r="J33" s="26"/>
      <c r="K33" s="26">
        <v>4.0</v>
      </c>
      <c r="L33" s="26">
        <v>109.1</v>
      </c>
      <c r="M33" s="26">
        <v>107.4</v>
      </c>
      <c r="N33" s="26">
        <v>110.8</v>
      </c>
      <c r="O33" s="26">
        <v>-3.05</v>
      </c>
      <c r="P33" s="26">
        <v>54.0</v>
      </c>
      <c r="Q33" s="26"/>
      <c r="R33" s="26">
        <v>4.0</v>
      </c>
      <c r="S33" s="26">
        <v>115.8</v>
      </c>
      <c r="T33" s="26">
        <v>114.6</v>
      </c>
      <c r="U33" s="26">
        <v>117.0</v>
      </c>
      <c r="V33" s="26">
        <v>-4.4</v>
      </c>
      <c r="W33" s="26">
        <v>34.0</v>
      </c>
      <c r="X33" s="26"/>
      <c r="Y33" s="26"/>
      <c r="Z33" s="26">
        <v>4.0</v>
      </c>
      <c r="AA33" s="26">
        <v>112.2</v>
      </c>
      <c r="AB33" s="26">
        <v>105.6</v>
      </c>
      <c r="AC33" s="26">
        <v>118.8</v>
      </c>
      <c r="AD33" s="26">
        <v>-3.74</v>
      </c>
      <c r="AE33" s="26">
        <v>44.0</v>
      </c>
      <c r="AF33" s="26"/>
      <c r="AG33" s="26"/>
      <c r="AH33" s="26"/>
      <c r="AI33" s="26">
        <v>3.0</v>
      </c>
      <c r="AJ33" s="26">
        <v>129.4</v>
      </c>
      <c r="AK33" s="26">
        <v>127.5</v>
      </c>
      <c r="AL33" s="26">
        <v>131.3</v>
      </c>
      <c r="AM33" s="26">
        <v>-3.34</v>
      </c>
      <c r="AN33" s="26">
        <v>50.0</v>
      </c>
      <c r="AO33" s="26"/>
      <c r="AP33" s="26"/>
      <c r="AQ33" s="26"/>
      <c r="AR33" s="26"/>
      <c r="AS33" s="26">
        <v>4.0</v>
      </c>
      <c r="AT33" s="26">
        <v>127.0</v>
      </c>
      <c r="AU33" s="26">
        <v>125.4</v>
      </c>
      <c r="AV33" s="26">
        <v>128.6</v>
      </c>
      <c r="AW33" s="26">
        <v>-3.27</v>
      </c>
      <c r="AX33" s="26">
        <v>51.0</v>
      </c>
      <c r="AY33" s="26"/>
      <c r="AZ33" s="26"/>
      <c r="BA33" s="26">
        <v>4.0</v>
      </c>
      <c r="BB33" s="26">
        <v>91.8</v>
      </c>
      <c r="BC33" s="26">
        <v>90.1</v>
      </c>
      <c r="BD33" s="26">
        <v>93.5</v>
      </c>
      <c r="BE33" s="26">
        <v>-6.83</v>
      </c>
      <c r="BF33" s="26">
        <v>-2.0</v>
      </c>
      <c r="BG33" s="26"/>
      <c r="BH33" s="26"/>
      <c r="BI33" s="26"/>
      <c r="BJ33" s="26"/>
    </row>
    <row r="34" ht="15.75" customHeight="1">
      <c r="A34" s="25"/>
      <c r="B34" s="26"/>
      <c r="C34" s="26">
        <v>5.0</v>
      </c>
      <c r="D34" s="26">
        <v>110.6</v>
      </c>
      <c r="E34" s="26">
        <v>109.7</v>
      </c>
      <c r="F34" s="26">
        <v>111.5</v>
      </c>
      <c r="G34" s="26">
        <v>-4.52</v>
      </c>
      <c r="H34" s="26">
        <v>32.0</v>
      </c>
      <c r="I34" s="26"/>
      <c r="J34" s="26"/>
      <c r="K34" s="26">
        <v>5.0</v>
      </c>
      <c r="L34" s="26">
        <v>110.0</v>
      </c>
      <c r="M34" s="26">
        <v>108.5</v>
      </c>
      <c r="N34" s="26">
        <v>111.5</v>
      </c>
      <c r="O34" s="26">
        <v>-2.9</v>
      </c>
      <c r="P34" s="26">
        <v>56.0</v>
      </c>
      <c r="Q34" s="26"/>
      <c r="R34" s="26">
        <v>5.0</v>
      </c>
      <c r="S34" s="26">
        <v>116.3</v>
      </c>
      <c r="T34" s="26">
        <v>115.2</v>
      </c>
      <c r="U34" s="26">
        <v>117.5</v>
      </c>
      <c r="V34" s="26">
        <v>-4.28</v>
      </c>
      <c r="W34" s="26">
        <v>36.0</v>
      </c>
      <c r="X34" s="26"/>
      <c r="Y34" s="26"/>
      <c r="Z34" s="26">
        <v>5.0</v>
      </c>
      <c r="AA34" s="26">
        <v>114.0</v>
      </c>
      <c r="AB34" s="26">
        <v>108.0</v>
      </c>
      <c r="AC34" s="26">
        <v>120.0</v>
      </c>
      <c r="AD34" s="26">
        <v>-3.55</v>
      </c>
      <c r="AE34" s="26">
        <v>47.0</v>
      </c>
      <c r="AF34" s="26"/>
      <c r="AG34" s="26"/>
      <c r="AH34" s="26"/>
      <c r="AI34" s="26">
        <v>4.0</v>
      </c>
      <c r="AJ34" s="26">
        <v>130.7</v>
      </c>
      <c r="AK34" s="26">
        <v>128.7</v>
      </c>
      <c r="AL34" s="26">
        <v>132.7</v>
      </c>
      <c r="AM34" s="26">
        <v>-3.13</v>
      </c>
      <c r="AN34" s="26">
        <v>53.0</v>
      </c>
      <c r="AO34" s="26"/>
      <c r="AP34" s="26"/>
      <c r="AQ34" s="26"/>
      <c r="AR34" s="26"/>
      <c r="AS34" s="26">
        <v>5.0</v>
      </c>
      <c r="AT34" s="26">
        <v>127.9</v>
      </c>
      <c r="AU34" s="26">
        <v>126.4</v>
      </c>
      <c r="AV34" s="26">
        <v>129.5</v>
      </c>
      <c r="AW34" s="26">
        <v>-3.08</v>
      </c>
      <c r="AX34" s="26">
        <v>54.0</v>
      </c>
      <c r="AY34" s="26"/>
      <c r="AZ34" s="26"/>
      <c r="BA34" s="26">
        <v>5.0</v>
      </c>
      <c r="BB34" s="26">
        <v>92.9</v>
      </c>
      <c r="BC34" s="26">
        <v>91.1</v>
      </c>
      <c r="BD34" s="26">
        <v>94.6</v>
      </c>
      <c r="BE34" s="26">
        <v>-6.5</v>
      </c>
      <c r="BF34" s="26">
        <v>2.0</v>
      </c>
      <c r="BG34" s="26"/>
      <c r="BH34" s="26"/>
      <c r="BI34" s="26"/>
      <c r="BJ34" s="26"/>
    </row>
    <row r="35" ht="15.75" customHeight="1">
      <c r="A35" s="25"/>
      <c r="B35" s="26"/>
      <c r="C35" s="26">
        <v>6.0</v>
      </c>
      <c r="D35" s="26">
        <v>110.9</v>
      </c>
      <c r="E35" s="26">
        <v>110.0</v>
      </c>
      <c r="F35" s="26">
        <v>111.7</v>
      </c>
      <c r="G35" s="26">
        <v>-4.47</v>
      </c>
      <c r="H35" s="26">
        <v>33.0</v>
      </c>
      <c r="I35" s="26"/>
      <c r="J35" s="26"/>
      <c r="K35" s="26">
        <v>6.0</v>
      </c>
      <c r="L35" s="26">
        <v>110.8</v>
      </c>
      <c r="M35" s="26">
        <v>109.4</v>
      </c>
      <c r="N35" s="26">
        <v>112.2</v>
      </c>
      <c r="O35" s="26">
        <v>-2.79</v>
      </c>
      <c r="P35" s="26">
        <v>58.0</v>
      </c>
      <c r="Q35" s="26"/>
      <c r="R35" s="26">
        <v>6.0</v>
      </c>
      <c r="S35" s="26">
        <v>116.8</v>
      </c>
      <c r="T35" s="26">
        <v>115.7</v>
      </c>
      <c r="U35" s="26">
        <v>117.9</v>
      </c>
      <c r="V35" s="26">
        <v>-4.17</v>
      </c>
      <c r="W35" s="26">
        <v>37.0</v>
      </c>
      <c r="X35" s="26"/>
      <c r="Y35" s="26"/>
      <c r="Z35" s="26">
        <v>6.0</v>
      </c>
      <c r="AA35" s="26">
        <v>115.6</v>
      </c>
      <c r="AB35" s="26">
        <v>110.0</v>
      </c>
      <c r="AC35" s="26">
        <v>121.2</v>
      </c>
      <c r="AD35" s="26">
        <v>-3.39</v>
      </c>
      <c r="AE35" s="26">
        <v>49.0</v>
      </c>
      <c r="AF35" s="26"/>
      <c r="AG35" s="26"/>
      <c r="AH35" s="26"/>
      <c r="AI35" s="26">
        <v>5.0</v>
      </c>
      <c r="AJ35" s="26">
        <v>132.3</v>
      </c>
      <c r="AK35" s="26">
        <v>130.1</v>
      </c>
      <c r="AL35" s="26">
        <v>134.5</v>
      </c>
      <c r="AM35" s="26">
        <v>-2.88</v>
      </c>
      <c r="AN35" s="26">
        <v>57.0</v>
      </c>
      <c r="AO35" s="26"/>
      <c r="AP35" s="26"/>
      <c r="AQ35" s="26"/>
      <c r="AR35" s="26"/>
      <c r="AS35" s="26">
        <v>6.0</v>
      </c>
      <c r="AT35" s="26">
        <v>128.8</v>
      </c>
      <c r="AU35" s="26">
        <v>127.3</v>
      </c>
      <c r="AV35" s="26">
        <v>130.3</v>
      </c>
      <c r="AW35" s="26">
        <v>-2.9</v>
      </c>
      <c r="AX35" s="26">
        <v>57.0</v>
      </c>
      <c r="AY35" s="26"/>
      <c r="AZ35" s="26"/>
      <c r="BA35" s="26">
        <v>6.0</v>
      </c>
      <c r="BB35" s="26">
        <v>94.0</v>
      </c>
      <c r="BC35" s="26">
        <v>92.3</v>
      </c>
      <c r="BD35" s="26">
        <v>95.7</v>
      </c>
      <c r="BE35" s="26">
        <v>-6.15</v>
      </c>
      <c r="BF35" s="26">
        <v>8.0</v>
      </c>
      <c r="BG35" s="26"/>
      <c r="BH35" s="26"/>
      <c r="BI35" s="26"/>
      <c r="BJ35" s="26"/>
    </row>
    <row r="36" ht="15.75" customHeight="1">
      <c r="A36" s="25"/>
      <c r="B36" s="26"/>
      <c r="C36" s="26">
        <v>7.0</v>
      </c>
      <c r="D36" s="26">
        <v>111.2</v>
      </c>
      <c r="E36" s="26">
        <v>110.2</v>
      </c>
      <c r="F36" s="26">
        <v>112.1</v>
      </c>
      <c r="G36" s="26">
        <v>-4.43</v>
      </c>
      <c r="H36" s="26">
        <v>34.0</v>
      </c>
      <c r="I36" s="26"/>
      <c r="J36" s="26"/>
      <c r="K36" s="26">
        <v>7.0</v>
      </c>
      <c r="L36" s="26">
        <v>111.5</v>
      </c>
      <c r="M36" s="26">
        <v>110.1</v>
      </c>
      <c r="N36" s="26">
        <v>112.9</v>
      </c>
      <c r="O36" s="26">
        <v>-2.68</v>
      </c>
      <c r="P36" s="26">
        <v>60.0</v>
      </c>
      <c r="Q36" s="26"/>
      <c r="R36" s="26">
        <v>7.0</v>
      </c>
      <c r="S36" s="26">
        <v>117.3</v>
      </c>
      <c r="T36" s="26">
        <v>116.2</v>
      </c>
      <c r="U36" s="26">
        <v>118.4</v>
      </c>
      <c r="V36" s="26">
        <v>-4.06</v>
      </c>
      <c r="W36" s="26">
        <v>39.0</v>
      </c>
      <c r="X36" s="26"/>
      <c r="Y36" s="26"/>
      <c r="Z36" s="26">
        <v>7.0</v>
      </c>
      <c r="AA36" s="26">
        <v>116.9</v>
      </c>
      <c r="AB36" s="26">
        <v>111.6</v>
      </c>
      <c r="AC36" s="26">
        <v>122.3</v>
      </c>
      <c r="AD36" s="26">
        <v>-3.25</v>
      </c>
      <c r="AE36" s="26">
        <v>51.0</v>
      </c>
      <c r="AF36" s="26"/>
      <c r="AG36" s="26"/>
      <c r="AH36" s="26"/>
      <c r="AI36" s="26">
        <v>6.0</v>
      </c>
      <c r="AJ36" s="26">
        <v>134.0</v>
      </c>
      <c r="AK36" s="26">
        <v>132.0</v>
      </c>
      <c r="AL36" s="26">
        <v>136.0</v>
      </c>
      <c r="AM36" s="26">
        <v>-2.62</v>
      </c>
      <c r="AN36" s="26">
        <v>61.0</v>
      </c>
      <c r="AO36" s="26"/>
      <c r="AP36" s="26"/>
      <c r="AQ36" s="26"/>
      <c r="AR36" s="26"/>
      <c r="AS36" s="26">
        <v>7.0</v>
      </c>
      <c r="AT36" s="26">
        <v>129.6</v>
      </c>
      <c r="AU36" s="26">
        <v>128.2</v>
      </c>
      <c r="AV36" s="26">
        <v>131.0</v>
      </c>
      <c r="AW36" s="26">
        <v>-2.74</v>
      </c>
      <c r="AX36" s="26">
        <v>59.0</v>
      </c>
      <c r="AY36" s="26"/>
      <c r="AZ36" s="26"/>
      <c r="BA36" s="26">
        <v>7.0</v>
      </c>
      <c r="BB36" s="26">
        <v>95.0</v>
      </c>
      <c r="BC36" s="26">
        <v>93.5</v>
      </c>
      <c r="BD36" s="26">
        <v>96.5</v>
      </c>
      <c r="BE36" s="26">
        <v>-5.85</v>
      </c>
      <c r="BF36" s="26">
        <v>12.0</v>
      </c>
      <c r="BG36" s="26"/>
      <c r="BH36" s="26"/>
      <c r="BI36" s="26"/>
      <c r="BJ36" s="26"/>
    </row>
    <row r="37" ht="15.75" customHeight="1">
      <c r="A37" s="25"/>
      <c r="B37" s="26"/>
      <c r="C37" s="26">
        <v>8.0</v>
      </c>
      <c r="D37" s="26">
        <v>111.5</v>
      </c>
      <c r="E37" s="26">
        <v>110.5</v>
      </c>
      <c r="F37" s="26">
        <v>112.4</v>
      </c>
      <c r="G37" s="26">
        <v>-4.38</v>
      </c>
      <c r="H37" s="26">
        <v>34.0</v>
      </c>
      <c r="I37" s="26"/>
      <c r="J37" s="26"/>
      <c r="K37" s="26">
        <v>8.0</v>
      </c>
      <c r="L37" s="26">
        <v>112.2</v>
      </c>
      <c r="M37" s="26">
        <v>110.8</v>
      </c>
      <c r="N37" s="26">
        <v>113.6</v>
      </c>
      <c r="O37" s="26">
        <v>-2.57</v>
      </c>
      <c r="P37" s="26">
        <v>62.0</v>
      </c>
      <c r="Q37" s="26"/>
      <c r="R37" s="26">
        <v>8.0</v>
      </c>
      <c r="S37" s="26">
        <v>117.8</v>
      </c>
      <c r="T37" s="26">
        <v>116.6</v>
      </c>
      <c r="U37" s="26">
        <v>118.9</v>
      </c>
      <c r="V37" s="26">
        <v>-3.94</v>
      </c>
      <c r="W37" s="26">
        <v>41.0</v>
      </c>
      <c r="X37" s="26"/>
      <c r="Y37" s="26"/>
      <c r="Z37" s="26">
        <v>8.0</v>
      </c>
      <c r="AA37" s="26">
        <v>118.2</v>
      </c>
      <c r="AB37" s="26">
        <v>113.1</v>
      </c>
      <c r="AC37" s="26">
        <v>123.3</v>
      </c>
      <c r="AD37" s="26">
        <v>-3.11</v>
      </c>
      <c r="AE37" s="26">
        <v>53.0</v>
      </c>
      <c r="AF37" s="26"/>
      <c r="AG37" s="26"/>
      <c r="AH37" s="26"/>
      <c r="AI37" s="26">
        <v>7.0</v>
      </c>
      <c r="AJ37" s="26">
        <v>135.2</v>
      </c>
      <c r="AK37" s="26">
        <v>133.6</v>
      </c>
      <c r="AL37" s="26">
        <v>136.8</v>
      </c>
      <c r="AM37" s="26">
        <v>-2.43</v>
      </c>
      <c r="AN37" s="26">
        <v>64.0</v>
      </c>
      <c r="AO37" s="26"/>
      <c r="AP37" s="26"/>
      <c r="AQ37" s="26"/>
      <c r="AR37" s="26"/>
      <c r="AS37" s="26">
        <v>8.0</v>
      </c>
      <c r="AT37" s="26">
        <v>130.3</v>
      </c>
      <c r="AU37" s="26">
        <v>128.9</v>
      </c>
      <c r="AV37" s="26">
        <v>131.6</v>
      </c>
      <c r="AW37" s="26">
        <v>-2.6</v>
      </c>
      <c r="AX37" s="26">
        <v>61.0</v>
      </c>
      <c r="AY37" s="26"/>
      <c r="AZ37" s="26"/>
      <c r="BA37" s="26">
        <v>8.0</v>
      </c>
      <c r="BB37" s="26">
        <v>95.7</v>
      </c>
      <c r="BC37" s="26">
        <v>94.4</v>
      </c>
      <c r="BD37" s="26">
        <v>97.0</v>
      </c>
      <c r="BE37" s="26">
        <v>-5.63</v>
      </c>
      <c r="BF37" s="26">
        <v>16.0</v>
      </c>
      <c r="BG37" s="26"/>
      <c r="BH37" s="26"/>
      <c r="BI37" s="26"/>
      <c r="BJ37" s="26"/>
    </row>
    <row r="38" ht="15.75" customHeight="1">
      <c r="A38" s="25"/>
      <c r="B38" s="26"/>
      <c r="C38" s="26">
        <v>9.0</v>
      </c>
      <c r="D38" s="26">
        <v>111.8</v>
      </c>
      <c r="E38" s="26">
        <v>110.8</v>
      </c>
      <c r="F38" s="26">
        <v>112.8</v>
      </c>
      <c r="G38" s="26">
        <v>-4.33</v>
      </c>
      <c r="H38" s="26">
        <v>35.0</v>
      </c>
      <c r="I38" s="26"/>
      <c r="J38" s="26"/>
      <c r="K38" s="26">
        <v>9.0</v>
      </c>
      <c r="L38" s="26">
        <v>113.0</v>
      </c>
      <c r="M38" s="26">
        <v>111.5</v>
      </c>
      <c r="N38" s="26">
        <v>114.4</v>
      </c>
      <c r="O38" s="26">
        <v>-2.44</v>
      </c>
      <c r="P38" s="26">
        <v>63.0</v>
      </c>
      <c r="Q38" s="26"/>
      <c r="R38" s="26">
        <v>9.0</v>
      </c>
      <c r="S38" s="26">
        <v>118.3</v>
      </c>
      <c r="T38" s="26">
        <v>117.1</v>
      </c>
      <c r="U38" s="26">
        <v>119.4</v>
      </c>
      <c r="V38" s="26">
        <v>-3.83</v>
      </c>
      <c r="W38" s="26">
        <v>43.0</v>
      </c>
      <c r="X38" s="26"/>
      <c r="Y38" s="26"/>
      <c r="Z38" s="26">
        <v>9.0</v>
      </c>
      <c r="AA38" s="26">
        <v>119.4</v>
      </c>
      <c r="AB38" s="26">
        <v>114.4</v>
      </c>
      <c r="AC38" s="26">
        <v>124.3</v>
      </c>
      <c r="AD38" s="26">
        <v>-2.99</v>
      </c>
      <c r="AE38" s="26">
        <v>55.0</v>
      </c>
      <c r="AF38" s="26"/>
      <c r="AG38" s="26"/>
      <c r="AH38" s="26"/>
      <c r="AI38" s="26">
        <v>8.0</v>
      </c>
      <c r="AJ38" s="26">
        <v>136.0</v>
      </c>
      <c r="AK38" s="26">
        <v>134.7</v>
      </c>
      <c r="AL38" s="26">
        <v>137.4</v>
      </c>
      <c r="AM38" s="26">
        <v>-2.31</v>
      </c>
      <c r="AN38" s="26">
        <v>65.0</v>
      </c>
      <c r="AO38" s="26"/>
      <c r="AP38" s="26"/>
      <c r="AQ38" s="26"/>
      <c r="AR38" s="26"/>
      <c r="AS38" s="26">
        <v>9.0</v>
      </c>
      <c r="AT38" s="26">
        <v>130.9</v>
      </c>
      <c r="AU38" s="26">
        <v>129.6</v>
      </c>
      <c r="AV38" s="26">
        <v>132.3</v>
      </c>
      <c r="AW38" s="26">
        <v>-2.46</v>
      </c>
      <c r="AX38" s="26">
        <v>63.0</v>
      </c>
      <c r="AY38" s="26"/>
      <c r="AZ38" s="26"/>
      <c r="BA38" s="26">
        <v>9.0</v>
      </c>
      <c r="BB38" s="26">
        <v>96.2</v>
      </c>
      <c r="BC38" s="26">
        <v>95.1</v>
      </c>
      <c r="BD38" s="26">
        <v>97.4</v>
      </c>
      <c r="BE38" s="26">
        <v>-5.46</v>
      </c>
      <c r="BF38" s="26">
        <v>18.0</v>
      </c>
      <c r="BG38" s="26"/>
      <c r="BH38" s="26"/>
      <c r="BI38" s="26"/>
      <c r="BJ38" s="26"/>
    </row>
    <row r="39" ht="15.75" customHeight="1">
      <c r="A39" s="25"/>
      <c r="B39" s="26"/>
      <c r="C39" s="26">
        <v>10.0</v>
      </c>
      <c r="D39" s="26">
        <v>112.2</v>
      </c>
      <c r="E39" s="26">
        <v>111.2</v>
      </c>
      <c r="F39" s="26">
        <v>113.2</v>
      </c>
      <c r="G39" s="26">
        <v>-4.27</v>
      </c>
      <c r="H39" s="26">
        <v>36.0</v>
      </c>
      <c r="I39" s="26"/>
      <c r="J39" s="26"/>
      <c r="K39" s="26">
        <v>10.0</v>
      </c>
      <c r="L39" s="26">
        <v>113.7</v>
      </c>
      <c r="M39" s="26">
        <v>112.4</v>
      </c>
      <c r="N39" s="26">
        <v>115.0</v>
      </c>
      <c r="O39" s="26">
        <v>-2.33</v>
      </c>
      <c r="P39" s="26">
        <v>65.0</v>
      </c>
      <c r="Q39" s="26"/>
      <c r="R39" s="26">
        <v>10.0</v>
      </c>
      <c r="S39" s="26">
        <v>118.8</v>
      </c>
      <c r="T39" s="26">
        <v>117.6</v>
      </c>
      <c r="U39" s="26">
        <v>119.9</v>
      </c>
      <c r="V39" s="26">
        <v>-3.71</v>
      </c>
      <c r="W39" s="26">
        <v>44.0</v>
      </c>
      <c r="X39" s="26"/>
      <c r="Y39" s="26"/>
      <c r="Z39" s="26">
        <v>10.0</v>
      </c>
      <c r="AA39" s="26">
        <v>120.5</v>
      </c>
      <c r="AB39" s="26">
        <v>115.6</v>
      </c>
      <c r="AC39" s="26">
        <v>125.4</v>
      </c>
      <c r="AD39" s="26">
        <v>-2.87</v>
      </c>
      <c r="AE39" s="26">
        <v>57.0</v>
      </c>
      <c r="AF39" s="26"/>
      <c r="AG39" s="26"/>
      <c r="AH39" s="26"/>
      <c r="AI39" s="26">
        <v>9.0</v>
      </c>
      <c r="AJ39" s="26">
        <v>136.7</v>
      </c>
      <c r="AK39" s="26">
        <v>135.4</v>
      </c>
      <c r="AL39" s="26">
        <v>137.9</v>
      </c>
      <c r="AM39" s="26">
        <v>-2.21</v>
      </c>
      <c r="AN39" s="26">
        <v>67.0</v>
      </c>
      <c r="AO39" s="26"/>
      <c r="AP39" s="26"/>
      <c r="AQ39" s="26"/>
      <c r="AR39" s="26"/>
      <c r="AS39" s="26">
        <v>10.0</v>
      </c>
      <c r="AT39" s="26">
        <v>131.6</v>
      </c>
      <c r="AU39" s="26">
        <v>130.3</v>
      </c>
      <c r="AV39" s="26">
        <v>132.9</v>
      </c>
      <c r="AW39" s="26">
        <v>-2.33</v>
      </c>
      <c r="AX39" s="26">
        <v>65.0</v>
      </c>
      <c r="AY39" s="26"/>
      <c r="AZ39" s="26"/>
      <c r="BA39" s="26">
        <v>10.0</v>
      </c>
      <c r="BB39" s="26">
        <v>96.7</v>
      </c>
      <c r="BC39" s="26">
        <v>95.6</v>
      </c>
      <c r="BD39" s="26">
        <v>97.7</v>
      </c>
      <c r="BE39" s="26">
        <v>-5.32</v>
      </c>
      <c r="BF39" s="26">
        <v>20.0</v>
      </c>
      <c r="BG39" s="26"/>
      <c r="BH39" s="26"/>
      <c r="BI39" s="26"/>
      <c r="BJ39" s="26"/>
    </row>
    <row r="40" ht="15.75" customHeight="1">
      <c r="A40" s="25"/>
      <c r="B40" s="26"/>
      <c r="C40" s="26">
        <v>11.0</v>
      </c>
      <c r="D40" s="26">
        <v>112.6</v>
      </c>
      <c r="E40" s="26">
        <v>111.6</v>
      </c>
      <c r="F40" s="26">
        <v>113.6</v>
      </c>
      <c r="G40" s="26">
        <v>-4.2</v>
      </c>
      <c r="H40" s="26">
        <v>37.0</v>
      </c>
      <c r="I40" s="26"/>
      <c r="J40" s="26"/>
      <c r="K40" s="26">
        <v>11.0</v>
      </c>
      <c r="L40" s="26">
        <v>114.3</v>
      </c>
      <c r="M40" s="26">
        <v>113.1</v>
      </c>
      <c r="N40" s="26">
        <v>115.4</v>
      </c>
      <c r="O40" s="26">
        <v>-2.25</v>
      </c>
      <c r="P40" s="26">
        <v>66.0</v>
      </c>
      <c r="Q40" s="26"/>
      <c r="R40" s="26">
        <v>11.0</v>
      </c>
      <c r="S40" s="26">
        <v>119.2</v>
      </c>
      <c r="T40" s="26">
        <v>118.1</v>
      </c>
      <c r="U40" s="26">
        <v>120.4</v>
      </c>
      <c r="V40" s="26">
        <v>-3.6</v>
      </c>
      <c r="W40" s="26">
        <v>46.0</v>
      </c>
      <c r="X40" s="26"/>
      <c r="Y40" s="26"/>
      <c r="Z40" s="26">
        <v>11.0</v>
      </c>
      <c r="AA40" s="26">
        <v>121.6</v>
      </c>
      <c r="AB40" s="26">
        <v>116.7</v>
      </c>
      <c r="AC40" s="26">
        <v>126.4</v>
      </c>
      <c r="AD40" s="26">
        <v>-2.76</v>
      </c>
      <c r="AE40" s="26">
        <v>59.0</v>
      </c>
      <c r="AF40" s="26"/>
      <c r="AG40" s="26"/>
      <c r="AH40" s="26"/>
      <c r="AI40" s="26">
        <v>10.0</v>
      </c>
      <c r="AJ40" s="26">
        <v>137.2</v>
      </c>
      <c r="AK40" s="26">
        <v>136.0</v>
      </c>
      <c r="AL40" s="26">
        <v>138.3</v>
      </c>
      <c r="AM40" s="26">
        <v>-2.13</v>
      </c>
      <c r="AN40" s="26">
        <v>68.0</v>
      </c>
      <c r="AO40" s="26"/>
      <c r="AP40" s="26"/>
      <c r="AQ40" s="26"/>
      <c r="AR40" s="26"/>
      <c r="AS40" s="26">
        <v>11.0</v>
      </c>
      <c r="AT40" s="26">
        <v>132.2</v>
      </c>
      <c r="AU40" s="26">
        <v>130.9</v>
      </c>
      <c r="AV40" s="26">
        <v>133.5</v>
      </c>
      <c r="AW40" s="26">
        <v>-2.2</v>
      </c>
      <c r="AX40" s="26">
        <v>67.0</v>
      </c>
      <c r="AY40" s="26"/>
      <c r="AZ40" s="26"/>
      <c r="BA40" s="26">
        <v>11.0</v>
      </c>
      <c r="BB40" s="26">
        <v>97.1</v>
      </c>
      <c r="BC40" s="26">
        <v>96.1</v>
      </c>
      <c r="BD40" s="26">
        <v>98.0</v>
      </c>
      <c r="BE40" s="26">
        <v>-5.2</v>
      </c>
      <c r="BF40" s="26">
        <v>22.0</v>
      </c>
      <c r="BG40" s="26"/>
      <c r="BH40" s="26"/>
      <c r="BI40" s="26"/>
      <c r="BJ40" s="26"/>
    </row>
    <row r="41" ht="15.75" customHeight="1">
      <c r="A41" s="25"/>
      <c r="B41" s="26"/>
      <c r="C41" s="26">
        <v>12.0</v>
      </c>
      <c r="D41" s="26">
        <v>113.0</v>
      </c>
      <c r="E41" s="26">
        <v>112.0</v>
      </c>
      <c r="F41" s="26">
        <v>114.0</v>
      </c>
      <c r="G41" s="26">
        <v>-4.15</v>
      </c>
      <c r="H41" s="26">
        <v>38.0</v>
      </c>
      <c r="I41" s="26"/>
      <c r="J41" s="26"/>
      <c r="K41" s="26">
        <v>12.0</v>
      </c>
      <c r="L41" s="26">
        <v>114.7</v>
      </c>
      <c r="M41" s="26">
        <v>113.7</v>
      </c>
      <c r="N41" s="26">
        <v>115.7</v>
      </c>
      <c r="O41" s="26">
        <v>-2.18</v>
      </c>
      <c r="P41" s="26">
        <v>67.0</v>
      </c>
      <c r="Q41" s="26"/>
      <c r="R41" s="26">
        <v>12.0</v>
      </c>
      <c r="S41" s="26">
        <v>119.8</v>
      </c>
      <c r="T41" s="26">
        <v>118.6</v>
      </c>
      <c r="U41" s="26">
        <v>120.9</v>
      </c>
      <c r="V41" s="26">
        <v>-3.47</v>
      </c>
      <c r="W41" s="26">
        <v>48.0</v>
      </c>
      <c r="X41" s="26"/>
      <c r="Y41" s="26"/>
      <c r="Z41" s="26">
        <v>12.0</v>
      </c>
      <c r="AA41" s="26">
        <v>122.7</v>
      </c>
      <c r="AB41" s="26">
        <v>117.8</v>
      </c>
      <c r="AC41" s="26">
        <v>127.5</v>
      </c>
      <c r="AD41" s="26">
        <v>-2.64</v>
      </c>
      <c r="AE41" s="26">
        <v>60.0</v>
      </c>
      <c r="AF41" s="26"/>
      <c r="AG41" s="26"/>
      <c r="AH41" s="26"/>
      <c r="AI41" s="26">
        <v>11.0</v>
      </c>
      <c r="AJ41" s="26">
        <v>137.6</v>
      </c>
      <c r="AK41" s="26">
        <v>136.5</v>
      </c>
      <c r="AL41" s="26">
        <v>138.7</v>
      </c>
      <c r="AM41" s="26">
        <v>-2.06</v>
      </c>
      <c r="AN41" s="26">
        <v>69.0</v>
      </c>
      <c r="AO41" s="26"/>
      <c r="AP41" s="26"/>
      <c r="AQ41" s="26"/>
      <c r="AR41" s="26"/>
      <c r="AS41" s="26">
        <v>12.0</v>
      </c>
      <c r="AT41" s="26">
        <v>132.8</v>
      </c>
      <c r="AU41" s="26">
        <v>131.5</v>
      </c>
      <c r="AV41" s="26">
        <v>134.0</v>
      </c>
      <c r="AW41" s="26">
        <v>-2.08</v>
      </c>
      <c r="AX41" s="26">
        <v>69.0</v>
      </c>
      <c r="AY41" s="26"/>
      <c r="AZ41" s="26"/>
      <c r="BA41" s="26">
        <v>12.0</v>
      </c>
      <c r="BB41" s="26">
        <v>97.4</v>
      </c>
      <c r="BC41" s="26">
        <v>96.5</v>
      </c>
      <c r="BD41" s="26">
        <v>98.3</v>
      </c>
      <c r="BE41" s="26">
        <v>-5.1</v>
      </c>
      <c r="BF41" s="26">
        <v>23.0</v>
      </c>
      <c r="BG41" s="26"/>
      <c r="BH41" s="26"/>
      <c r="BI41" s="26"/>
      <c r="BJ41" s="26"/>
    </row>
    <row r="42" ht="15.75" customHeight="1">
      <c r="A42" s="25"/>
      <c r="B42" s="26"/>
      <c r="C42" s="26">
        <v>13.0</v>
      </c>
      <c r="D42" s="26">
        <v>113.3</v>
      </c>
      <c r="E42" s="26">
        <v>112.4</v>
      </c>
      <c r="F42" s="26">
        <v>114.3</v>
      </c>
      <c r="G42" s="26">
        <v>-4.09</v>
      </c>
      <c r="H42" s="26">
        <v>39.0</v>
      </c>
      <c r="I42" s="26"/>
      <c r="J42" s="26"/>
      <c r="K42" s="26">
        <v>13.0</v>
      </c>
      <c r="L42" s="26">
        <v>115.0</v>
      </c>
      <c r="M42" s="26">
        <v>114.1</v>
      </c>
      <c r="N42" s="26">
        <v>116.0</v>
      </c>
      <c r="O42" s="26">
        <v>-2.13</v>
      </c>
      <c r="P42" s="26">
        <v>68.0</v>
      </c>
      <c r="Q42" s="26"/>
      <c r="R42" s="26">
        <v>13.0</v>
      </c>
      <c r="S42" s="26">
        <v>120.3</v>
      </c>
      <c r="T42" s="26">
        <v>119.1</v>
      </c>
      <c r="U42" s="26">
        <v>121.5</v>
      </c>
      <c r="V42" s="26">
        <v>-3.35</v>
      </c>
      <c r="W42" s="26">
        <v>50.0</v>
      </c>
      <c r="X42" s="26"/>
      <c r="Y42" s="26"/>
      <c r="Z42" s="26">
        <v>13.0</v>
      </c>
      <c r="AA42" s="26">
        <v>123.7</v>
      </c>
      <c r="AB42" s="26">
        <v>118.8</v>
      </c>
      <c r="AC42" s="26">
        <v>128.6</v>
      </c>
      <c r="AD42" s="26">
        <v>-2.53</v>
      </c>
      <c r="AE42" s="26">
        <v>62.0</v>
      </c>
      <c r="AF42" s="26"/>
      <c r="AG42" s="26"/>
      <c r="AH42" s="26"/>
      <c r="AI42" s="26">
        <v>12.0</v>
      </c>
      <c r="AJ42" s="26">
        <v>138.1</v>
      </c>
      <c r="AK42" s="26">
        <v>137.0</v>
      </c>
      <c r="AL42" s="26">
        <v>139.1</v>
      </c>
      <c r="AM42" s="26">
        <v>-1.99</v>
      </c>
      <c r="AN42" s="26">
        <v>70.0</v>
      </c>
      <c r="AO42" s="26"/>
      <c r="AP42" s="26"/>
      <c r="AQ42" s="26"/>
      <c r="AR42" s="26"/>
      <c r="AS42" s="26">
        <v>13.0</v>
      </c>
      <c r="AT42" s="26">
        <v>133.3</v>
      </c>
      <c r="AU42" s="26">
        <v>132.1</v>
      </c>
      <c r="AV42" s="26">
        <v>134.5</v>
      </c>
      <c r="AW42" s="26">
        <v>-1.97</v>
      </c>
      <c r="AX42" s="26">
        <v>70.0</v>
      </c>
      <c r="AY42" s="26"/>
      <c r="AZ42" s="26"/>
      <c r="BA42" s="26">
        <v>13.0</v>
      </c>
      <c r="BB42" s="26">
        <v>97.6</v>
      </c>
      <c r="BC42" s="26">
        <v>96.8</v>
      </c>
      <c r="BD42" s="26">
        <v>98.4</v>
      </c>
      <c r="BE42" s="26">
        <v>-5.02</v>
      </c>
      <c r="BF42" s="26">
        <v>25.0</v>
      </c>
      <c r="BG42" s="26"/>
      <c r="BH42" s="26"/>
      <c r="BI42" s="26"/>
      <c r="BJ42" s="26"/>
    </row>
    <row r="43" ht="15.75" customHeight="1">
      <c r="A43" s="25"/>
      <c r="B43" s="26"/>
      <c r="C43" s="26">
        <v>14.0</v>
      </c>
      <c r="D43" s="26">
        <v>113.7</v>
      </c>
      <c r="E43" s="26">
        <v>112.7</v>
      </c>
      <c r="F43" s="26">
        <v>114.7</v>
      </c>
      <c r="G43" s="26">
        <v>-4.04</v>
      </c>
      <c r="H43" s="26">
        <v>39.0</v>
      </c>
      <c r="I43" s="26"/>
      <c r="J43" s="26"/>
      <c r="K43" s="26">
        <v>14.0</v>
      </c>
      <c r="L43" s="26">
        <v>115.3</v>
      </c>
      <c r="M43" s="26">
        <v>114.4</v>
      </c>
      <c r="N43" s="26">
        <v>116.3</v>
      </c>
      <c r="O43" s="26">
        <v>-2.08</v>
      </c>
      <c r="P43" s="26">
        <v>69.0</v>
      </c>
      <c r="Q43" s="26"/>
      <c r="R43" s="26">
        <v>14.0</v>
      </c>
      <c r="S43" s="26">
        <v>120.9</v>
      </c>
      <c r="T43" s="26">
        <v>119.6</v>
      </c>
      <c r="U43" s="26">
        <v>122.2</v>
      </c>
      <c r="V43" s="26">
        <v>-3.21</v>
      </c>
      <c r="W43" s="26">
        <v>52.0</v>
      </c>
      <c r="X43" s="26"/>
      <c r="Y43" s="26"/>
      <c r="Z43" s="26">
        <v>14.0</v>
      </c>
      <c r="AA43" s="26">
        <v>124.9</v>
      </c>
      <c r="AB43" s="26">
        <v>119.9</v>
      </c>
      <c r="AC43" s="26">
        <v>129.8</v>
      </c>
      <c r="AD43" s="26">
        <v>-2.41</v>
      </c>
      <c r="AE43" s="26">
        <v>64.0</v>
      </c>
      <c r="AF43" s="26"/>
      <c r="AG43" s="26"/>
      <c r="AH43" s="26"/>
      <c r="AI43" s="26">
        <v>13.0</v>
      </c>
      <c r="AJ43" s="26">
        <v>138.5</v>
      </c>
      <c r="AK43" s="26">
        <v>137.4</v>
      </c>
      <c r="AL43" s="26">
        <v>139.5</v>
      </c>
      <c r="AM43" s="26">
        <v>-1.93</v>
      </c>
      <c r="AN43" s="26">
        <v>71.0</v>
      </c>
      <c r="AO43" s="26"/>
      <c r="AP43" s="26"/>
      <c r="AQ43" s="26"/>
      <c r="AR43" s="26"/>
      <c r="AS43" s="26">
        <v>14.0</v>
      </c>
      <c r="AT43" s="26">
        <v>133.8</v>
      </c>
      <c r="AU43" s="26">
        <v>132.6</v>
      </c>
      <c r="AV43" s="26">
        <v>135.0</v>
      </c>
      <c r="AW43" s="26">
        <v>-1.87</v>
      </c>
      <c r="AX43" s="26">
        <v>72.0</v>
      </c>
      <c r="AY43" s="26"/>
      <c r="AZ43" s="26"/>
      <c r="BA43" s="26">
        <v>14.0</v>
      </c>
      <c r="BB43" s="26">
        <v>97.9</v>
      </c>
      <c r="BC43" s="26">
        <v>97.1</v>
      </c>
      <c r="BD43" s="26">
        <v>98.6</v>
      </c>
      <c r="BE43" s="26">
        <v>-4.95</v>
      </c>
      <c r="BF43" s="26">
        <v>26.0</v>
      </c>
      <c r="BG43" s="26"/>
      <c r="BH43" s="26"/>
      <c r="BI43" s="26"/>
      <c r="BJ43" s="26"/>
    </row>
    <row r="44" ht="15.75" customHeight="1">
      <c r="A44" s="25"/>
      <c r="B44" s="26"/>
      <c r="C44" s="26">
        <v>15.0</v>
      </c>
      <c r="D44" s="26">
        <v>114.2</v>
      </c>
      <c r="E44" s="26">
        <v>112.9</v>
      </c>
      <c r="F44" s="26">
        <v>115.5</v>
      </c>
      <c r="G44" s="26">
        <v>-3.96</v>
      </c>
      <c r="H44" s="26">
        <v>41.0</v>
      </c>
      <c r="I44" s="26"/>
      <c r="J44" s="26"/>
      <c r="K44" s="26">
        <v>15.0</v>
      </c>
      <c r="L44" s="26">
        <v>115.6</v>
      </c>
      <c r="M44" s="26">
        <v>114.7</v>
      </c>
      <c r="N44" s="26">
        <v>116.5</v>
      </c>
      <c r="O44" s="26">
        <v>-2.03</v>
      </c>
      <c r="P44" s="26">
        <v>70.0</v>
      </c>
      <c r="Q44" s="26"/>
      <c r="R44" s="26">
        <v>15.0</v>
      </c>
      <c r="S44" s="26">
        <v>121.6</v>
      </c>
      <c r="T44" s="26">
        <v>120.2</v>
      </c>
      <c r="U44" s="26">
        <v>122.9</v>
      </c>
      <c r="V44" s="26">
        <v>-3.05</v>
      </c>
      <c r="W44" s="26">
        <v>54.0</v>
      </c>
      <c r="X44" s="26"/>
      <c r="Y44" s="26"/>
      <c r="Z44" s="26">
        <v>15.0</v>
      </c>
      <c r="AA44" s="26">
        <v>126.0</v>
      </c>
      <c r="AB44" s="26">
        <v>120.9</v>
      </c>
      <c r="AC44" s="26">
        <v>131.1</v>
      </c>
      <c r="AD44" s="26">
        <v>-2.29</v>
      </c>
      <c r="AE44" s="26">
        <v>66.0</v>
      </c>
      <c r="AF44" s="26"/>
      <c r="AG44" s="26"/>
      <c r="AH44" s="26"/>
      <c r="AI44" s="26">
        <v>14.0</v>
      </c>
      <c r="AJ44" s="26">
        <v>138.9</v>
      </c>
      <c r="AK44" s="26">
        <v>137.8</v>
      </c>
      <c r="AL44" s="26">
        <v>140.0</v>
      </c>
      <c r="AM44" s="26">
        <v>-1.86</v>
      </c>
      <c r="AN44" s="26">
        <v>72.0</v>
      </c>
      <c r="AO44" s="26"/>
      <c r="AP44" s="26"/>
      <c r="AQ44" s="26"/>
      <c r="AR44" s="26"/>
      <c r="AS44" s="26">
        <v>15.0</v>
      </c>
      <c r="AT44" s="26">
        <v>134.3</v>
      </c>
      <c r="AU44" s="26">
        <v>133.1</v>
      </c>
      <c r="AV44" s="26">
        <v>135.4</v>
      </c>
      <c r="AW44" s="26">
        <v>-1.77</v>
      </c>
      <c r="AX44" s="26">
        <v>74.0</v>
      </c>
      <c r="AY44" s="26"/>
      <c r="AZ44" s="26"/>
      <c r="BA44" s="26">
        <v>15.0</v>
      </c>
      <c r="BB44" s="26">
        <v>98.1</v>
      </c>
      <c r="BC44" s="26">
        <v>97.3</v>
      </c>
      <c r="BD44" s="26">
        <v>98.8</v>
      </c>
      <c r="BE44" s="26">
        <v>-4.89</v>
      </c>
      <c r="BF44" s="26">
        <v>27.0</v>
      </c>
      <c r="BG44" s="26"/>
      <c r="BH44" s="26"/>
      <c r="BI44" s="26"/>
      <c r="BJ44" s="26"/>
    </row>
    <row r="45" ht="15.75" customHeight="1">
      <c r="A45" s="25"/>
      <c r="B45" s="26"/>
      <c r="C45" s="26">
        <v>16.0</v>
      </c>
      <c r="D45" s="26">
        <v>115.0</v>
      </c>
      <c r="E45" s="26">
        <v>113.3</v>
      </c>
      <c r="F45" s="26">
        <v>116.8</v>
      </c>
      <c r="G45" s="26">
        <v>-3.83</v>
      </c>
      <c r="H45" s="26">
        <v>43.0</v>
      </c>
      <c r="I45" s="26"/>
      <c r="J45" s="26"/>
      <c r="K45" s="26">
        <v>16.0</v>
      </c>
      <c r="L45" s="26">
        <v>115.9</v>
      </c>
      <c r="M45" s="26">
        <v>115.0</v>
      </c>
      <c r="N45" s="26">
        <v>116.8</v>
      </c>
      <c r="O45" s="26">
        <v>-1.99</v>
      </c>
      <c r="P45" s="26">
        <v>70.0</v>
      </c>
      <c r="Q45" s="26"/>
      <c r="R45" s="26">
        <v>16.0</v>
      </c>
      <c r="S45" s="26">
        <v>122.2</v>
      </c>
      <c r="T45" s="26">
        <v>120.9</v>
      </c>
      <c r="U45" s="26">
        <v>123.6</v>
      </c>
      <c r="V45" s="26">
        <v>-2.89</v>
      </c>
      <c r="W45" s="26">
        <v>57.0</v>
      </c>
      <c r="X45" s="26"/>
      <c r="Y45" s="26"/>
      <c r="Z45" s="26">
        <v>16.0</v>
      </c>
      <c r="AA45" s="26">
        <v>127.3</v>
      </c>
      <c r="AB45" s="26">
        <v>122.0</v>
      </c>
      <c r="AC45" s="26">
        <v>132.6</v>
      </c>
      <c r="AD45" s="26">
        <v>-2.16</v>
      </c>
      <c r="AE45" s="26">
        <v>68.0</v>
      </c>
      <c r="AF45" s="26"/>
      <c r="AG45" s="26"/>
      <c r="AH45" s="26"/>
      <c r="AI45" s="26">
        <v>15.0</v>
      </c>
      <c r="AJ45" s="26">
        <v>139.3</v>
      </c>
      <c r="AK45" s="26">
        <v>138.2</v>
      </c>
      <c r="AL45" s="26">
        <v>140.4</v>
      </c>
      <c r="AM45" s="26">
        <v>-1.8</v>
      </c>
      <c r="AN45" s="26">
        <v>73.0</v>
      </c>
      <c r="AO45" s="26"/>
      <c r="AP45" s="26"/>
      <c r="AQ45" s="26"/>
      <c r="AR45" s="26"/>
      <c r="AS45" s="26">
        <v>16.0</v>
      </c>
      <c r="AT45" s="26">
        <v>134.8</v>
      </c>
      <c r="AU45" s="26">
        <v>133.6</v>
      </c>
      <c r="AV45" s="26">
        <v>136.0</v>
      </c>
      <c r="AW45" s="26">
        <v>-1.66</v>
      </c>
      <c r="AX45" s="26">
        <v>75.0</v>
      </c>
      <c r="AY45" s="26"/>
      <c r="AZ45" s="26"/>
      <c r="BA45" s="26">
        <v>16.0</v>
      </c>
      <c r="BB45" s="26">
        <v>98.2</v>
      </c>
      <c r="BC45" s="26">
        <v>97.6</v>
      </c>
      <c r="BD45" s="26">
        <v>98.9</v>
      </c>
      <c r="BE45" s="26">
        <v>-4.84</v>
      </c>
      <c r="BF45" s="26">
        <v>27.0</v>
      </c>
      <c r="BG45" s="26"/>
      <c r="BH45" s="26"/>
      <c r="BI45" s="26"/>
      <c r="BJ45" s="26"/>
    </row>
    <row r="46" ht="15.75" customHeight="1">
      <c r="A46" s="25"/>
      <c r="B46" s="26"/>
      <c r="C46" s="26">
        <v>17.0</v>
      </c>
      <c r="D46" s="26">
        <v>116.0</v>
      </c>
      <c r="E46" s="26">
        <v>114.5</v>
      </c>
      <c r="F46" s="26">
        <v>117.5</v>
      </c>
      <c r="G46" s="26">
        <v>-3.68</v>
      </c>
      <c r="H46" s="26">
        <v>45.0</v>
      </c>
      <c r="I46" s="26"/>
      <c r="J46" s="26"/>
      <c r="K46" s="26">
        <v>17.0</v>
      </c>
      <c r="L46" s="26">
        <v>116.2</v>
      </c>
      <c r="M46" s="26">
        <v>115.3</v>
      </c>
      <c r="N46" s="26">
        <v>117.1</v>
      </c>
      <c r="O46" s="26">
        <v>-1.94</v>
      </c>
      <c r="P46" s="26">
        <v>71.0</v>
      </c>
      <c r="Q46" s="26"/>
      <c r="R46" s="26">
        <v>17.0</v>
      </c>
      <c r="S46" s="26">
        <v>123.0</v>
      </c>
      <c r="T46" s="26">
        <v>121.6</v>
      </c>
      <c r="U46" s="26">
        <v>124.4</v>
      </c>
      <c r="V46" s="26">
        <v>-2.72</v>
      </c>
      <c r="W46" s="26">
        <v>59.0</v>
      </c>
      <c r="X46" s="26"/>
      <c r="Y46" s="26"/>
      <c r="Z46" s="26">
        <v>17.0</v>
      </c>
      <c r="AA46" s="26">
        <v>128.6</v>
      </c>
      <c r="AB46" s="26">
        <v>123.1</v>
      </c>
      <c r="AC46" s="26">
        <v>134.2</v>
      </c>
      <c r="AD46" s="26">
        <v>-2.01</v>
      </c>
      <c r="AE46" s="26">
        <v>70.0</v>
      </c>
      <c r="AF46" s="26"/>
      <c r="AG46" s="26"/>
      <c r="AH46" s="26"/>
      <c r="AI46" s="26">
        <v>16.0</v>
      </c>
      <c r="AJ46" s="26">
        <v>139.8</v>
      </c>
      <c r="AK46" s="26">
        <v>138.6</v>
      </c>
      <c r="AL46" s="26">
        <v>140.9</v>
      </c>
      <c r="AM46" s="26">
        <v>-1.72</v>
      </c>
      <c r="AN46" s="26">
        <v>74.0</v>
      </c>
      <c r="AO46" s="26"/>
      <c r="AP46" s="26"/>
      <c r="AQ46" s="26"/>
      <c r="AR46" s="26"/>
      <c r="AS46" s="26">
        <v>17.0</v>
      </c>
      <c r="AT46" s="26">
        <v>135.3</v>
      </c>
      <c r="AU46" s="26">
        <v>134.1</v>
      </c>
      <c r="AV46" s="26">
        <v>136.5</v>
      </c>
      <c r="AW46" s="26">
        <v>-1.56</v>
      </c>
      <c r="AX46" s="26">
        <v>77.0</v>
      </c>
      <c r="AY46" s="26"/>
      <c r="AZ46" s="26"/>
      <c r="BA46" s="26">
        <v>17.0</v>
      </c>
      <c r="BB46" s="26">
        <v>98.4</v>
      </c>
      <c r="BC46" s="26">
        <v>97.7</v>
      </c>
      <c r="BD46" s="26">
        <v>99.1</v>
      </c>
      <c r="BE46" s="26">
        <v>-4.79</v>
      </c>
      <c r="BF46" s="26">
        <v>28.0</v>
      </c>
      <c r="BG46" s="26"/>
      <c r="BH46" s="26"/>
      <c r="BI46" s="26"/>
      <c r="BJ46" s="26"/>
    </row>
    <row r="47" ht="15.75" customHeight="1">
      <c r="A47" s="25"/>
      <c r="B47" s="26"/>
      <c r="C47" s="26">
        <v>18.0</v>
      </c>
      <c r="D47" s="26">
        <v>117.0</v>
      </c>
      <c r="E47" s="26">
        <v>115.2</v>
      </c>
      <c r="F47" s="26">
        <v>118.7</v>
      </c>
      <c r="G47" s="26">
        <v>-3.54</v>
      </c>
      <c r="H47" s="26">
        <v>47.0</v>
      </c>
      <c r="I47" s="26"/>
      <c r="J47" s="26"/>
      <c r="K47" s="26">
        <v>18.0</v>
      </c>
      <c r="L47" s="26">
        <v>116.5</v>
      </c>
      <c r="M47" s="26">
        <v>115.6</v>
      </c>
      <c r="N47" s="26">
        <v>117.4</v>
      </c>
      <c r="O47" s="26">
        <v>-1.9</v>
      </c>
      <c r="P47" s="26">
        <v>72.0</v>
      </c>
      <c r="Q47" s="26"/>
      <c r="R47" s="26">
        <v>18.0</v>
      </c>
      <c r="S47" s="26">
        <v>123.7</v>
      </c>
      <c r="T47" s="26">
        <v>122.2</v>
      </c>
      <c r="U47" s="26">
        <v>125.2</v>
      </c>
      <c r="V47" s="26">
        <v>-2.54</v>
      </c>
      <c r="W47" s="26">
        <v>62.0</v>
      </c>
      <c r="X47" s="26"/>
      <c r="Y47" s="26"/>
      <c r="Z47" s="26">
        <v>18.0</v>
      </c>
      <c r="AA47" s="26">
        <v>130.1</v>
      </c>
      <c r="AB47" s="26">
        <v>124.2</v>
      </c>
      <c r="AC47" s="26">
        <v>136.0</v>
      </c>
      <c r="AD47" s="26">
        <v>-1.86</v>
      </c>
      <c r="AE47" s="26">
        <v>72.0</v>
      </c>
      <c r="AF47" s="26"/>
      <c r="AG47" s="26"/>
      <c r="AH47" s="26"/>
      <c r="AI47" s="26">
        <v>17.0</v>
      </c>
      <c r="AJ47" s="26">
        <v>140.3</v>
      </c>
      <c r="AK47" s="26">
        <v>139.1</v>
      </c>
      <c r="AL47" s="26">
        <v>141.5</v>
      </c>
      <c r="AM47" s="26">
        <v>-1.65</v>
      </c>
      <c r="AN47" s="26">
        <v>75.0</v>
      </c>
      <c r="AO47" s="26"/>
      <c r="AP47" s="26"/>
      <c r="AQ47" s="26"/>
      <c r="AR47" s="26"/>
      <c r="AS47" s="26">
        <v>18.0</v>
      </c>
      <c r="AT47" s="26">
        <v>135.9</v>
      </c>
      <c r="AU47" s="26">
        <v>134.6</v>
      </c>
      <c r="AV47" s="26">
        <v>137.1</v>
      </c>
      <c r="AW47" s="26">
        <v>-1.44</v>
      </c>
      <c r="AX47" s="26">
        <v>78.0</v>
      </c>
      <c r="AY47" s="26"/>
      <c r="AZ47" s="26"/>
      <c r="BA47" s="26">
        <v>18.0</v>
      </c>
      <c r="BB47" s="26">
        <v>98.5</v>
      </c>
      <c r="BC47" s="26">
        <v>97.9</v>
      </c>
      <c r="BD47" s="26">
        <v>99.2</v>
      </c>
      <c r="BE47" s="26">
        <v>-4.74</v>
      </c>
      <c r="BF47" s="26">
        <v>29.0</v>
      </c>
      <c r="BG47" s="26"/>
      <c r="BH47" s="26"/>
      <c r="BI47" s="26"/>
      <c r="BJ47" s="26"/>
    </row>
    <row r="48" ht="15.75" customHeight="1">
      <c r="A48" s="25"/>
      <c r="B48" s="26"/>
      <c r="C48" s="26">
        <v>19.0</v>
      </c>
      <c r="D48" s="26">
        <v>118.0</v>
      </c>
      <c r="E48" s="26">
        <v>116.5</v>
      </c>
      <c r="F48" s="26">
        <v>119.4</v>
      </c>
      <c r="G48" s="26">
        <v>-3.38</v>
      </c>
      <c r="H48" s="26">
        <v>49.0</v>
      </c>
      <c r="I48" s="26"/>
      <c r="J48" s="26"/>
      <c r="K48" s="26">
        <v>19.0</v>
      </c>
      <c r="L48" s="26">
        <v>116.8</v>
      </c>
      <c r="M48" s="26">
        <v>115.9</v>
      </c>
      <c r="N48" s="26">
        <v>117.7</v>
      </c>
      <c r="O48" s="26">
        <v>-1.85</v>
      </c>
      <c r="P48" s="26">
        <v>72.0</v>
      </c>
      <c r="Q48" s="26"/>
      <c r="R48" s="26">
        <v>19.0</v>
      </c>
      <c r="S48" s="26">
        <v>124.6</v>
      </c>
      <c r="T48" s="26">
        <v>122.9</v>
      </c>
      <c r="U48" s="26">
        <v>126.3</v>
      </c>
      <c r="V48" s="26">
        <v>-2.33</v>
      </c>
      <c r="W48" s="26">
        <v>65.0</v>
      </c>
      <c r="X48" s="26"/>
      <c r="Y48" s="26"/>
      <c r="Z48" s="26">
        <v>19.0</v>
      </c>
      <c r="AA48" s="26">
        <v>131.9</v>
      </c>
      <c r="AB48" s="26">
        <v>125.5</v>
      </c>
      <c r="AC48" s="26">
        <v>138.3</v>
      </c>
      <c r="AD48" s="26">
        <v>-1.67</v>
      </c>
      <c r="AE48" s="26">
        <v>75.0</v>
      </c>
      <c r="AF48" s="26"/>
      <c r="AG48" s="26"/>
      <c r="AH48" s="26"/>
      <c r="AI48" s="26">
        <v>18.0</v>
      </c>
      <c r="AJ48" s="26">
        <v>140.8</v>
      </c>
      <c r="AK48" s="26">
        <v>139.6</v>
      </c>
      <c r="AL48" s="26">
        <v>142.0</v>
      </c>
      <c r="AM48" s="26">
        <v>-1.57</v>
      </c>
      <c r="AN48" s="26">
        <v>77.0</v>
      </c>
      <c r="AO48" s="26"/>
      <c r="AP48" s="26"/>
      <c r="AQ48" s="26"/>
      <c r="AR48" s="26"/>
      <c r="AS48" s="26">
        <v>19.0</v>
      </c>
      <c r="AT48" s="26">
        <v>136.5</v>
      </c>
      <c r="AU48" s="26">
        <v>135.1</v>
      </c>
      <c r="AV48" s="26">
        <v>137.8</v>
      </c>
      <c r="AW48" s="26">
        <v>-1.31</v>
      </c>
      <c r="AX48" s="26">
        <v>80.0</v>
      </c>
      <c r="AY48" s="26"/>
      <c r="AZ48" s="26"/>
      <c r="BA48" s="26">
        <v>19.0</v>
      </c>
      <c r="BB48" s="26">
        <v>98.7</v>
      </c>
      <c r="BC48" s="26">
        <v>98.1</v>
      </c>
      <c r="BD48" s="26">
        <v>99.3</v>
      </c>
      <c r="BE48" s="26">
        <v>-4.7</v>
      </c>
      <c r="BF48" s="26">
        <v>30.0</v>
      </c>
      <c r="BG48" s="26"/>
      <c r="BH48" s="26"/>
      <c r="BI48" s="26"/>
      <c r="BJ48" s="26"/>
    </row>
    <row r="49" ht="15.75" customHeight="1">
      <c r="A49" s="25"/>
      <c r="B49" s="26"/>
      <c r="C49" s="26">
        <v>20.0</v>
      </c>
      <c r="D49" s="26">
        <v>118.6</v>
      </c>
      <c r="E49" s="26">
        <v>117.3</v>
      </c>
      <c r="F49" s="26">
        <v>120.0</v>
      </c>
      <c r="G49" s="26">
        <v>-3.28</v>
      </c>
      <c r="H49" s="26">
        <v>51.0</v>
      </c>
      <c r="I49" s="26"/>
      <c r="J49" s="26"/>
      <c r="K49" s="26">
        <v>20.0</v>
      </c>
      <c r="L49" s="26">
        <v>117.1</v>
      </c>
      <c r="M49" s="26">
        <v>116.2</v>
      </c>
      <c r="N49" s="26">
        <v>118.0</v>
      </c>
      <c r="O49" s="26">
        <v>-1.81</v>
      </c>
      <c r="P49" s="26">
        <v>73.0</v>
      </c>
      <c r="Q49" s="26"/>
      <c r="R49" s="26">
        <v>20.0</v>
      </c>
      <c r="S49" s="26">
        <v>125.9</v>
      </c>
      <c r="T49" s="26">
        <v>123.9</v>
      </c>
      <c r="U49" s="26">
        <v>127.9</v>
      </c>
      <c r="V49" s="26">
        <v>-2.03</v>
      </c>
      <c r="W49" s="26">
        <v>70.0</v>
      </c>
      <c r="X49" s="26"/>
      <c r="Y49" s="26"/>
      <c r="Z49" s="26">
        <v>20.0</v>
      </c>
      <c r="AA49" s="26">
        <v>133.9</v>
      </c>
      <c r="AB49" s="26">
        <v>126.9</v>
      </c>
      <c r="AC49" s="26">
        <v>141.0</v>
      </c>
      <c r="AD49" s="26">
        <v>-1.46</v>
      </c>
      <c r="AE49" s="26">
        <v>78.0</v>
      </c>
      <c r="AF49" s="26"/>
      <c r="AG49" s="26"/>
      <c r="AH49" s="26"/>
      <c r="AI49" s="26">
        <v>19.0</v>
      </c>
      <c r="AJ49" s="26">
        <v>141.4</v>
      </c>
      <c r="AK49" s="26">
        <v>140.1</v>
      </c>
      <c r="AL49" s="26">
        <v>142.6</v>
      </c>
      <c r="AM49" s="26">
        <v>-1.48</v>
      </c>
      <c r="AN49" s="26">
        <v>78.0</v>
      </c>
      <c r="AO49" s="26"/>
      <c r="AP49" s="26"/>
      <c r="AQ49" s="26"/>
      <c r="AR49" s="26"/>
      <c r="AS49" s="26">
        <v>20.0</v>
      </c>
      <c r="AT49" s="26">
        <v>137.2</v>
      </c>
      <c r="AU49" s="26">
        <v>135.8</v>
      </c>
      <c r="AV49" s="26">
        <v>138.6</v>
      </c>
      <c r="AW49" s="26">
        <v>-1.16</v>
      </c>
      <c r="AX49" s="26">
        <v>83.0</v>
      </c>
      <c r="AY49" s="26"/>
      <c r="AZ49" s="26"/>
      <c r="BA49" s="26">
        <v>20.0</v>
      </c>
      <c r="BB49" s="26">
        <v>98.8</v>
      </c>
      <c r="BC49" s="26">
        <v>98.2</v>
      </c>
      <c r="BD49" s="26">
        <v>99.5</v>
      </c>
      <c r="BE49" s="26">
        <v>-4.65</v>
      </c>
      <c r="BF49" s="26">
        <v>30.0</v>
      </c>
      <c r="BG49" s="26"/>
      <c r="BH49" s="26"/>
      <c r="BI49" s="26"/>
      <c r="BJ49" s="26"/>
    </row>
    <row r="50" ht="15.75" customHeight="1">
      <c r="A50" s="25"/>
      <c r="B50" s="26"/>
      <c r="C50" s="26">
        <v>21.0</v>
      </c>
      <c r="D50" s="26">
        <v>119.3</v>
      </c>
      <c r="E50" s="26">
        <v>117.9</v>
      </c>
      <c r="F50" s="26">
        <v>120.7</v>
      </c>
      <c r="G50" s="26">
        <v>-3.18</v>
      </c>
      <c r="H50" s="26">
        <v>52.0</v>
      </c>
      <c r="I50" s="26"/>
      <c r="J50" s="26"/>
      <c r="K50" s="26">
        <v>21.0</v>
      </c>
      <c r="L50" s="26">
        <v>117.4</v>
      </c>
      <c r="M50" s="26">
        <v>116.5</v>
      </c>
      <c r="N50" s="26">
        <v>118.2</v>
      </c>
      <c r="O50" s="26">
        <v>-1.77</v>
      </c>
      <c r="P50" s="26">
        <v>74.0</v>
      </c>
      <c r="Q50" s="26"/>
      <c r="R50" s="26">
        <v>21.0</v>
      </c>
      <c r="S50" s="26">
        <v>127.5</v>
      </c>
      <c r="T50" s="26">
        <v>125.5</v>
      </c>
      <c r="U50" s="26">
        <v>129.4</v>
      </c>
      <c r="V50" s="26">
        <v>-1.66</v>
      </c>
      <c r="W50" s="26">
        <v>75.0</v>
      </c>
      <c r="X50" s="26"/>
      <c r="Y50" s="26"/>
      <c r="Z50" s="26">
        <v>21.0</v>
      </c>
      <c r="AA50" s="26">
        <v>136.5</v>
      </c>
      <c r="AB50" s="26">
        <v>128.5</v>
      </c>
      <c r="AC50" s="26">
        <v>144.6</v>
      </c>
      <c r="AD50" s="26">
        <v>-1.18</v>
      </c>
      <c r="AE50" s="26">
        <v>82.0</v>
      </c>
      <c r="AF50" s="26"/>
      <c r="AG50" s="26"/>
      <c r="AH50" s="26"/>
      <c r="AI50" s="26">
        <v>20.0</v>
      </c>
      <c r="AJ50" s="26">
        <v>142.0</v>
      </c>
      <c r="AK50" s="26">
        <v>140.6</v>
      </c>
      <c r="AL50" s="26">
        <v>143.4</v>
      </c>
      <c r="AM50" s="26">
        <v>-1.38</v>
      </c>
      <c r="AN50" s="26">
        <v>79.0</v>
      </c>
      <c r="AO50" s="26"/>
      <c r="AP50" s="26"/>
      <c r="AQ50" s="26"/>
      <c r="AR50" s="26"/>
      <c r="AS50" s="26">
        <v>21.0</v>
      </c>
      <c r="AT50" s="26">
        <v>138.0</v>
      </c>
      <c r="AU50" s="26">
        <v>136.5</v>
      </c>
      <c r="AV50" s="26">
        <v>139.4</v>
      </c>
      <c r="AW50" s="26">
        <v>-1.0</v>
      </c>
      <c r="AX50" s="26">
        <v>85.0</v>
      </c>
      <c r="AY50" s="26"/>
      <c r="AZ50" s="26"/>
      <c r="BA50" s="26">
        <v>21.0</v>
      </c>
      <c r="BB50" s="26">
        <v>99.0</v>
      </c>
      <c r="BC50" s="26">
        <v>98.3</v>
      </c>
      <c r="BD50" s="26">
        <v>99.6</v>
      </c>
      <c r="BE50" s="26">
        <v>-4.6</v>
      </c>
      <c r="BF50" s="26">
        <v>31.0</v>
      </c>
      <c r="BG50" s="26"/>
      <c r="BH50" s="26"/>
      <c r="BI50" s="26"/>
      <c r="BJ50" s="26"/>
    </row>
    <row r="51" ht="15.75" customHeight="1">
      <c r="A51" s="25"/>
      <c r="B51" s="26"/>
      <c r="C51" s="26">
        <v>22.0</v>
      </c>
      <c r="D51" s="26">
        <v>120.0</v>
      </c>
      <c r="E51" s="26">
        <v>118.7</v>
      </c>
      <c r="F51" s="26">
        <v>121.2</v>
      </c>
      <c r="G51" s="26">
        <v>-3.08</v>
      </c>
      <c r="H51" s="26">
        <v>54.0</v>
      </c>
      <c r="I51" s="26"/>
      <c r="J51" s="26"/>
      <c r="K51" s="26">
        <v>22.0</v>
      </c>
      <c r="L51" s="26">
        <v>117.6</v>
      </c>
      <c r="M51" s="26">
        <v>116.8</v>
      </c>
      <c r="N51" s="26">
        <v>118.4</v>
      </c>
      <c r="O51" s="26">
        <v>-1.73</v>
      </c>
      <c r="P51" s="26">
        <v>74.0</v>
      </c>
      <c r="Q51" s="26"/>
      <c r="R51" s="26">
        <v>22.0</v>
      </c>
      <c r="S51" s="26">
        <v>128.7</v>
      </c>
      <c r="T51" s="26">
        <v>127.0</v>
      </c>
      <c r="U51" s="26">
        <v>130.4</v>
      </c>
      <c r="V51" s="26">
        <v>-1.37</v>
      </c>
      <c r="W51" s="26">
        <v>79.0</v>
      </c>
      <c r="X51" s="26"/>
      <c r="Y51" s="26"/>
      <c r="Z51" s="26">
        <v>22.0</v>
      </c>
      <c r="AA51" s="26">
        <v>140.1</v>
      </c>
      <c r="AB51" s="26">
        <v>130.4</v>
      </c>
      <c r="AC51" s="26">
        <v>149.9</v>
      </c>
      <c r="AD51" s="26">
        <v>-0.81</v>
      </c>
      <c r="AE51" s="26">
        <v>88.0</v>
      </c>
      <c r="AF51" s="26"/>
      <c r="AG51" s="26"/>
      <c r="AH51" s="26"/>
      <c r="AI51" s="26">
        <v>21.0</v>
      </c>
      <c r="AJ51" s="26">
        <v>142.8</v>
      </c>
      <c r="AK51" s="26">
        <v>141.3</v>
      </c>
      <c r="AL51" s="26">
        <v>144.3</v>
      </c>
      <c r="AM51" s="26">
        <v>-1.26</v>
      </c>
      <c r="AN51" s="26">
        <v>81.0</v>
      </c>
      <c r="AO51" s="26"/>
      <c r="AP51" s="26"/>
      <c r="AQ51" s="26"/>
      <c r="AR51" s="26"/>
      <c r="AS51" s="26">
        <v>22.0</v>
      </c>
      <c r="AT51" s="26">
        <v>138.8</v>
      </c>
      <c r="AU51" s="26">
        <v>137.3</v>
      </c>
      <c r="AV51" s="26">
        <v>140.3</v>
      </c>
      <c r="AW51" s="26">
        <v>-0.83</v>
      </c>
      <c r="AX51" s="26">
        <v>88.0</v>
      </c>
      <c r="AY51" s="26"/>
      <c r="AZ51" s="26"/>
      <c r="BA51" s="26">
        <v>22.0</v>
      </c>
      <c r="BB51" s="26">
        <v>99.1</v>
      </c>
      <c r="BC51" s="26">
        <v>98.5</v>
      </c>
      <c r="BD51" s="26">
        <v>99.8</v>
      </c>
      <c r="BE51" s="26">
        <v>-4.56</v>
      </c>
      <c r="BF51" s="26">
        <v>32.0</v>
      </c>
      <c r="BG51" s="26"/>
      <c r="BH51" s="26"/>
      <c r="BI51" s="26"/>
      <c r="BJ51" s="26"/>
    </row>
    <row r="52" ht="15.75" customHeight="1">
      <c r="A52" s="25"/>
      <c r="B52" s="26"/>
      <c r="C52" s="26">
        <v>23.0</v>
      </c>
      <c r="D52" s="26">
        <v>120.5</v>
      </c>
      <c r="E52" s="26">
        <v>119.3</v>
      </c>
      <c r="F52" s="26">
        <v>121.7</v>
      </c>
      <c r="G52" s="26">
        <v>-2.99</v>
      </c>
      <c r="H52" s="26">
        <v>55.0</v>
      </c>
      <c r="I52" s="26"/>
      <c r="J52" s="26"/>
      <c r="K52" s="26">
        <v>23.0</v>
      </c>
      <c r="L52" s="26">
        <v>117.9</v>
      </c>
      <c r="M52" s="26">
        <v>117.1</v>
      </c>
      <c r="N52" s="26">
        <v>118.7</v>
      </c>
      <c r="O52" s="26">
        <v>-1.69</v>
      </c>
      <c r="P52" s="26">
        <v>75.0</v>
      </c>
      <c r="Q52" s="26"/>
      <c r="R52" s="26">
        <v>23.0</v>
      </c>
      <c r="S52" s="26">
        <v>129.7</v>
      </c>
      <c r="T52" s="26">
        <v>128.1</v>
      </c>
      <c r="U52" s="26">
        <v>131.4</v>
      </c>
      <c r="V52" s="26">
        <v>-1.13</v>
      </c>
      <c r="W52" s="26">
        <v>83.0</v>
      </c>
      <c r="X52" s="26"/>
      <c r="Y52" s="26"/>
      <c r="Z52" s="26">
        <v>23.0</v>
      </c>
      <c r="AA52" s="26">
        <v>146.1</v>
      </c>
      <c r="AB52" s="26">
        <v>132.5</v>
      </c>
      <c r="AC52" s="26">
        <v>159.7</v>
      </c>
      <c r="AD52" s="26">
        <v>-0.18</v>
      </c>
      <c r="AE52" s="26">
        <v>97.0</v>
      </c>
      <c r="AF52" s="26"/>
      <c r="AG52" s="26"/>
      <c r="AH52" s="26"/>
      <c r="AI52" s="26">
        <v>22.0</v>
      </c>
      <c r="AJ52" s="26">
        <v>143.7</v>
      </c>
      <c r="AK52" s="26">
        <v>142.0</v>
      </c>
      <c r="AL52" s="26">
        <v>145.4</v>
      </c>
      <c r="AM52" s="26">
        <v>-1.12</v>
      </c>
      <c r="AN52" s="26">
        <v>83.0</v>
      </c>
      <c r="AO52" s="26"/>
      <c r="AP52" s="26"/>
      <c r="AQ52" s="26"/>
      <c r="AR52" s="26"/>
      <c r="AS52" s="26">
        <v>23.0</v>
      </c>
      <c r="AT52" s="26">
        <v>139.7</v>
      </c>
      <c r="AU52" s="26">
        <v>138.1</v>
      </c>
      <c r="AV52" s="26">
        <v>141.3</v>
      </c>
      <c r="AW52" s="26">
        <v>-0.65</v>
      </c>
      <c r="AX52" s="26">
        <v>90.0</v>
      </c>
      <c r="AY52" s="26"/>
      <c r="AZ52" s="26"/>
      <c r="BA52" s="26">
        <v>23.0</v>
      </c>
      <c r="BB52" s="26">
        <v>99.3</v>
      </c>
      <c r="BC52" s="26">
        <v>98.6</v>
      </c>
      <c r="BD52" s="26">
        <v>100.0</v>
      </c>
      <c r="BE52" s="26">
        <v>-4.51</v>
      </c>
      <c r="BF52" s="26">
        <v>32.0</v>
      </c>
      <c r="BG52" s="26"/>
      <c r="BH52" s="26"/>
      <c r="BI52" s="26"/>
      <c r="BJ52" s="26"/>
    </row>
    <row r="53" ht="15.75" customHeight="1">
      <c r="A53" s="25"/>
      <c r="B53" s="26"/>
      <c r="C53" s="26">
        <v>24.0</v>
      </c>
      <c r="D53" s="26">
        <v>121.0</v>
      </c>
      <c r="E53" s="26">
        <v>119.9</v>
      </c>
      <c r="F53" s="26">
        <v>122.1</v>
      </c>
      <c r="G53" s="26">
        <v>-2.92</v>
      </c>
      <c r="H53" s="26">
        <v>56.0</v>
      </c>
      <c r="I53" s="26"/>
      <c r="J53" s="26"/>
      <c r="K53" s="26">
        <v>24.0</v>
      </c>
      <c r="L53" s="26">
        <v>118.1</v>
      </c>
      <c r="M53" s="26">
        <v>117.3</v>
      </c>
      <c r="N53" s="26">
        <v>118.8</v>
      </c>
      <c r="O53" s="26">
        <v>-1.65</v>
      </c>
      <c r="P53" s="26">
        <v>75.0</v>
      </c>
      <c r="Q53" s="26"/>
      <c r="R53" s="26">
        <v>24.0</v>
      </c>
      <c r="S53" s="26">
        <v>130.8</v>
      </c>
      <c r="T53" s="26">
        <v>129.0</v>
      </c>
      <c r="U53" s="26">
        <v>132.5</v>
      </c>
      <c r="V53" s="26">
        <v>-0.89</v>
      </c>
      <c r="W53" s="26">
        <v>87.0</v>
      </c>
      <c r="X53" s="26"/>
      <c r="Y53" s="26"/>
      <c r="Z53" s="26">
        <v>24.0</v>
      </c>
      <c r="AA53" s="26">
        <v>156.1</v>
      </c>
      <c r="AB53" s="26">
        <v>131.7</v>
      </c>
      <c r="AC53" s="26">
        <v>180.4</v>
      </c>
      <c r="AD53" s="26">
        <v>0.87</v>
      </c>
      <c r="AE53" s="26">
        <v>113.0</v>
      </c>
      <c r="AF53" s="26"/>
      <c r="AG53" s="26"/>
      <c r="AH53" s="26"/>
      <c r="AI53" s="26">
        <v>23.0</v>
      </c>
      <c r="AJ53" s="26">
        <v>144.8</v>
      </c>
      <c r="AK53" s="26">
        <v>143.0</v>
      </c>
      <c r="AL53" s="26">
        <v>146.5</v>
      </c>
      <c r="AM53" s="26">
        <v>-0.95</v>
      </c>
      <c r="AN53" s="26">
        <v>86.0</v>
      </c>
      <c r="AO53" s="26"/>
      <c r="AP53" s="26"/>
      <c r="AQ53" s="26"/>
      <c r="AR53" s="26"/>
      <c r="AS53" s="26">
        <v>24.0</v>
      </c>
      <c r="AT53" s="26">
        <v>140.8</v>
      </c>
      <c r="AU53" s="26">
        <v>138.9</v>
      </c>
      <c r="AV53" s="26">
        <v>142.7</v>
      </c>
      <c r="AW53" s="26">
        <v>-0.42</v>
      </c>
      <c r="AX53" s="26">
        <v>94.0</v>
      </c>
      <c r="AY53" s="26"/>
      <c r="AZ53" s="26"/>
      <c r="BA53" s="26">
        <v>24.0</v>
      </c>
      <c r="BB53" s="26">
        <v>99.5</v>
      </c>
      <c r="BC53" s="26">
        <v>98.8</v>
      </c>
      <c r="BD53" s="26">
        <v>100.1</v>
      </c>
      <c r="BE53" s="26">
        <v>-4.46</v>
      </c>
      <c r="BF53" s="26">
        <v>33.0</v>
      </c>
      <c r="BG53" s="26"/>
      <c r="BH53" s="26"/>
      <c r="BI53" s="26"/>
      <c r="BJ53" s="26"/>
    </row>
    <row r="54" ht="15.75" customHeight="1">
      <c r="A54" s="25"/>
      <c r="B54" s="26"/>
      <c r="C54" s="26">
        <v>25.0</v>
      </c>
      <c r="D54" s="26">
        <v>121.5</v>
      </c>
      <c r="E54" s="26">
        <v>120.3</v>
      </c>
      <c r="F54" s="26">
        <v>122.6</v>
      </c>
      <c r="G54" s="26">
        <v>-2.85</v>
      </c>
      <c r="H54" s="26">
        <v>57.0</v>
      </c>
      <c r="I54" s="26"/>
      <c r="J54" s="26"/>
      <c r="K54" s="26">
        <v>25.0</v>
      </c>
      <c r="L54" s="26">
        <v>118.3</v>
      </c>
      <c r="M54" s="26">
        <v>117.6</v>
      </c>
      <c r="N54" s="26">
        <v>119.0</v>
      </c>
      <c r="O54" s="26">
        <v>-1.62</v>
      </c>
      <c r="P54" s="26">
        <v>76.0</v>
      </c>
      <c r="Q54" s="26"/>
      <c r="R54" s="26">
        <v>25.0</v>
      </c>
      <c r="S54" s="26">
        <v>132.0</v>
      </c>
      <c r="T54" s="26">
        <v>130.0</v>
      </c>
      <c r="U54" s="26">
        <v>134.0</v>
      </c>
      <c r="V54" s="26">
        <v>-0.59</v>
      </c>
      <c r="W54" s="26">
        <v>91.0</v>
      </c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>
        <v>24.0</v>
      </c>
      <c r="AJ54" s="26">
        <v>145.9</v>
      </c>
      <c r="AK54" s="26">
        <v>144.0</v>
      </c>
      <c r="AL54" s="26">
        <v>147.8</v>
      </c>
      <c r="AM54" s="26">
        <v>-0.77</v>
      </c>
      <c r="AN54" s="26">
        <v>88.0</v>
      </c>
      <c r="AO54" s="26"/>
      <c r="AP54" s="26"/>
      <c r="AQ54" s="26"/>
      <c r="AR54" s="26"/>
      <c r="AS54" s="26">
        <v>25.0</v>
      </c>
      <c r="AT54" s="26">
        <v>142.2</v>
      </c>
      <c r="AU54" s="26">
        <v>140.2</v>
      </c>
      <c r="AV54" s="26">
        <v>144.3</v>
      </c>
      <c r="AW54" s="26">
        <v>-0.12</v>
      </c>
      <c r="AX54" s="26">
        <v>98.0</v>
      </c>
      <c r="AY54" s="26"/>
      <c r="AZ54" s="26"/>
      <c r="BA54" s="26">
        <v>25.0</v>
      </c>
      <c r="BB54" s="26">
        <v>99.6</v>
      </c>
      <c r="BC54" s="26">
        <v>98.9</v>
      </c>
      <c r="BD54" s="26">
        <v>100.3</v>
      </c>
      <c r="BE54" s="26">
        <v>-4.4</v>
      </c>
      <c r="BF54" s="26">
        <v>34.0</v>
      </c>
      <c r="BG54" s="26"/>
      <c r="BH54" s="26"/>
      <c r="BI54" s="26"/>
      <c r="BJ54" s="26"/>
    </row>
    <row r="55" ht="15.75" customHeight="1">
      <c r="A55" s="25"/>
      <c r="B55" s="26"/>
      <c r="C55" s="26">
        <v>26.0</v>
      </c>
      <c r="D55" s="26">
        <v>121.9</v>
      </c>
      <c r="E55" s="26">
        <v>120.8</v>
      </c>
      <c r="F55" s="26">
        <v>123.1</v>
      </c>
      <c r="G55" s="26">
        <v>-2.77</v>
      </c>
      <c r="H55" s="26">
        <v>58.0</v>
      </c>
      <c r="I55" s="26"/>
      <c r="J55" s="26"/>
      <c r="K55" s="26">
        <v>26.0</v>
      </c>
      <c r="L55" s="26">
        <v>118.5</v>
      </c>
      <c r="M55" s="26">
        <v>117.8</v>
      </c>
      <c r="N55" s="26">
        <v>119.2</v>
      </c>
      <c r="O55" s="26">
        <v>-1.59</v>
      </c>
      <c r="P55" s="26">
        <v>76.0</v>
      </c>
      <c r="Q55" s="26"/>
      <c r="R55" s="26">
        <v>26.0</v>
      </c>
      <c r="S55" s="26">
        <v>134.1</v>
      </c>
      <c r="T55" s="26">
        <v>131.3</v>
      </c>
      <c r="U55" s="26">
        <v>137.0</v>
      </c>
      <c r="V55" s="26">
        <v>-0.09</v>
      </c>
      <c r="W55" s="26">
        <v>99.0</v>
      </c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>
        <v>25.0</v>
      </c>
      <c r="AJ55" s="26">
        <v>147.6</v>
      </c>
      <c r="AK55" s="26">
        <v>145.2</v>
      </c>
      <c r="AL55" s="26">
        <v>150.0</v>
      </c>
      <c r="AM55" s="26">
        <v>-0.51</v>
      </c>
      <c r="AN55" s="26">
        <v>92.0</v>
      </c>
      <c r="AO55" s="26"/>
      <c r="AP55" s="26"/>
      <c r="AQ55" s="26"/>
      <c r="AR55" s="26"/>
      <c r="AS55" s="26">
        <v>26.0</v>
      </c>
      <c r="AT55" s="26">
        <v>143.8</v>
      </c>
      <c r="AU55" s="26">
        <v>141.6</v>
      </c>
      <c r="AV55" s="26">
        <v>146.0</v>
      </c>
      <c r="AW55" s="26">
        <v>0.2</v>
      </c>
      <c r="AX55" s="26">
        <v>103.0</v>
      </c>
      <c r="AY55" s="26"/>
      <c r="AZ55" s="26"/>
      <c r="BA55" s="26">
        <v>26.0</v>
      </c>
      <c r="BB55" s="26">
        <v>99.8</v>
      </c>
      <c r="BC55" s="26">
        <v>99.1</v>
      </c>
      <c r="BD55" s="26">
        <v>100.5</v>
      </c>
      <c r="BE55" s="26">
        <v>-4.35</v>
      </c>
      <c r="BF55" s="26">
        <v>35.0</v>
      </c>
      <c r="BG55" s="26"/>
      <c r="BH55" s="26"/>
      <c r="BI55" s="26"/>
      <c r="BJ55" s="26"/>
    </row>
    <row r="56" ht="15.75" customHeight="1">
      <c r="A56" s="25"/>
      <c r="B56" s="26"/>
      <c r="C56" s="26">
        <v>27.0</v>
      </c>
      <c r="D56" s="26">
        <v>122.4</v>
      </c>
      <c r="E56" s="26">
        <v>121.3</v>
      </c>
      <c r="F56" s="26">
        <v>123.5</v>
      </c>
      <c r="G56" s="26">
        <v>-2.7</v>
      </c>
      <c r="H56" s="26">
        <v>59.0</v>
      </c>
      <c r="I56" s="26"/>
      <c r="J56" s="26"/>
      <c r="K56" s="26">
        <v>27.0</v>
      </c>
      <c r="L56" s="26">
        <v>118.6</v>
      </c>
      <c r="M56" s="26">
        <v>118.0</v>
      </c>
      <c r="N56" s="26">
        <v>119.3</v>
      </c>
      <c r="O56" s="26">
        <v>-1.57</v>
      </c>
      <c r="P56" s="26">
        <v>76.0</v>
      </c>
      <c r="Q56" s="26"/>
      <c r="R56" s="26">
        <v>27.0</v>
      </c>
      <c r="S56" s="26">
        <v>137.0</v>
      </c>
      <c r="T56" s="26">
        <v>134.2</v>
      </c>
      <c r="U56" s="26">
        <v>139.9</v>
      </c>
      <c r="V56" s="26">
        <v>0.59</v>
      </c>
      <c r="W56" s="26">
        <v>109.0</v>
      </c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>
        <v>26.0</v>
      </c>
      <c r="AJ56" s="26">
        <v>149.7</v>
      </c>
      <c r="AK56" s="26">
        <v>147.4</v>
      </c>
      <c r="AL56" s="26">
        <v>151.9</v>
      </c>
      <c r="AM56" s="26">
        <v>-0.19</v>
      </c>
      <c r="AN56" s="26">
        <v>97.0</v>
      </c>
      <c r="AO56" s="26"/>
      <c r="AP56" s="26"/>
      <c r="AQ56" s="26"/>
      <c r="AR56" s="26"/>
      <c r="AS56" s="26">
        <v>27.0</v>
      </c>
      <c r="AT56" s="26">
        <v>146.2</v>
      </c>
      <c r="AU56" s="26">
        <v>143.1</v>
      </c>
      <c r="AV56" s="26">
        <v>149.3</v>
      </c>
      <c r="AW56" s="26">
        <v>0.7</v>
      </c>
      <c r="AX56" s="26">
        <v>110.0</v>
      </c>
      <c r="AY56" s="26"/>
      <c r="AZ56" s="26"/>
      <c r="BA56" s="26">
        <v>27.0</v>
      </c>
      <c r="BB56" s="26">
        <v>100.0</v>
      </c>
      <c r="BC56" s="26">
        <v>99.3</v>
      </c>
      <c r="BD56" s="26">
        <v>100.8</v>
      </c>
      <c r="BE56" s="26">
        <v>-4.28</v>
      </c>
      <c r="BF56" s="26">
        <v>36.0</v>
      </c>
      <c r="BG56" s="26"/>
      <c r="BH56" s="26"/>
      <c r="BI56" s="26"/>
      <c r="BJ56" s="26"/>
    </row>
    <row r="57" ht="15.75" customHeight="1">
      <c r="A57" s="25"/>
      <c r="B57" s="26"/>
      <c r="C57" s="26">
        <v>28.0</v>
      </c>
      <c r="D57" s="26">
        <v>122.9</v>
      </c>
      <c r="E57" s="26">
        <v>121.7</v>
      </c>
      <c r="F57" s="26">
        <v>124.0</v>
      </c>
      <c r="G57" s="26">
        <v>-2.63</v>
      </c>
      <c r="H57" s="26">
        <v>61.0</v>
      </c>
      <c r="I57" s="26"/>
      <c r="J57" s="26"/>
      <c r="K57" s="26">
        <v>28.0</v>
      </c>
      <c r="L57" s="26">
        <v>118.8</v>
      </c>
      <c r="M57" s="26">
        <v>118.1</v>
      </c>
      <c r="N57" s="26">
        <v>119.5</v>
      </c>
      <c r="O57" s="26">
        <v>-1.54</v>
      </c>
      <c r="P57" s="26">
        <v>77.0</v>
      </c>
      <c r="Q57" s="26"/>
      <c r="R57" s="26">
        <v>28.0</v>
      </c>
      <c r="S57" s="26">
        <v>139.3</v>
      </c>
      <c r="T57" s="26">
        <v>135.8</v>
      </c>
      <c r="U57" s="26">
        <v>142.8</v>
      </c>
      <c r="V57" s="26">
        <v>1.13</v>
      </c>
      <c r="W57" s="26">
        <v>117.0</v>
      </c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>
        <v>27.0</v>
      </c>
      <c r="AJ57" s="26">
        <v>151.5</v>
      </c>
      <c r="AK57" s="26">
        <v>149.2</v>
      </c>
      <c r="AL57" s="26">
        <v>153.9</v>
      </c>
      <c r="AM57" s="26">
        <v>0.1</v>
      </c>
      <c r="AN57" s="26">
        <v>101.0</v>
      </c>
      <c r="AO57" s="26"/>
      <c r="AP57" s="26"/>
      <c r="AQ57" s="26"/>
      <c r="AR57" s="26"/>
      <c r="AS57" s="26">
        <v>28.0</v>
      </c>
      <c r="AT57" s="26">
        <v>148.7</v>
      </c>
      <c r="AU57" s="26">
        <v>145.2</v>
      </c>
      <c r="AV57" s="26">
        <v>152.3</v>
      </c>
      <c r="AW57" s="26">
        <v>1.22</v>
      </c>
      <c r="AX57" s="26">
        <v>118.0</v>
      </c>
      <c r="AY57" s="26"/>
      <c r="AZ57" s="26"/>
      <c r="BA57" s="26">
        <v>28.0</v>
      </c>
      <c r="BB57" s="26">
        <v>100.2</v>
      </c>
      <c r="BC57" s="26">
        <v>99.5</v>
      </c>
      <c r="BD57" s="26">
        <v>101.0</v>
      </c>
      <c r="BE57" s="26">
        <v>-4.22</v>
      </c>
      <c r="BF57" s="26">
        <v>37.0</v>
      </c>
      <c r="BG57" s="26"/>
      <c r="BH57" s="26"/>
      <c r="BI57" s="26"/>
      <c r="BJ57" s="26"/>
    </row>
    <row r="58" ht="15.75" customHeight="1">
      <c r="A58" s="25"/>
      <c r="B58" s="26"/>
      <c r="C58" s="26">
        <v>29.0</v>
      </c>
      <c r="D58" s="26">
        <v>123.4</v>
      </c>
      <c r="E58" s="26">
        <v>122.2</v>
      </c>
      <c r="F58" s="26">
        <v>124.7</v>
      </c>
      <c r="G58" s="26">
        <v>-2.55</v>
      </c>
      <c r="H58" s="26">
        <v>62.0</v>
      </c>
      <c r="I58" s="26"/>
      <c r="J58" s="26"/>
      <c r="K58" s="26">
        <v>29.0</v>
      </c>
      <c r="L58" s="26">
        <v>119.0</v>
      </c>
      <c r="M58" s="26">
        <v>118.3</v>
      </c>
      <c r="N58" s="26">
        <v>119.6</v>
      </c>
      <c r="O58" s="26">
        <v>-1.52</v>
      </c>
      <c r="P58" s="26">
        <v>77.0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>
        <v>28.0</v>
      </c>
      <c r="AJ58" s="26">
        <v>154.1</v>
      </c>
      <c r="AK58" s="26">
        <v>151.1</v>
      </c>
      <c r="AL58" s="26">
        <v>157.1</v>
      </c>
      <c r="AM58" s="26">
        <v>0.5</v>
      </c>
      <c r="AN58" s="26">
        <v>107.0</v>
      </c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>
        <v>29.0</v>
      </c>
      <c r="BB58" s="26">
        <v>100.4</v>
      </c>
      <c r="BC58" s="26">
        <v>99.7</v>
      </c>
      <c r="BD58" s="26">
        <v>101.2</v>
      </c>
      <c r="BE58" s="26">
        <v>-4.15</v>
      </c>
      <c r="BF58" s="26">
        <v>38.0</v>
      </c>
      <c r="BG58" s="26"/>
      <c r="BH58" s="26"/>
      <c r="BI58" s="26"/>
      <c r="BJ58" s="26"/>
    </row>
    <row r="59" ht="15.75" customHeight="1">
      <c r="A59" s="25"/>
      <c r="B59" s="26"/>
      <c r="C59" s="26">
        <v>30.0</v>
      </c>
      <c r="D59" s="26">
        <v>124.0</v>
      </c>
      <c r="E59" s="26">
        <v>122.7</v>
      </c>
      <c r="F59" s="26">
        <v>125.3</v>
      </c>
      <c r="G59" s="26">
        <v>-2.45</v>
      </c>
      <c r="H59" s="26">
        <v>63.0</v>
      </c>
      <c r="I59" s="26"/>
      <c r="J59" s="26"/>
      <c r="K59" s="26">
        <v>30.0</v>
      </c>
      <c r="L59" s="26">
        <v>119.1</v>
      </c>
      <c r="M59" s="26">
        <v>118.5</v>
      </c>
      <c r="N59" s="26">
        <v>119.8</v>
      </c>
      <c r="O59" s="26">
        <v>-1.5</v>
      </c>
      <c r="P59" s="26">
        <v>78.0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>
        <v>29.0</v>
      </c>
      <c r="AJ59" s="26">
        <v>157.8</v>
      </c>
      <c r="AK59" s="26">
        <v>154.1</v>
      </c>
      <c r="AL59" s="26">
        <v>161.4</v>
      </c>
      <c r="AM59" s="26">
        <v>1.06</v>
      </c>
      <c r="AN59" s="26">
        <v>116.0</v>
      </c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>
        <v>30.0</v>
      </c>
      <c r="BB59" s="26">
        <v>100.7</v>
      </c>
      <c r="BC59" s="26">
        <v>99.9</v>
      </c>
      <c r="BD59" s="26">
        <v>101.4</v>
      </c>
      <c r="BE59" s="26">
        <v>-4.09</v>
      </c>
      <c r="BF59" s="26">
        <v>39.0</v>
      </c>
      <c r="BG59" s="26"/>
      <c r="BH59" s="26"/>
      <c r="BI59" s="26"/>
      <c r="BJ59" s="26"/>
    </row>
    <row r="60" ht="15.75" customHeight="1">
      <c r="A60" s="25"/>
      <c r="B60" s="26"/>
      <c r="C60" s="26">
        <v>31.0</v>
      </c>
      <c r="D60" s="26">
        <v>124.6</v>
      </c>
      <c r="E60" s="26">
        <v>123.4</v>
      </c>
      <c r="F60" s="26">
        <v>125.8</v>
      </c>
      <c r="G60" s="26">
        <v>-2.37</v>
      </c>
      <c r="H60" s="26">
        <v>65.0</v>
      </c>
      <c r="I60" s="26"/>
      <c r="J60" s="26"/>
      <c r="K60" s="26">
        <v>31.0</v>
      </c>
      <c r="L60" s="26">
        <v>119.3</v>
      </c>
      <c r="M60" s="26">
        <v>118.6</v>
      </c>
      <c r="N60" s="26">
        <v>119.9</v>
      </c>
      <c r="O60" s="26">
        <v>-1.47</v>
      </c>
      <c r="P60" s="26">
        <v>78.0</v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>
        <v>30.0</v>
      </c>
      <c r="AJ60" s="26">
        <v>160.7</v>
      </c>
      <c r="AK60" s="26">
        <v>157.1</v>
      </c>
      <c r="AL60" s="26">
        <v>164.2</v>
      </c>
      <c r="AM60" s="26">
        <v>1.51</v>
      </c>
      <c r="AN60" s="26">
        <v>123.0</v>
      </c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>
        <v>31.0</v>
      </c>
      <c r="BB60" s="26">
        <v>100.9</v>
      </c>
      <c r="BC60" s="26">
        <v>100.1</v>
      </c>
      <c r="BD60" s="26">
        <v>101.6</v>
      </c>
      <c r="BE60" s="26">
        <v>-4.03</v>
      </c>
      <c r="BF60" s="26">
        <v>40.0</v>
      </c>
      <c r="BG60" s="26"/>
      <c r="BH60" s="26"/>
      <c r="BI60" s="26"/>
      <c r="BJ60" s="26"/>
    </row>
    <row r="61" ht="15.75" customHeight="1">
      <c r="A61" s="25"/>
      <c r="B61" s="26"/>
      <c r="C61" s="26">
        <v>32.0</v>
      </c>
      <c r="D61" s="26">
        <v>125.1</v>
      </c>
      <c r="E61" s="26">
        <v>123.9</v>
      </c>
      <c r="F61" s="26">
        <v>126.3</v>
      </c>
      <c r="G61" s="26">
        <v>-2.29</v>
      </c>
      <c r="H61" s="26">
        <v>66.0</v>
      </c>
      <c r="I61" s="26"/>
      <c r="J61" s="26"/>
      <c r="K61" s="26">
        <v>32.0</v>
      </c>
      <c r="L61" s="26">
        <v>119.4</v>
      </c>
      <c r="M61" s="26">
        <v>118.8</v>
      </c>
      <c r="N61" s="26">
        <v>120.1</v>
      </c>
      <c r="O61" s="26">
        <v>-1.45</v>
      </c>
      <c r="P61" s="26">
        <v>78.0</v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>
        <v>32.0</v>
      </c>
      <c r="BB61" s="26">
        <v>101.0</v>
      </c>
      <c r="BC61" s="26">
        <v>100.3</v>
      </c>
      <c r="BD61" s="26">
        <v>101.7</v>
      </c>
      <c r="BE61" s="26">
        <v>-3.97</v>
      </c>
      <c r="BF61" s="26">
        <v>40.0</v>
      </c>
      <c r="BG61" s="26"/>
      <c r="BH61" s="26"/>
      <c r="BI61" s="26"/>
      <c r="BJ61" s="26"/>
    </row>
    <row r="62" ht="15.75" customHeight="1">
      <c r="A62" s="25"/>
      <c r="B62" s="26"/>
      <c r="C62" s="26">
        <v>33.0</v>
      </c>
      <c r="D62" s="26">
        <v>125.7</v>
      </c>
      <c r="E62" s="26">
        <v>124.4</v>
      </c>
      <c r="F62" s="26">
        <v>127.0</v>
      </c>
      <c r="G62" s="26">
        <v>-2.2</v>
      </c>
      <c r="H62" s="26">
        <v>67.0</v>
      </c>
      <c r="I62" s="26"/>
      <c r="J62" s="26"/>
      <c r="K62" s="26">
        <v>33.0</v>
      </c>
      <c r="L62" s="26">
        <v>119.6</v>
      </c>
      <c r="M62" s="26">
        <v>118.9</v>
      </c>
      <c r="N62" s="26">
        <v>120.2</v>
      </c>
      <c r="O62" s="26">
        <v>-1.42</v>
      </c>
      <c r="P62" s="26">
        <v>79.0</v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>
        <v>33.0</v>
      </c>
      <c r="BB62" s="26">
        <v>101.2</v>
      </c>
      <c r="BC62" s="26">
        <v>100.5</v>
      </c>
      <c r="BD62" s="26">
        <v>101.9</v>
      </c>
      <c r="BE62" s="26">
        <v>-3.91</v>
      </c>
      <c r="BF62" s="26">
        <v>41.0</v>
      </c>
      <c r="BG62" s="26"/>
      <c r="BH62" s="26"/>
      <c r="BI62" s="26"/>
      <c r="BJ62" s="26"/>
    </row>
    <row r="63" ht="15.75" customHeight="1">
      <c r="A63" s="25"/>
      <c r="B63" s="26"/>
      <c r="C63" s="26">
        <v>34.0</v>
      </c>
      <c r="D63" s="26">
        <v>126.5</v>
      </c>
      <c r="E63" s="26">
        <v>124.9</v>
      </c>
      <c r="F63" s="26">
        <v>128.2</v>
      </c>
      <c r="G63" s="26">
        <v>-2.07</v>
      </c>
      <c r="H63" s="26">
        <v>69.0</v>
      </c>
      <c r="I63" s="26"/>
      <c r="J63" s="26"/>
      <c r="K63" s="26">
        <v>34.0</v>
      </c>
      <c r="L63" s="26">
        <v>119.7</v>
      </c>
      <c r="M63" s="26">
        <v>119.1</v>
      </c>
      <c r="N63" s="26">
        <v>120.4</v>
      </c>
      <c r="O63" s="26">
        <v>-1.4</v>
      </c>
      <c r="P63" s="26">
        <v>79.0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>
        <v>34.0</v>
      </c>
      <c r="BB63" s="26">
        <v>101.4</v>
      </c>
      <c r="BC63" s="26">
        <v>100.7</v>
      </c>
      <c r="BD63" s="26">
        <v>102.1</v>
      </c>
      <c r="BE63" s="26">
        <v>-3.86</v>
      </c>
      <c r="BF63" s="26">
        <v>42.0</v>
      </c>
      <c r="BG63" s="26"/>
      <c r="BH63" s="26"/>
      <c r="BI63" s="26"/>
      <c r="BJ63" s="26"/>
    </row>
    <row r="64" ht="15.75" customHeight="1">
      <c r="A64" s="25"/>
      <c r="B64" s="26"/>
      <c r="C64" s="26">
        <v>35.0</v>
      </c>
      <c r="D64" s="26">
        <v>127.3</v>
      </c>
      <c r="E64" s="26">
        <v>126.1</v>
      </c>
      <c r="F64" s="26">
        <v>128.6</v>
      </c>
      <c r="G64" s="26">
        <v>-1.95</v>
      </c>
      <c r="H64" s="26">
        <v>71.0</v>
      </c>
      <c r="I64" s="26"/>
      <c r="J64" s="26"/>
      <c r="K64" s="26">
        <v>35.0</v>
      </c>
      <c r="L64" s="26">
        <v>119.9</v>
      </c>
      <c r="M64" s="26">
        <v>119.2</v>
      </c>
      <c r="N64" s="26">
        <v>120.6</v>
      </c>
      <c r="O64" s="26">
        <v>-1.37</v>
      </c>
      <c r="P64" s="26">
        <v>79.0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>
        <v>35.0</v>
      </c>
      <c r="BB64" s="26">
        <v>101.6</v>
      </c>
      <c r="BC64" s="26">
        <v>100.9</v>
      </c>
      <c r="BD64" s="26">
        <v>102.2</v>
      </c>
      <c r="BE64" s="26">
        <v>-3.8</v>
      </c>
      <c r="BF64" s="26">
        <v>43.0</v>
      </c>
      <c r="BG64" s="26"/>
      <c r="BH64" s="26"/>
      <c r="BI64" s="26"/>
      <c r="BJ64" s="26"/>
    </row>
    <row r="65" ht="15.75" customHeight="1">
      <c r="A65" s="25"/>
      <c r="B65" s="26"/>
      <c r="C65" s="26">
        <v>36.0</v>
      </c>
      <c r="D65" s="26">
        <v>127.8</v>
      </c>
      <c r="E65" s="26">
        <v>126.7</v>
      </c>
      <c r="F65" s="26">
        <v>128.9</v>
      </c>
      <c r="G65" s="26">
        <v>-1.87</v>
      </c>
      <c r="H65" s="26">
        <v>72.0</v>
      </c>
      <c r="I65" s="26"/>
      <c r="J65" s="26"/>
      <c r="K65" s="26">
        <v>36.0</v>
      </c>
      <c r="L65" s="26">
        <v>120.1</v>
      </c>
      <c r="M65" s="26">
        <v>119.4</v>
      </c>
      <c r="N65" s="26">
        <v>120.8</v>
      </c>
      <c r="O65" s="26">
        <v>-1.35</v>
      </c>
      <c r="P65" s="26">
        <v>80.0</v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>
        <v>36.0</v>
      </c>
      <c r="BB65" s="26">
        <v>101.7</v>
      </c>
      <c r="BC65" s="26">
        <v>101.1</v>
      </c>
      <c r="BD65" s="26">
        <v>102.4</v>
      </c>
      <c r="BE65" s="26">
        <v>-3.75</v>
      </c>
      <c r="BF65" s="26">
        <v>44.0</v>
      </c>
      <c r="BG65" s="26"/>
      <c r="BH65" s="26"/>
      <c r="BI65" s="26"/>
      <c r="BJ65" s="26"/>
    </row>
    <row r="66" ht="15.75" customHeight="1">
      <c r="A66" s="25"/>
      <c r="B66" s="26"/>
      <c r="C66" s="26">
        <v>37.0</v>
      </c>
      <c r="D66" s="26">
        <v>128.2</v>
      </c>
      <c r="E66" s="26">
        <v>127.2</v>
      </c>
      <c r="F66" s="26">
        <v>129.3</v>
      </c>
      <c r="G66" s="26">
        <v>-1.81</v>
      </c>
      <c r="H66" s="26">
        <v>73.0</v>
      </c>
      <c r="I66" s="26"/>
      <c r="J66" s="26"/>
      <c r="K66" s="26">
        <v>37.0</v>
      </c>
      <c r="L66" s="26">
        <v>120.2</v>
      </c>
      <c r="M66" s="26">
        <v>119.5</v>
      </c>
      <c r="N66" s="26">
        <v>120.9</v>
      </c>
      <c r="O66" s="26">
        <v>-1.32</v>
      </c>
      <c r="P66" s="26">
        <v>80.0</v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>
        <v>37.0</v>
      </c>
      <c r="BB66" s="26">
        <v>101.9</v>
      </c>
      <c r="BC66" s="26">
        <v>101.2</v>
      </c>
      <c r="BD66" s="26">
        <v>102.6</v>
      </c>
      <c r="BE66" s="26">
        <v>-3.7</v>
      </c>
      <c r="BF66" s="26">
        <v>45.0</v>
      </c>
      <c r="BG66" s="26"/>
      <c r="BH66" s="26"/>
      <c r="BI66" s="26"/>
      <c r="BJ66" s="26"/>
    </row>
    <row r="67" ht="15.75" customHeight="1">
      <c r="A67" s="25"/>
      <c r="B67" s="26"/>
      <c r="C67" s="26">
        <v>38.0</v>
      </c>
      <c r="D67" s="26">
        <v>128.6</v>
      </c>
      <c r="E67" s="26">
        <v>127.5</v>
      </c>
      <c r="F67" s="26">
        <v>129.7</v>
      </c>
      <c r="G67" s="26">
        <v>-1.75</v>
      </c>
      <c r="H67" s="26">
        <v>74.0</v>
      </c>
      <c r="I67" s="26"/>
      <c r="J67" s="26"/>
      <c r="K67" s="26">
        <v>38.0</v>
      </c>
      <c r="L67" s="26">
        <v>120.4</v>
      </c>
      <c r="M67" s="26">
        <v>119.7</v>
      </c>
      <c r="N67" s="26">
        <v>121.2</v>
      </c>
      <c r="O67" s="26">
        <v>-1.29</v>
      </c>
      <c r="P67" s="26">
        <v>81.0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>
        <v>38.0</v>
      </c>
      <c r="BB67" s="26">
        <v>102.1</v>
      </c>
      <c r="BC67" s="26">
        <v>101.4</v>
      </c>
      <c r="BD67" s="26">
        <v>102.7</v>
      </c>
      <c r="BE67" s="26">
        <v>-3.65</v>
      </c>
      <c r="BF67" s="26">
        <v>45.0</v>
      </c>
      <c r="BG67" s="26"/>
      <c r="BH67" s="26"/>
      <c r="BI67" s="26"/>
      <c r="BJ67" s="26"/>
    </row>
    <row r="68" ht="15.75" customHeight="1">
      <c r="A68" s="25"/>
      <c r="B68" s="26"/>
      <c r="C68" s="26">
        <v>39.0</v>
      </c>
      <c r="D68" s="26">
        <v>129.1</v>
      </c>
      <c r="E68" s="26">
        <v>127.9</v>
      </c>
      <c r="F68" s="26">
        <v>130.3</v>
      </c>
      <c r="G68" s="26">
        <v>-1.67</v>
      </c>
      <c r="H68" s="26">
        <v>75.0</v>
      </c>
      <c r="I68" s="26"/>
      <c r="J68" s="26"/>
      <c r="K68" s="26">
        <v>39.0</v>
      </c>
      <c r="L68" s="26">
        <v>120.6</v>
      </c>
      <c r="M68" s="26">
        <v>119.9</v>
      </c>
      <c r="N68" s="26">
        <v>121.4</v>
      </c>
      <c r="O68" s="26">
        <v>-1.26</v>
      </c>
      <c r="P68" s="26">
        <v>81.0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>
        <v>39.0</v>
      </c>
      <c r="BB68" s="26">
        <v>102.2</v>
      </c>
      <c r="BC68" s="26">
        <v>101.6</v>
      </c>
      <c r="BD68" s="26">
        <v>102.9</v>
      </c>
      <c r="BE68" s="26">
        <v>-3.6</v>
      </c>
      <c r="BF68" s="26">
        <v>46.0</v>
      </c>
      <c r="BG68" s="26"/>
      <c r="BH68" s="26"/>
      <c r="BI68" s="26"/>
      <c r="BJ68" s="26"/>
    </row>
    <row r="69" ht="15.75" customHeight="1">
      <c r="A69" s="25"/>
      <c r="B69" s="26"/>
      <c r="C69" s="26">
        <v>40.0</v>
      </c>
      <c r="D69" s="26">
        <v>129.6</v>
      </c>
      <c r="E69" s="26">
        <v>128.4</v>
      </c>
      <c r="F69" s="26">
        <v>130.9</v>
      </c>
      <c r="G69" s="26">
        <v>-1.59</v>
      </c>
      <c r="H69" s="26">
        <v>76.0</v>
      </c>
      <c r="I69" s="26"/>
      <c r="J69" s="26"/>
      <c r="K69" s="26">
        <v>40.0</v>
      </c>
      <c r="L69" s="26">
        <v>120.9</v>
      </c>
      <c r="M69" s="26">
        <v>120.1</v>
      </c>
      <c r="N69" s="26">
        <v>121.7</v>
      </c>
      <c r="O69" s="26">
        <v>-1.22</v>
      </c>
      <c r="P69" s="26">
        <v>82.0</v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>
        <v>40.0</v>
      </c>
      <c r="BB69" s="26">
        <v>102.4</v>
      </c>
      <c r="BC69" s="26">
        <v>101.7</v>
      </c>
      <c r="BD69" s="26">
        <v>103.1</v>
      </c>
      <c r="BE69" s="26">
        <v>-3.54</v>
      </c>
      <c r="BF69" s="26">
        <v>47.0</v>
      </c>
      <c r="BG69" s="26"/>
      <c r="BH69" s="26"/>
      <c r="BI69" s="26"/>
      <c r="BJ69" s="26"/>
    </row>
    <row r="70" ht="15.75" customHeight="1">
      <c r="A70" s="25"/>
      <c r="B70" s="26"/>
      <c r="C70" s="26">
        <v>41.0</v>
      </c>
      <c r="D70" s="26">
        <v>130.3</v>
      </c>
      <c r="E70" s="26">
        <v>128.7</v>
      </c>
      <c r="F70" s="26">
        <v>131.9</v>
      </c>
      <c r="G70" s="26">
        <v>-1.48</v>
      </c>
      <c r="H70" s="26">
        <v>78.0</v>
      </c>
      <c r="I70" s="26"/>
      <c r="J70" s="26"/>
      <c r="K70" s="26">
        <v>41.0</v>
      </c>
      <c r="L70" s="26">
        <v>121.1</v>
      </c>
      <c r="M70" s="26">
        <v>120.3</v>
      </c>
      <c r="N70" s="26">
        <v>121.9</v>
      </c>
      <c r="O70" s="26">
        <v>-1.19</v>
      </c>
      <c r="P70" s="26">
        <v>82.0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102.6</v>
      </c>
      <c r="BC70" s="26">
        <v>101.9</v>
      </c>
      <c r="BD70" s="26">
        <v>103.3</v>
      </c>
      <c r="BE70" s="26">
        <v>-3.49</v>
      </c>
      <c r="BF70" s="26">
        <v>48.0</v>
      </c>
      <c r="BG70" s="26"/>
      <c r="BH70" s="26"/>
      <c r="BI70" s="26"/>
      <c r="BJ70" s="26"/>
    </row>
    <row r="71" ht="15.75" customHeight="1">
      <c r="A71" s="25"/>
      <c r="B71" s="26"/>
      <c r="C71" s="26">
        <v>42.0</v>
      </c>
      <c r="D71" s="26">
        <v>131.8</v>
      </c>
      <c r="E71" s="26">
        <v>129.7</v>
      </c>
      <c r="F71" s="26">
        <v>133.9</v>
      </c>
      <c r="G71" s="26">
        <v>-1.26</v>
      </c>
      <c r="H71" s="26">
        <v>81.0</v>
      </c>
      <c r="I71" s="26"/>
      <c r="J71" s="26"/>
      <c r="K71" s="26">
        <v>42.0</v>
      </c>
      <c r="L71" s="26">
        <v>121.4</v>
      </c>
      <c r="M71" s="26">
        <v>120.5</v>
      </c>
      <c r="N71" s="26">
        <v>122.2</v>
      </c>
      <c r="O71" s="26">
        <v>-1.15</v>
      </c>
      <c r="P71" s="26">
        <v>83.0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102.8</v>
      </c>
      <c r="BC71" s="26">
        <v>102.1</v>
      </c>
      <c r="BD71" s="26">
        <v>103.4</v>
      </c>
      <c r="BE71" s="26">
        <v>-3.44</v>
      </c>
      <c r="BF71" s="26">
        <v>48.0</v>
      </c>
      <c r="BG71" s="26"/>
      <c r="BH71" s="26"/>
      <c r="BI71" s="26"/>
      <c r="BJ71" s="26"/>
    </row>
    <row r="72" ht="15.75" customHeight="1">
      <c r="A72" s="25"/>
      <c r="B72" s="26"/>
      <c r="C72" s="26">
        <v>43.0</v>
      </c>
      <c r="D72" s="26">
        <v>132.8</v>
      </c>
      <c r="E72" s="26">
        <v>131.5</v>
      </c>
      <c r="F72" s="26">
        <v>134.2</v>
      </c>
      <c r="G72" s="26">
        <v>-1.1</v>
      </c>
      <c r="H72" s="26">
        <v>83.0</v>
      </c>
      <c r="I72" s="26"/>
      <c r="J72" s="26"/>
      <c r="K72" s="26">
        <v>43.0</v>
      </c>
      <c r="L72" s="26">
        <v>121.6</v>
      </c>
      <c r="M72" s="26">
        <v>120.8</v>
      </c>
      <c r="N72" s="26">
        <v>122.5</v>
      </c>
      <c r="O72" s="26">
        <v>-1.11</v>
      </c>
      <c r="P72" s="26">
        <v>83.0</v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102.9</v>
      </c>
      <c r="BC72" s="26">
        <v>102.2</v>
      </c>
      <c r="BD72" s="26">
        <v>103.6</v>
      </c>
      <c r="BE72" s="26">
        <v>-3.38</v>
      </c>
      <c r="BF72" s="26">
        <v>49.0</v>
      </c>
      <c r="BG72" s="26"/>
      <c r="BH72" s="26"/>
      <c r="BI72" s="26"/>
      <c r="BJ72" s="26"/>
    </row>
    <row r="73" ht="15.75" customHeight="1">
      <c r="A73" s="25"/>
      <c r="B73" s="26"/>
      <c r="C73" s="26">
        <v>44.0</v>
      </c>
      <c r="D73" s="26">
        <v>133.3</v>
      </c>
      <c r="E73" s="26">
        <v>132.3</v>
      </c>
      <c r="F73" s="26">
        <v>134.4</v>
      </c>
      <c r="G73" s="26">
        <v>-1.02</v>
      </c>
      <c r="H73" s="26">
        <v>85.0</v>
      </c>
      <c r="I73" s="26"/>
      <c r="J73" s="26"/>
      <c r="K73" s="26">
        <v>44.0</v>
      </c>
      <c r="L73" s="26">
        <v>121.9</v>
      </c>
      <c r="M73" s="26">
        <v>121.0</v>
      </c>
      <c r="N73" s="26">
        <v>122.7</v>
      </c>
      <c r="O73" s="26">
        <v>-1.07</v>
      </c>
      <c r="P73" s="26">
        <v>84.0</v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103.1</v>
      </c>
      <c r="BC73" s="26">
        <v>102.4</v>
      </c>
      <c r="BD73" s="26">
        <v>103.8</v>
      </c>
      <c r="BE73" s="26">
        <v>-3.33</v>
      </c>
      <c r="BF73" s="26">
        <v>50.0</v>
      </c>
      <c r="BG73" s="26"/>
      <c r="BH73" s="26"/>
      <c r="BI73" s="26"/>
      <c r="BJ73" s="26"/>
    </row>
    <row r="74" ht="15.75" customHeight="1">
      <c r="A74" s="25"/>
      <c r="B74" s="26"/>
      <c r="C74" s="26">
        <v>45.0</v>
      </c>
      <c r="D74" s="26">
        <v>133.7</v>
      </c>
      <c r="E74" s="26">
        <v>132.7</v>
      </c>
      <c r="F74" s="26">
        <v>134.7</v>
      </c>
      <c r="G74" s="26">
        <v>-0.96</v>
      </c>
      <c r="H74" s="26">
        <v>86.0</v>
      </c>
      <c r="I74" s="26"/>
      <c r="J74" s="26"/>
      <c r="K74" s="26">
        <v>45.0</v>
      </c>
      <c r="L74" s="26">
        <v>122.1</v>
      </c>
      <c r="M74" s="26">
        <v>121.3</v>
      </c>
      <c r="N74" s="26">
        <v>123.0</v>
      </c>
      <c r="O74" s="26">
        <v>-1.03</v>
      </c>
      <c r="P74" s="26">
        <v>85.0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45.0</v>
      </c>
      <c r="BB74" s="26">
        <v>103.3</v>
      </c>
      <c r="BC74" s="26">
        <v>102.6</v>
      </c>
      <c r="BD74" s="26">
        <v>104.0</v>
      </c>
      <c r="BE74" s="26">
        <v>-3.28</v>
      </c>
      <c r="BF74" s="26">
        <v>51.0</v>
      </c>
      <c r="BG74" s="26"/>
      <c r="BH74" s="26"/>
      <c r="BI74" s="26"/>
      <c r="BJ74" s="26"/>
    </row>
    <row r="75" ht="15.75" customHeight="1">
      <c r="A75" s="25"/>
      <c r="B75" s="26"/>
      <c r="C75" s="26">
        <v>46.0</v>
      </c>
      <c r="D75" s="26">
        <v>134.1</v>
      </c>
      <c r="E75" s="26">
        <v>133.1</v>
      </c>
      <c r="F75" s="26">
        <v>135.0</v>
      </c>
      <c r="G75" s="26">
        <v>-0.91</v>
      </c>
      <c r="H75" s="26">
        <v>86.0</v>
      </c>
      <c r="I75" s="26"/>
      <c r="J75" s="26"/>
      <c r="K75" s="26">
        <v>46.0</v>
      </c>
      <c r="L75" s="26">
        <v>122.4</v>
      </c>
      <c r="M75" s="26">
        <v>121.6</v>
      </c>
      <c r="N75" s="26">
        <v>123.2</v>
      </c>
      <c r="O75" s="26">
        <v>-0.99</v>
      </c>
      <c r="P75" s="26">
        <v>85.0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>
        <v>46.0</v>
      </c>
      <c r="BB75" s="26">
        <v>103.4</v>
      </c>
      <c r="BC75" s="26">
        <v>102.7</v>
      </c>
      <c r="BD75" s="26">
        <v>104.1</v>
      </c>
      <c r="BE75" s="26">
        <v>-3.22</v>
      </c>
      <c r="BF75" s="26">
        <v>52.0</v>
      </c>
      <c r="BG75" s="26"/>
      <c r="BH75" s="26"/>
      <c r="BI75" s="26"/>
      <c r="BJ75" s="26"/>
    </row>
    <row r="76" ht="15.75" customHeight="1">
      <c r="A76" s="25"/>
      <c r="B76" s="26"/>
      <c r="C76" s="26">
        <v>47.0</v>
      </c>
      <c r="D76" s="26">
        <v>134.4</v>
      </c>
      <c r="E76" s="26">
        <v>133.5</v>
      </c>
      <c r="F76" s="26">
        <v>135.4</v>
      </c>
      <c r="G76" s="26">
        <v>-0.86</v>
      </c>
      <c r="H76" s="26">
        <v>87.0</v>
      </c>
      <c r="I76" s="26"/>
      <c r="J76" s="26"/>
      <c r="K76" s="26">
        <v>47.0</v>
      </c>
      <c r="L76" s="26">
        <v>122.6</v>
      </c>
      <c r="M76" s="26">
        <v>121.8</v>
      </c>
      <c r="N76" s="26">
        <v>123.5</v>
      </c>
      <c r="O76" s="26">
        <v>-0.95</v>
      </c>
      <c r="P76" s="26">
        <v>86.0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>
        <v>47.0</v>
      </c>
      <c r="BB76" s="26">
        <v>103.6</v>
      </c>
      <c r="BC76" s="26">
        <v>102.9</v>
      </c>
      <c r="BD76" s="26">
        <v>104.3</v>
      </c>
      <c r="BE76" s="26">
        <v>-3.17</v>
      </c>
      <c r="BF76" s="26">
        <v>52.0</v>
      </c>
      <c r="BG76" s="26"/>
      <c r="BH76" s="26"/>
      <c r="BI76" s="26"/>
      <c r="BJ76" s="26"/>
    </row>
    <row r="77" ht="15.75" customHeight="1">
      <c r="A77" s="25"/>
      <c r="B77" s="26"/>
      <c r="C77" s="26">
        <v>48.0</v>
      </c>
      <c r="D77" s="26">
        <v>134.8</v>
      </c>
      <c r="E77" s="26">
        <v>133.8</v>
      </c>
      <c r="F77" s="26">
        <v>135.7</v>
      </c>
      <c r="G77" s="26">
        <v>-0.81</v>
      </c>
      <c r="H77" s="26">
        <v>88.0</v>
      </c>
      <c r="I77" s="26"/>
      <c r="J77" s="26"/>
      <c r="K77" s="26">
        <v>48.0</v>
      </c>
      <c r="L77" s="26">
        <v>122.9</v>
      </c>
      <c r="M77" s="26">
        <v>122.0</v>
      </c>
      <c r="N77" s="26">
        <v>123.8</v>
      </c>
      <c r="O77" s="26">
        <v>-0.91</v>
      </c>
      <c r="P77" s="26">
        <v>86.0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>
        <v>48.0</v>
      </c>
      <c r="BB77" s="26">
        <v>103.8</v>
      </c>
      <c r="BC77" s="26">
        <v>103.1</v>
      </c>
      <c r="BD77" s="26">
        <v>104.5</v>
      </c>
      <c r="BE77" s="26">
        <v>-3.11</v>
      </c>
      <c r="BF77" s="26">
        <v>53.0</v>
      </c>
      <c r="BG77" s="26"/>
      <c r="BH77" s="26"/>
      <c r="BI77" s="26"/>
      <c r="BJ77" s="26"/>
    </row>
    <row r="78" ht="15.75" customHeight="1">
      <c r="A78" s="25"/>
      <c r="B78" s="26"/>
      <c r="C78" s="26">
        <v>49.0</v>
      </c>
      <c r="D78" s="26">
        <v>135.1</v>
      </c>
      <c r="E78" s="26">
        <v>134.1</v>
      </c>
      <c r="F78" s="26">
        <v>136.1</v>
      </c>
      <c r="G78" s="26">
        <v>-0.75</v>
      </c>
      <c r="H78" s="26">
        <v>89.0</v>
      </c>
      <c r="I78" s="26"/>
      <c r="J78" s="26"/>
      <c r="K78" s="26">
        <v>49.0</v>
      </c>
      <c r="L78" s="26">
        <v>123.2</v>
      </c>
      <c r="M78" s="26">
        <v>122.3</v>
      </c>
      <c r="N78" s="26">
        <v>124.1</v>
      </c>
      <c r="O78" s="26">
        <v>-0.87</v>
      </c>
      <c r="P78" s="26">
        <v>87.0</v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>
        <v>49.0</v>
      </c>
      <c r="BB78" s="26">
        <v>104.0</v>
      </c>
      <c r="BC78" s="26">
        <v>103.3</v>
      </c>
      <c r="BD78" s="26">
        <v>104.7</v>
      </c>
      <c r="BE78" s="26">
        <v>-3.06</v>
      </c>
      <c r="BF78" s="26">
        <v>54.0</v>
      </c>
      <c r="BG78" s="26"/>
      <c r="BH78" s="26"/>
      <c r="BI78" s="26"/>
      <c r="BJ78" s="26"/>
    </row>
    <row r="79" ht="15.75" customHeight="1">
      <c r="A79" s="25"/>
      <c r="B79" s="26"/>
      <c r="C79" s="26">
        <v>50.0</v>
      </c>
      <c r="D79" s="26">
        <v>135.5</v>
      </c>
      <c r="E79" s="26">
        <v>134.4</v>
      </c>
      <c r="F79" s="26">
        <v>136.6</v>
      </c>
      <c r="G79" s="26">
        <v>-0.69</v>
      </c>
      <c r="H79" s="26">
        <v>90.0</v>
      </c>
      <c r="I79" s="26"/>
      <c r="J79" s="26"/>
      <c r="K79" s="26">
        <v>50.0</v>
      </c>
      <c r="L79" s="26">
        <v>123.5</v>
      </c>
      <c r="M79" s="26">
        <v>122.6</v>
      </c>
      <c r="N79" s="26">
        <v>124.5</v>
      </c>
      <c r="O79" s="26">
        <v>-0.81</v>
      </c>
      <c r="P79" s="26">
        <v>88.0</v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>
        <v>50.0</v>
      </c>
      <c r="BB79" s="26">
        <v>104.2</v>
      </c>
      <c r="BC79" s="26">
        <v>103.5</v>
      </c>
      <c r="BD79" s="26">
        <v>104.9</v>
      </c>
      <c r="BE79" s="26">
        <v>-3.0</v>
      </c>
      <c r="BF79" s="26">
        <v>55.0</v>
      </c>
      <c r="BG79" s="26"/>
      <c r="BH79" s="26"/>
      <c r="BI79" s="26"/>
      <c r="BJ79" s="26"/>
    </row>
    <row r="80" ht="15.75" customHeight="1">
      <c r="A80" s="25"/>
      <c r="B80" s="26"/>
      <c r="C80" s="26">
        <v>51.0</v>
      </c>
      <c r="D80" s="26">
        <v>136.0</v>
      </c>
      <c r="E80" s="26">
        <v>134.8</v>
      </c>
      <c r="F80" s="26">
        <v>137.2</v>
      </c>
      <c r="G80" s="26">
        <v>-0.62</v>
      </c>
      <c r="H80" s="26">
        <v>91.0</v>
      </c>
      <c r="I80" s="26"/>
      <c r="J80" s="26"/>
      <c r="K80" s="26">
        <v>51.0</v>
      </c>
      <c r="L80" s="26">
        <v>123.9</v>
      </c>
      <c r="M80" s="26">
        <v>122.8</v>
      </c>
      <c r="N80" s="26">
        <v>124.9</v>
      </c>
      <c r="O80" s="26">
        <v>-0.76</v>
      </c>
      <c r="P80" s="26">
        <v>89.0</v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>
        <v>51.0</v>
      </c>
      <c r="BB80" s="26">
        <v>104.4</v>
      </c>
      <c r="BC80" s="26">
        <v>103.6</v>
      </c>
      <c r="BD80" s="26">
        <v>105.1</v>
      </c>
      <c r="BE80" s="26">
        <v>-2.94</v>
      </c>
      <c r="BF80" s="26">
        <v>56.0</v>
      </c>
      <c r="BG80" s="26"/>
      <c r="BH80" s="26"/>
      <c r="BI80" s="26"/>
      <c r="BJ80" s="26"/>
    </row>
    <row r="81" ht="15.75" customHeight="1">
      <c r="A81" s="25"/>
      <c r="B81" s="26"/>
      <c r="C81" s="26">
        <v>52.0</v>
      </c>
      <c r="D81" s="26">
        <v>136.5</v>
      </c>
      <c r="E81" s="26">
        <v>135.4</v>
      </c>
      <c r="F81" s="26">
        <v>137.6</v>
      </c>
      <c r="G81" s="26">
        <v>-0.54</v>
      </c>
      <c r="H81" s="26">
        <v>92.0</v>
      </c>
      <c r="I81" s="26"/>
      <c r="J81" s="26"/>
      <c r="K81" s="26">
        <v>52.0</v>
      </c>
      <c r="L81" s="26">
        <v>124.3</v>
      </c>
      <c r="M81" s="26">
        <v>123.2</v>
      </c>
      <c r="N81" s="26">
        <v>125.4</v>
      </c>
      <c r="O81" s="26">
        <v>-0.7</v>
      </c>
      <c r="P81" s="26">
        <v>90.0</v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>
        <v>52.0</v>
      </c>
      <c r="BB81" s="26">
        <v>104.5</v>
      </c>
      <c r="BC81" s="26">
        <v>103.8</v>
      </c>
      <c r="BD81" s="26">
        <v>105.3</v>
      </c>
      <c r="BE81" s="26">
        <v>-2.88</v>
      </c>
      <c r="BF81" s="26">
        <v>57.0</v>
      </c>
      <c r="BG81" s="26"/>
      <c r="BH81" s="26"/>
      <c r="BI81" s="26"/>
      <c r="BJ81" s="26"/>
    </row>
    <row r="82" ht="15.75" customHeight="1">
      <c r="A82" s="25"/>
      <c r="B82" s="26"/>
      <c r="C82" s="26">
        <v>53.0</v>
      </c>
      <c r="D82" s="26">
        <v>136.9</v>
      </c>
      <c r="E82" s="26">
        <v>136.0</v>
      </c>
      <c r="F82" s="26">
        <v>138.0</v>
      </c>
      <c r="G82" s="26">
        <v>-0.47</v>
      </c>
      <c r="H82" s="26">
        <v>93.0</v>
      </c>
      <c r="I82" s="26"/>
      <c r="J82" s="26"/>
      <c r="K82" s="26">
        <v>53.0</v>
      </c>
      <c r="L82" s="26">
        <v>124.7</v>
      </c>
      <c r="M82" s="26">
        <v>123.6</v>
      </c>
      <c r="N82" s="26">
        <v>125.9</v>
      </c>
      <c r="O82" s="26">
        <v>-0.62</v>
      </c>
      <c r="P82" s="26">
        <v>91.0</v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>
        <v>53.0</v>
      </c>
      <c r="BB82" s="26">
        <v>104.7</v>
      </c>
      <c r="BC82" s="26">
        <v>104.0</v>
      </c>
      <c r="BD82" s="26">
        <v>105.5</v>
      </c>
      <c r="BE82" s="26">
        <v>-2.82</v>
      </c>
      <c r="BF82" s="26">
        <v>58.0</v>
      </c>
      <c r="BG82" s="26"/>
      <c r="BH82" s="26"/>
      <c r="BI82" s="26"/>
      <c r="BJ82" s="26"/>
    </row>
    <row r="83" ht="15.75" customHeight="1">
      <c r="A83" s="25"/>
      <c r="B83" s="26"/>
      <c r="C83" s="26">
        <v>54.0</v>
      </c>
      <c r="D83" s="26">
        <v>137.3</v>
      </c>
      <c r="E83" s="26">
        <v>136.4</v>
      </c>
      <c r="F83" s="26">
        <v>138.3</v>
      </c>
      <c r="G83" s="26">
        <v>-0.42</v>
      </c>
      <c r="H83" s="26">
        <v>94.0</v>
      </c>
      <c r="I83" s="26"/>
      <c r="J83" s="26"/>
      <c r="K83" s="26">
        <v>54.0</v>
      </c>
      <c r="L83" s="26">
        <v>125.2</v>
      </c>
      <c r="M83" s="26">
        <v>124.1</v>
      </c>
      <c r="N83" s="26">
        <v>126.4</v>
      </c>
      <c r="O83" s="26">
        <v>-0.55</v>
      </c>
      <c r="P83" s="26">
        <v>92.0</v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>
        <v>54.0</v>
      </c>
      <c r="BB83" s="26">
        <v>104.9</v>
      </c>
      <c r="BC83" s="26">
        <v>104.2</v>
      </c>
      <c r="BD83" s="26">
        <v>105.7</v>
      </c>
      <c r="BE83" s="26">
        <v>-2.76</v>
      </c>
      <c r="BF83" s="26">
        <v>59.0</v>
      </c>
      <c r="BG83" s="26"/>
      <c r="BH83" s="26"/>
      <c r="BI83" s="26"/>
      <c r="BJ83" s="26"/>
    </row>
    <row r="84" ht="15.75" customHeight="1">
      <c r="A84" s="25"/>
      <c r="B84" s="26"/>
      <c r="C84" s="26">
        <v>55.0</v>
      </c>
      <c r="D84" s="26">
        <v>137.6</v>
      </c>
      <c r="E84" s="26">
        <v>136.7</v>
      </c>
      <c r="F84" s="26">
        <v>138.6</v>
      </c>
      <c r="G84" s="26">
        <v>-0.37</v>
      </c>
      <c r="H84" s="26">
        <v>95.0</v>
      </c>
      <c r="I84" s="26"/>
      <c r="J84" s="26"/>
      <c r="K84" s="26">
        <v>55.0</v>
      </c>
      <c r="L84" s="26">
        <v>125.8</v>
      </c>
      <c r="M84" s="26">
        <v>124.6</v>
      </c>
      <c r="N84" s="26">
        <v>127.0</v>
      </c>
      <c r="O84" s="26">
        <v>-0.46</v>
      </c>
      <c r="P84" s="26">
        <v>93.0</v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>
        <v>55.0</v>
      </c>
      <c r="BB84" s="26">
        <v>105.2</v>
      </c>
      <c r="BC84" s="26">
        <v>104.4</v>
      </c>
      <c r="BD84" s="26">
        <v>105.9</v>
      </c>
      <c r="BE84" s="26">
        <v>-2.69</v>
      </c>
      <c r="BF84" s="26">
        <v>60.0</v>
      </c>
      <c r="BG84" s="26"/>
      <c r="BH84" s="26"/>
      <c r="BI84" s="26"/>
      <c r="BJ84" s="26"/>
    </row>
    <row r="85" ht="15.75" customHeight="1">
      <c r="A85" s="25"/>
      <c r="B85" s="26"/>
      <c r="C85" s="26">
        <v>56.0</v>
      </c>
      <c r="D85" s="26">
        <v>138.0</v>
      </c>
      <c r="E85" s="26">
        <v>137.0</v>
      </c>
      <c r="F85" s="26">
        <v>138.9</v>
      </c>
      <c r="G85" s="26">
        <v>-0.31</v>
      </c>
      <c r="H85" s="26">
        <v>95.0</v>
      </c>
      <c r="I85" s="26"/>
      <c r="J85" s="26"/>
      <c r="K85" s="26">
        <v>56.0</v>
      </c>
      <c r="L85" s="26">
        <v>126.4</v>
      </c>
      <c r="M85" s="26">
        <v>125.1</v>
      </c>
      <c r="N85" s="26">
        <v>127.6</v>
      </c>
      <c r="O85" s="26">
        <v>-0.37</v>
      </c>
      <c r="P85" s="26">
        <v>94.0</v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>
        <v>56.0</v>
      </c>
      <c r="BB85" s="26">
        <v>105.4</v>
      </c>
      <c r="BC85" s="26">
        <v>104.6</v>
      </c>
      <c r="BD85" s="26">
        <v>106.2</v>
      </c>
      <c r="BE85" s="26">
        <v>-2.63</v>
      </c>
      <c r="BF85" s="26">
        <v>61.0</v>
      </c>
      <c r="BG85" s="26"/>
      <c r="BH85" s="26"/>
      <c r="BI85" s="26"/>
      <c r="BJ85" s="26"/>
    </row>
    <row r="86" ht="15.75" customHeight="1">
      <c r="A86" s="25"/>
      <c r="B86" s="26"/>
      <c r="C86" s="26">
        <v>57.0</v>
      </c>
      <c r="D86" s="26">
        <v>138.3</v>
      </c>
      <c r="E86" s="26">
        <v>137.3</v>
      </c>
      <c r="F86" s="26">
        <v>139.3</v>
      </c>
      <c r="G86" s="26">
        <v>-0.26</v>
      </c>
      <c r="H86" s="26">
        <v>96.0</v>
      </c>
      <c r="I86" s="26"/>
      <c r="J86" s="26"/>
      <c r="K86" s="26">
        <v>57.0</v>
      </c>
      <c r="L86" s="26">
        <v>127.0</v>
      </c>
      <c r="M86" s="26">
        <v>125.6</v>
      </c>
      <c r="N86" s="26">
        <v>128.4</v>
      </c>
      <c r="O86" s="26">
        <v>-0.27</v>
      </c>
      <c r="P86" s="26">
        <v>96.0</v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>
        <v>57.0</v>
      </c>
      <c r="BB86" s="26">
        <v>105.6</v>
      </c>
      <c r="BC86" s="26">
        <v>104.8</v>
      </c>
      <c r="BD86" s="26">
        <v>106.4</v>
      </c>
      <c r="BE86" s="26">
        <v>-2.55</v>
      </c>
      <c r="BF86" s="26">
        <v>62.0</v>
      </c>
      <c r="BG86" s="26"/>
      <c r="BH86" s="26"/>
      <c r="BI86" s="26"/>
      <c r="BJ86" s="26"/>
    </row>
    <row r="87" ht="15.75" customHeight="1">
      <c r="A87" s="25"/>
      <c r="B87" s="26"/>
      <c r="C87" s="26">
        <v>58.0</v>
      </c>
      <c r="D87" s="26">
        <v>138.7</v>
      </c>
      <c r="E87" s="26">
        <v>137.7</v>
      </c>
      <c r="F87" s="26">
        <v>139.7</v>
      </c>
      <c r="G87" s="26">
        <v>-0.21</v>
      </c>
      <c r="H87" s="26">
        <v>97.0</v>
      </c>
      <c r="I87" s="26"/>
      <c r="J87" s="26"/>
      <c r="K87" s="26">
        <v>58.0</v>
      </c>
      <c r="L87" s="26">
        <v>127.9</v>
      </c>
      <c r="M87" s="26">
        <v>126.1</v>
      </c>
      <c r="N87" s="26">
        <v>129.7</v>
      </c>
      <c r="O87" s="26">
        <v>-0.13</v>
      </c>
      <c r="P87" s="26">
        <v>98.0</v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58.0</v>
      </c>
      <c r="BB87" s="26">
        <v>105.9</v>
      </c>
      <c r="BC87" s="26">
        <v>105.0</v>
      </c>
      <c r="BD87" s="26">
        <v>106.7</v>
      </c>
      <c r="BE87" s="26">
        <v>-2.47</v>
      </c>
      <c r="BF87" s="26">
        <v>63.0</v>
      </c>
      <c r="BG87" s="26"/>
      <c r="BH87" s="26"/>
      <c r="BI87" s="26"/>
      <c r="BJ87" s="26"/>
    </row>
    <row r="88" ht="15.75" customHeight="1">
      <c r="A88" s="25"/>
      <c r="B88" s="26"/>
      <c r="C88" s="26">
        <v>59.0</v>
      </c>
      <c r="D88" s="26">
        <v>139.1</v>
      </c>
      <c r="E88" s="26">
        <v>138.0</v>
      </c>
      <c r="F88" s="26">
        <v>140.1</v>
      </c>
      <c r="G88" s="26">
        <v>-0.15</v>
      </c>
      <c r="H88" s="26">
        <v>98.0</v>
      </c>
      <c r="I88" s="26"/>
      <c r="J88" s="26"/>
      <c r="K88" s="26">
        <v>59.0</v>
      </c>
      <c r="L88" s="26">
        <v>130.3</v>
      </c>
      <c r="M88" s="26">
        <v>126.8</v>
      </c>
      <c r="N88" s="26">
        <v>133.8</v>
      </c>
      <c r="O88" s="26">
        <v>0.23</v>
      </c>
      <c r="P88" s="26">
        <v>103.0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>
        <v>59.0</v>
      </c>
      <c r="BB88" s="26">
        <v>106.1</v>
      </c>
      <c r="BC88" s="26">
        <v>105.3</v>
      </c>
      <c r="BD88" s="26">
        <v>107.0</v>
      </c>
      <c r="BE88" s="26">
        <v>-2.39</v>
      </c>
      <c r="BF88" s="26">
        <v>64.0</v>
      </c>
      <c r="BG88" s="26"/>
      <c r="BH88" s="26"/>
      <c r="BI88" s="26"/>
      <c r="BJ88" s="26"/>
    </row>
    <row r="89" ht="15.75" customHeight="1">
      <c r="A89" s="25"/>
      <c r="B89" s="26"/>
      <c r="C89" s="26">
        <v>60.0</v>
      </c>
      <c r="D89" s="26">
        <v>139.4</v>
      </c>
      <c r="E89" s="26">
        <v>138.4</v>
      </c>
      <c r="F89" s="26">
        <v>140.4</v>
      </c>
      <c r="G89" s="26">
        <v>-0.09</v>
      </c>
      <c r="H89" s="26">
        <v>99.0</v>
      </c>
      <c r="I89" s="26"/>
      <c r="J89" s="26"/>
      <c r="K89" s="26">
        <v>60.0</v>
      </c>
      <c r="L89" s="26">
        <v>134.1</v>
      </c>
      <c r="M89" s="26">
        <v>130.8</v>
      </c>
      <c r="N89" s="26">
        <v>137.3</v>
      </c>
      <c r="O89" s="26">
        <v>0.82</v>
      </c>
      <c r="P89" s="26">
        <v>112.0</v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>
        <v>60.0</v>
      </c>
      <c r="BB89" s="26">
        <v>106.4</v>
      </c>
      <c r="BC89" s="26">
        <v>105.6</v>
      </c>
      <c r="BD89" s="26">
        <v>107.2</v>
      </c>
      <c r="BE89" s="26">
        <v>-2.31</v>
      </c>
      <c r="BF89" s="26">
        <v>65.0</v>
      </c>
      <c r="BG89" s="26"/>
      <c r="BH89" s="26"/>
      <c r="BI89" s="26"/>
      <c r="BJ89" s="26"/>
    </row>
    <row r="90" ht="15.75" customHeight="1">
      <c r="A90" s="25"/>
      <c r="B90" s="26"/>
      <c r="C90" s="26">
        <v>61.0</v>
      </c>
      <c r="D90" s="26">
        <v>139.8</v>
      </c>
      <c r="E90" s="26">
        <v>138.8</v>
      </c>
      <c r="F90" s="26">
        <v>140.8</v>
      </c>
      <c r="G90" s="26">
        <v>-0.04</v>
      </c>
      <c r="H90" s="26">
        <v>99.0</v>
      </c>
      <c r="I90" s="26"/>
      <c r="J90" s="26"/>
      <c r="K90" s="26">
        <v>61.0</v>
      </c>
      <c r="L90" s="26">
        <v>136.7</v>
      </c>
      <c r="M90" s="26">
        <v>134.3</v>
      </c>
      <c r="N90" s="26">
        <v>139.0</v>
      </c>
      <c r="O90" s="26">
        <v>1.22</v>
      </c>
      <c r="P90" s="26">
        <v>118.0</v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>
        <v>61.0</v>
      </c>
      <c r="BB90" s="26">
        <v>106.6</v>
      </c>
      <c r="BC90" s="26">
        <v>105.8</v>
      </c>
      <c r="BD90" s="26">
        <v>107.4</v>
      </c>
      <c r="BE90" s="26">
        <v>-2.24</v>
      </c>
      <c r="BF90" s="26">
        <v>66.0</v>
      </c>
      <c r="BG90" s="26"/>
      <c r="BH90" s="26"/>
      <c r="BI90" s="26"/>
      <c r="BJ90" s="26"/>
    </row>
    <row r="91" ht="15.75" customHeight="1">
      <c r="A91" s="25"/>
      <c r="B91" s="26"/>
      <c r="C91" s="26">
        <v>62.0</v>
      </c>
      <c r="D91" s="26">
        <v>140.1</v>
      </c>
      <c r="E91" s="26">
        <v>139.2</v>
      </c>
      <c r="F91" s="26">
        <v>141.1</v>
      </c>
      <c r="G91" s="26">
        <v>0.02</v>
      </c>
      <c r="H91" s="26">
        <v>100.0</v>
      </c>
      <c r="I91" s="26"/>
      <c r="J91" s="26"/>
      <c r="K91" s="26">
        <v>62.0</v>
      </c>
      <c r="L91" s="26">
        <v>138.9</v>
      </c>
      <c r="M91" s="26">
        <v>136.3</v>
      </c>
      <c r="N91" s="26">
        <v>141.6</v>
      </c>
      <c r="O91" s="26">
        <v>1.57</v>
      </c>
      <c r="P91" s="26">
        <v>124.0</v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62.0</v>
      </c>
      <c r="BB91" s="26">
        <v>106.9</v>
      </c>
      <c r="BC91" s="26">
        <v>106.1</v>
      </c>
      <c r="BD91" s="26">
        <v>107.6</v>
      </c>
      <c r="BE91" s="26">
        <v>-2.17</v>
      </c>
      <c r="BF91" s="26">
        <v>67.0</v>
      </c>
      <c r="BG91" s="26"/>
      <c r="BH91" s="26"/>
      <c r="BI91" s="26"/>
      <c r="BJ91" s="26"/>
    </row>
    <row r="92" ht="15.75" customHeight="1">
      <c r="A92" s="25"/>
      <c r="B92" s="26"/>
      <c r="C92" s="26">
        <v>63.0</v>
      </c>
      <c r="D92" s="26">
        <v>140.5</v>
      </c>
      <c r="E92" s="26">
        <v>139.5</v>
      </c>
      <c r="F92" s="26">
        <v>141.4</v>
      </c>
      <c r="G92" s="26">
        <v>0.07</v>
      </c>
      <c r="H92" s="26">
        <v>101.0</v>
      </c>
      <c r="I92" s="26"/>
      <c r="J92" s="26"/>
      <c r="K92" s="26">
        <v>63.0</v>
      </c>
      <c r="L92" s="26">
        <v>141.4</v>
      </c>
      <c r="M92" s="26">
        <v>138.9</v>
      </c>
      <c r="N92" s="26">
        <v>143.9</v>
      </c>
      <c r="O92" s="26">
        <v>1.95</v>
      </c>
      <c r="P92" s="26">
        <v>129.0</v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>
        <v>63.0</v>
      </c>
      <c r="BB92" s="26">
        <v>107.1</v>
      </c>
      <c r="BC92" s="26">
        <v>106.3</v>
      </c>
      <c r="BD92" s="26">
        <v>107.8</v>
      </c>
      <c r="BE92" s="26">
        <v>-2.1</v>
      </c>
      <c r="BF92" s="26">
        <v>68.0</v>
      </c>
      <c r="BG92" s="26"/>
      <c r="BH92" s="26"/>
      <c r="BI92" s="26"/>
      <c r="BJ92" s="26"/>
    </row>
    <row r="93" ht="15.75" customHeight="1">
      <c r="A93" s="25"/>
      <c r="B93" s="26"/>
      <c r="C93" s="26">
        <v>64.0</v>
      </c>
      <c r="D93" s="26">
        <v>140.8</v>
      </c>
      <c r="E93" s="26">
        <v>139.8</v>
      </c>
      <c r="F93" s="26">
        <v>141.7</v>
      </c>
      <c r="G93" s="26">
        <v>0.12</v>
      </c>
      <c r="H93" s="26">
        <v>102.0</v>
      </c>
      <c r="I93" s="26"/>
      <c r="J93" s="26"/>
      <c r="K93" s="26">
        <v>64.0</v>
      </c>
      <c r="L93" s="26">
        <v>143.3</v>
      </c>
      <c r="M93" s="26">
        <v>139.9</v>
      </c>
      <c r="N93" s="26">
        <v>146.7</v>
      </c>
      <c r="O93" s="26">
        <v>2.25</v>
      </c>
      <c r="P93" s="26">
        <v>134.0</v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>
        <v>64.0</v>
      </c>
      <c r="BB93" s="26">
        <v>107.3</v>
      </c>
      <c r="BC93" s="26">
        <v>106.5</v>
      </c>
      <c r="BD93" s="26">
        <v>108.0</v>
      </c>
      <c r="BE93" s="26">
        <v>-2.04</v>
      </c>
      <c r="BF93" s="26">
        <v>69.0</v>
      </c>
      <c r="BG93" s="26"/>
      <c r="BH93" s="26"/>
      <c r="BI93" s="26"/>
      <c r="BJ93" s="26"/>
    </row>
    <row r="94" ht="15.75" customHeight="1">
      <c r="A94" s="25"/>
      <c r="B94" s="26"/>
      <c r="C94" s="26">
        <v>65.0</v>
      </c>
      <c r="D94" s="26">
        <v>141.1</v>
      </c>
      <c r="E94" s="26">
        <v>140.1</v>
      </c>
      <c r="F94" s="26">
        <v>142.2</v>
      </c>
      <c r="G94" s="26">
        <v>0.17</v>
      </c>
      <c r="H94" s="26">
        <v>103.0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>
        <v>65.0</v>
      </c>
      <c r="BB94" s="26">
        <v>107.4</v>
      </c>
      <c r="BC94" s="26">
        <v>106.7</v>
      </c>
      <c r="BD94" s="26">
        <v>108.1</v>
      </c>
      <c r="BE94" s="26">
        <v>-1.98</v>
      </c>
      <c r="BF94" s="26">
        <v>70.0</v>
      </c>
      <c r="BG94" s="26"/>
      <c r="BH94" s="26"/>
      <c r="BI94" s="26"/>
      <c r="BJ94" s="26"/>
    </row>
    <row r="95" ht="15.75" customHeight="1">
      <c r="A95" s="25"/>
      <c r="B95" s="26"/>
      <c r="C95" s="26">
        <v>66.0</v>
      </c>
      <c r="D95" s="26">
        <v>141.6</v>
      </c>
      <c r="E95" s="26">
        <v>140.3</v>
      </c>
      <c r="F95" s="26">
        <v>142.9</v>
      </c>
      <c r="G95" s="26">
        <v>0.25</v>
      </c>
      <c r="H95" s="26">
        <v>104.0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>
        <v>66.0</v>
      </c>
      <c r="BB95" s="26">
        <v>107.6</v>
      </c>
      <c r="BC95" s="26">
        <v>106.9</v>
      </c>
      <c r="BD95" s="26">
        <v>108.3</v>
      </c>
      <c r="BE95" s="26">
        <v>-1.93</v>
      </c>
      <c r="BF95" s="26">
        <v>71.0</v>
      </c>
      <c r="BG95" s="26"/>
      <c r="BH95" s="26"/>
      <c r="BI95" s="26"/>
      <c r="BJ95" s="26"/>
    </row>
    <row r="96" ht="15.75" customHeight="1">
      <c r="A96" s="25"/>
      <c r="B96" s="26"/>
      <c r="C96" s="26">
        <v>67.0</v>
      </c>
      <c r="D96" s="26">
        <v>142.5</v>
      </c>
      <c r="E96" s="26">
        <v>140.8</v>
      </c>
      <c r="F96" s="26">
        <v>144.3</v>
      </c>
      <c r="G96" s="26">
        <v>0.39</v>
      </c>
      <c r="H96" s="26">
        <v>106.0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>
        <v>67.0</v>
      </c>
      <c r="BB96" s="26">
        <v>107.8</v>
      </c>
      <c r="BC96" s="26">
        <v>107.1</v>
      </c>
      <c r="BD96" s="26">
        <v>108.5</v>
      </c>
      <c r="BE96" s="26">
        <v>-1.87</v>
      </c>
      <c r="BF96" s="26">
        <v>72.0</v>
      </c>
      <c r="BG96" s="26"/>
      <c r="BH96" s="26"/>
      <c r="BI96" s="26"/>
      <c r="BJ96" s="26"/>
    </row>
    <row r="97" ht="15.75" customHeight="1">
      <c r="A97" s="25"/>
      <c r="B97" s="26"/>
      <c r="C97" s="26">
        <v>68.0</v>
      </c>
      <c r="D97" s="26">
        <v>143.5</v>
      </c>
      <c r="E97" s="26">
        <v>142.0</v>
      </c>
      <c r="F97" s="26">
        <v>145.0</v>
      </c>
      <c r="G97" s="26">
        <v>0.53</v>
      </c>
      <c r="H97" s="26">
        <v>108.0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>
        <v>68.0</v>
      </c>
      <c r="BB97" s="26">
        <v>108.0</v>
      </c>
      <c r="BC97" s="26">
        <v>107.3</v>
      </c>
      <c r="BD97" s="26">
        <v>108.7</v>
      </c>
      <c r="BE97" s="26">
        <v>-1.81</v>
      </c>
      <c r="BF97" s="26">
        <v>73.0</v>
      </c>
      <c r="BG97" s="26"/>
      <c r="BH97" s="26"/>
      <c r="BI97" s="26"/>
      <c r="BJ97" s="26"/>
    </row>
    <row r="98" ht="15.75" customHeight="1">
      <c r="A98" s="25"/>
      <c r="B98" s="26"/>
      <c r="C98" s="26">
        <v>69.0</v>
      </c>
      <c r="D98" s="26">
        <v>144.3</v>
      </c>
      <c r="E98" s="26">
        <v>142.7</v>
      </c>
      <c r="F98" s="26">
        <v>146.0</v>
      </c>
      <c r="G98" s="26">
        <v>0.66</v>
      </c>
      <c r="H98" s="26">
        <v>110.0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>
        <v>69.0</v>
      </c>
      <c r="BB98" s="26">
        <v>108.2</v>
      </c>
      <c r="BC98" s="26">
        <v>107.5</v>
      </c>
      <c r="BD98" s="26">
        <v>108.9</v>
      </c>
      <c r="BE98" s="26">
        <v>-1.75</v>
      </c>
      <c r="BF98" s="26">
        <v>74.0</v>
      </c>
      <c r="BG98" s="26"/>
      <c r="BH98" s="26"/>
      <c r="BI98" s="26"/>
      <c r="BJ98" s="26"/>
    </row>
    <row r="99" ht="15.75" customHeight="1">
      <c r="A99" s="25"/>
      <c r="B99" s="26"/>
      <c r="C99" s="26">
        <v>70.0</v>
      </c>
      <c r="D99" s="26">
        <v>145.2</v>
      </c>
      <c r="E99" s="26">
        <v>143.8</v>
      </c>
      <c r="F99" s="26">
        <v>146.6</v>
      </c>
      <c r="G99" s="26">
        <v>0.8</v>
      </c>
      <c r="H99" s="26">
        <v>112.0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>
        <v>70.0</v>
      </c>
      <c r="BB99" s="26">
        <v>108.4</v>
      </c>
      <c r="BC99" s="26">
        <v>107.6</v>
      </c>
      <c r="BD99" s="26">
        <v>109.1</v>
      </c>
      <c r="BE99" s="26">
        <v>-1.69</v>
      </c>
      <c r="BF99" s="26">
        <v>75.0</v>
      </c>
      <c r="BG99" s="26"/>
      <c r="BH99" s="26"/>
      <c r="BI99" s="26"/>
      <c r="BJ99" s="26"/>
    </row>
    <row r="100" ht="15.75" customHeight="1">
      <c r="A100" s="25"/>
      <c r="B100" s="26"/>
      <c r="C100" s="26">
        <v>71.0</v>
      </c>
      <c r="D100" s="26">
        <v>145.8</v>
      </c>
      <c r="E100" s="26">
        <v>144.7</v>
      </c>
      <c r="F100" s="26">
        <v>146.9</v>
      </c>
      <c r="G100" s="26">
        <v>0.88</v>
      </c>
      <c r="H100" s="26">
        <v>113.0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>
        <v>71.0</v>
      </c>
      <c r="BB100" s="26">
        <v>108.6</v>
      </c>
      <c r="BC100" s="26">
        <v>107.8</v>
      </c>
      <c r="BD100" s="26">
        <v>109.3</v>
      </c>
      <c r="BE100" s="26">
        <v>-1.63</v>
      </c>
      <c r="BF100" s="26">
        <v>76.0</v>
      </c>
      <c r="BG100" s="26"/>
      <c r="BH100" s="26"/>
      <c r="BI100" s="26"/>
      <c r="BJ100" s="26"/>
    </row>
    <row r="101" ht="15.75" customHeight="1">
      <c r="A101" s="25"/>
      <c r="B101" s="26"/>
      <c r="C101" s="26">
        <v>72.0</v>
      </c>
      <c r="D101" s="26">
        <v>146.2</v>
      </c>
      <c r="E101" s="26">
        <v>145.2</v>
      </c>
      <c r="F101" s="26">
        <v>147.2</v>
      </c>
      <c r="G101" s="26">
        <v>0.95</v>
      </c>
      <c r="H101" s="26">
        <v>114.0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>
        <v>72.0</v>
      </c>
      <c r="BB101" s="26">
        <v>108.8</v>
      </c>
      <c r="BC101" s="26">
        <v>108.0</v>
      </c>
      <c r="BD101" s="26">
        <v>109.6</v>
      </c>
      <c r="BE101" s="26">
        <v>-1.56</v>
      </c>
      <c r="BF101" s="26">
        <v>77.0</v>
      </c>
      <c r="BG101" s="26"/>
      <c r="BH101" s="26"/>
      <c r="BI101" s="26"/>
      <c r="BJ101" s="26"/>
    </row>
    <row r="102" ht="15.75" customHeight="1">
      <c r="A102" s="25"/>
      <c r="B102" s="26"/>
      <c r="C102" s="26">
        <v>73.0</v>
      </c>
      <c r="D102" s="26">
        <v>146.6</v>
      </c>
      <c r="E102" s="26">
        <v>145.6</v>
      </c>
      <c r="F102" s="26">
        <v>147.7</v>
      </c>
      <c r="G102" s="26">
        <v>1.01</v>
      </c>
      <c r="H102" s="26">
        <v>115.0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>
        <v>73.0</v>
      </c>
      <c r="BB102" s="26">
        <v>109.1</v>
      </c>
      <c r="BC102" s="26">
        <v>108.2</v>
      </c>
      <c r="BD102" s="26">
        <v>109.9</v>
      </c>
      <c r="BE102" s="26">
        <v>-1.49</v>
      </c>
      <c r="BF102" s="26">
        <v>78.0</v>
      </c>
      <c r="BG102" s="26"/>
      <c r="BH102" s="26"/>
      <c r="BI102" s="26"/>
      <c r="BJ102" s="26"/>
    </row>
    <row r="103" ht="15.75" customHeight="1">
      <c r="A103" s="25"/>
      <c r="B103" s="26"/>
      <c r="C103" s="26">
        <v>74.0</v>
      </c>
      <c r="D103" s="26">
        <v>147.1</v>
      </c>
      <c r="E103" s="26">
        <v>145.9</v>
      </c>
      <c r="F103" s="26">
        <v>148.2</v>
      </c>
      <c r="G103" s="26">
        <v>1.08</v>
      </c>
      <c r="H103" s="26">
        <v>116.0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>
        <v>74.0</v>
      </c>
      <c r="BB103" s="26">
        <v>109.3</v>
      </c>
      <c r="BC103" s="26">
        <v>108.5</v>
      </c>
      <c r="BD103" s="26">
        <v>110.1</v>
      </c>
      <c r="BE103" s="26">
        <v>-1.41</v>
      </c>
      <c r="BF103" s="26">
        <v>79.0</v>
      </c>
      <c r="BG103" s="26"/>
      <c r="BH103" s="26"/>
      <c r="BI103" s="26"/>
      <c r="BJ103" s="26"/>
    </row>
    <row r="104" ht="15.75" customHeight="1">
      <c r="A104" s="25"/>
      <c r="B104" s="26"/>
      <c r="C104" s="26">
        <v>75.0</v>
      </c>
      <c r="D104" s="26">
        <v>147.7</v>
      </c>
      <c r="E104" s="26">
        <v>146.2</v>
      </c>
      <c r="F104" s="26">
        <v>149.1</v>
      </c>
      <c r="G104" s="26">
        <v>1.17</v>
      </c>
      <c r="H104" s="26">
        <v>118.0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>
        <v>75.0</v>
      </c>
      <c r="BB104" s="26">
        <v>109.6</v>
      </c>
      <c r="BC104" s="26">
        <v>108.7</v>
      </c>
      <c r="BD104" s="26">
        <v>110.4</v>
      </c>
      <c r="BE104" s="26">
        <v>-1.33</v>
      </c>
      <c r="BF104" s="26">
        <v>80.0</v>
      </c>
      <c r="BG104" s="26"/>
      <c r="BH104" s="26"/>
      <c r="BI104" s="26"/>
      <c r="BJ104" s="26"/>
    </row>
    <row r="105" ht="15.75" customHeight="1">
      <c r="A105" s="25"/>
      <c r="B105" s="26"/>
      <c r="C105" s="26">
        <v>76.0</v>
      </c>
      <c r="D105" s="26">
        <v>148.7</v>
      </c>
      <c r="E105" s="26">
        <v>146.8</v>
      </c>
      <c r="F105" s="26">
        <v>150.7</v>
      </c>
      <c r="G105" s="26">
        <v>1.34</v>
      </c>
      <c r="H105" s="26">
        <v>120.0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>
        <v>76.0</v>
      </c>
      <c r="BB105" s="26">
        <v>109.8</v>
      </c>
      <c r="BC105" s="26">
        <v>109.0</v>
      </c>
      <c r="BD105" s="26">
        <v>110.6</v>
      </c>
      <c r="BE105" s="26">
        <v>-1.25</v>
      </c>
      <c r="BF105" s="26">
        <v>81.0</v>
      </c>
      <c r="BG105" s="26"/>
      <c r="BH105" s="26"/>
      <c r="BI105" s="26"/>
      <c r="BJ105" s="26"/>
    </row>
    <row r="106" ht="15.75" customHeight="1">
      <c r="A106" s="25"/>
      <c r="B106" s="26"/>
      <c r="C106" s="26">
        <v>77.0</v>
      </c>
      <c r="D106" s="26">
        <v>150.3</v>
      </c>
      <c r="E106" s="26">
        <v>148.1</v>
      </c>
      <c r="F106" s="26">
        <v>152.4</v>
      </c>
      <c r="G106" s="26">
        <v>1.57</v>
      </c>
      <c r="H106" s="26">
        <v>124.0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>
        <v>77.0</v>
      </c>
      <c r="BB106" s="26">
        <v>110.1</v>
      </c>
      <c r="BC106" s="26">
        <v>109.3</v>
      </c>
      <c r="BD106" s="26">
        <v>110.9</v>
      </c>
      <c r="BE106" s="26">
        <v>-1.17</v>
      </c>
      <c r="BF106" s="26">
        <v>82.0</v>
      </c>
      <c r="BG106" s="26"/>
      <c r="BH106" s="26"/>
      <c r="BI106" s="26"/>
      <c r="BJ106" s="26"/>
    </row>
    <row r="107" ht="15.75" customHeight="1">
      <c r="A107" s="25"/>
      <c r="B107" s="26"/>
      <c r="C107" s="26">
        <v>78.0</v>
      </c>
      <c r="D107" s="26">
        <v>152.1</v>
      </c>
      <c r="E107" s="26">
        <v>150.0</v>
      </c>
      <c r="F107" s="26">
        <v>154.1</v>
      </c>
      <c r="G107" s="26">
        <v>1.85</v>
      </c>
      <c r="H107" s="26">
        <v>128.0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>
        <v>78.0</v>
      </c>
      <c r="BB107" s="26">
        <v>110.3</v>
      </c>
      <c r="BC107" s="26">
        <v>109.5</v>
      </c>
      <c r="BD107" s="26">
        <v>111.1</v>
      </c>
      <c r="BE107" s="26">
        <v>-1.1</v>
      </c>
      <c r="BF107" s="26">
        <v>84.0</v>
      </c>
      <c r="BG107" s="26"/>
      <c r="BH107" s="26"/>
      <c r="BI107" s="26"/>
      <c r="BJ107" s="26"/>
    </row>
    <row r="108" ht="15.75" customHeight="1">
      <c r="A108" s="25"/>
      <c r="B108" s="26"/>
      <c r="C108" s="26">
        <v>79.0</v>
      </c>
      <c r="D108" s="26">
        <v>153.3</v>
      </c>
      <c r="E108" s="26">
        <v>151.6</v>
      </c>
      <c r="F108" s="26">
        <v>155.0</v>
      </c>
      <c r="G108" s="26">
        <v>2.03</v>
      </c>
      <c r="H108" s="26">
        <v>130.0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>
        <v>79.0</v>
      </c>
      <c r="BB108" s="26">
        <v>110.5</v>
      </c>
      <c r="BC108" s="26">
        <v>109.8</v>
      </c>
      <c r="BD108" s="26">
        <v>111.3</v>
      </c>
      <c r="BE108" s="26">
        <v>-1.03</v>
      </c>
      <c r="BF108" s="26">
        <v>85.0</v>
      </c>
      <c r="BG108" s="26"/>
      <c r="BH108" s="26"/>
      <c r="BI108" s="26"/>
      <c r="BJ108" s="26"/>
    </row>
    <row r="109" ht="15.75" customHeight="1">
      <c r="A109" s="25"/>
      <c r="B109" s="26"/>
      <c r="C109" s="26">
        <v>80.0</v>
      </c>
      <c r="D109" s="26">
        <v>154.3</v>
      </c>
      <c r="E109" s="26">
        <v>151.7</v>
      </c>
      <c r="F109" s="26">
        <v>156.9</v>
      </c>
      <c r="G109" s="26">
        <v>2.19</v>
      </c>
      <c r="H109" s="26">
        <v>133.0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>
        <v>80.0</v>
      </c>
      <c r="BB109" s="26">
        <v>110.7</v>
      </c>
      <c r="BC109" s="26">
        <v>110.0</v>
      </c>
      <c r="BD109" s="26">
        <v>111.5</v>
      </c>
      <c r="BE109" s="26">
        <v>-0.96</v>
      </c>
      <c r="BF109" s="26">
        <v>86.0</v>
      </c>
      <c r="BG109" s="26"/>
      <c r="BH109" s="26"/>
      <c r="BI109" s="26"/>
      <c r="BJ109" s="26"/>
    </row>
    <row r="110" ht="15.75" customHeight="1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>
        <v>81.0</v>
      </c>
      <c r="BB110" s="26">
        <v>110.9</v>
      </c>
      <c r="BC110" s="26">
        <v>110.2</v>
      </c>
      <c r="BD110" s="26">
        <v>111.7</v>
      </c>
      <c r="BE110" s="26">
        <v>-0.9</v>
      </c>
      <c r="BF110" s="26">
        <v>87.0</v>
      </c>
      <c r="BG110" s="26"/>
      <c r="BH110" s="26"/>
      <c r="BI110" s="26"/>
      <c r="BJ110" s="26"/>
    </row>
    <row r="111" ht="15.75" customHeight="1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>
        <v>82.0</v>
      </c>
      <c r="BB111" s="26">
        <v>111.1</v>
      </c>
      <c r="BC111" s="26">
        <v>110.4</v>
      </c>
      <c r="BD111" s="26">
        <v>111.9</v>
      </c>
      <c r="BE111" s="26">
        <v>-0.84</v>
      </c>
      <c r="BF111" s="26">
        <v>87.0</v>
      </c>
      <c r="BG111" s="26"/>
      <c r="BH111" s="26"/>
      <c r="BI111" s="26"/>
      <c r="BJ111" s="26"/>
    </row>
    <row r="112" ht="15.75" customHeight="1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>
        <v>83.0</v>
      </c>
      <c r="BB112" s="26">
        <v>111.3</v>
      </c>
      <c r="BC112" s="26">
        <v>110.6</v>
      </c>
      <c r="BD112" s="26">
        <v>112.1</v>
      </c>
      <c r="BE112" s="26">
        <v>-0.78</v>
      </c>
      <c r="BF112" s="26">
        <v>88.0</v>
      </c>
      <c r="BG112" s="26"/>
      <c r="BH112" s="26"/>
      <c r="BI112" s="26"/>
      <c r="BJ112" s="26"/>
    </row>
    <row r="113" ht="15.75" customHeight="1">
      <c r="A113" s="25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>
        <v>84.0</v>
      </c>
      <c r="BB113" s="26">
        <v>111.5</v>
      </c>
      <c r="BC113" s="26">
        <v>110.8</v>
      </c>
      <c r="BD113" s="26">
        <v>112.3</v>
      </c>
      <c r="BE113" s="26">
        <v>-0.71</v>
      </c>
      <c r="BF113" s="26">
        <v>89.0</v>
      </c>
      <c r="BG113" s="26"/>
      <c r="BH113" s="26"/>
      <c r="BI113" s="26"/>
      <c r="BJ113" s="26"/>
    </row>
    <row r="114" ht="15.75" customHeight="1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>
        <v>85.0</v>
      </c>
      <c r="BB114" s="26">
        <v>111.8</v>
      </c>
      <c r="BC114" s="26">
        <v>111.0</v>
      </c>
      <c r="BD114" s="26">
        <v>112.5</v>
      </c>
      <c r="BE114" s="26">
        <v>-0.65</v>
      </c>
      <c r="BF114" s="26">
        <v>90.0</v>
      </c>
      <c r="BG114" s="26"/>
      <c r="BH114" s="26"/>
      <c r="BI114" s="26"/>
      <c r="BJ114" s="26"/>
    </row>
    <row r="115" ht="15.75" customHeight="1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>
        <v>86.0</v>
      </c>
      <c r="BB115" s="26">
        <v>112.0</v>
      </c>
      <c r="BC115" s="26">
        <v>111.2</v>
      </c>
      <c r="BD115" s="26">
        <v>112.8</v>
      </c>
      <c r="BE115" s="26">
        <v>-0.58</v>
      </c>
      <c r="BF115" s="26">
        <v>91.0</v>
      </c>
      <c r="BG115" s="26"/>
      <c r="BH115" s="26"/>
      <c r="BI115" s="26"/>
      <c r="BJ115" s="26"/>
    </row>
    <row r="116" ht="15.75" customHeight="1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>
        <v>87.0</v>
      </c>
      <c r="BB116" s="26">
        <v>112.2</v>
      </c>
      <c r="BC116" s="26">
        <v>111.4</v>
      </c>
      <c r="BD116" s="26">
        <v>113.1</v>
      </c>
      <c r="BE116" s="26">
        <v>-0.5</v>
      </c>
      <c r="BF116" s="26">
        <v>93.0</v>
      </c>
      <c r="BG116" s="26"/>
      <c r="BH116" s="26"/>
      <c r="BI116" s="26"/>
      <c r="BJ116" s="26"/>
    </row>
    <row r="117" ht="15.75" customHeight="1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>
        <v>88.0</v>
      </c>
      <c r="BB117" s="26">
        <v>112.5</v>
      </c>
      <c r="BC117" s="26">
        <v>111.6</v>
      </c>
      <c r="BD117" s="26">
        <v>113.4</v>
      </c>
      <c r="BE117" s="26">
        <v>-0.41</v>
      </c>
      <c r="BF117" s="26">
        <v>94.0</v>
      </c>
      <c r="BG117" s="26"/>
      <c r="BH117" s="26"/>
      <c r="BI117" s="26"/>
      <c r="BJ117" s="26"/>
    </row>
    <row r="118" ht="15.75" customHeight="1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>
        <v>89.0</v>
      </c>
      <c r="BB118" s="26">
        <v>112.8</v>
      </c>
      <c r="BC118" s="26">
        <v>111.9</v>
      </c>
      <c r="BD118" s="26">
        <v>113.6</v>
      </c>
      <c r="BE118" s="26">
        <v>-0.33</v>
      </c>
      <c r="BF118" s="26">
        <v>95.0</v>
      </c>
      <c r="BG118" s="26"/>
      <c r="BH118" s="26"/>
      <c r="BI118" s="26"/>
      <c r="BJ118" s="26"/>
    </row>
    <row r="119" ht="15.75" customHeight="1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>
        <v>90.0</v>
      </c>
      <c r="BB119" s="26">
        <v>113.1</v>
      </c>
      <c r="BC119" s="26">
        <v>112.2</v>
      </c>
      <c r="BD119" s="26">
        <v>113.9</v>
      </c>
      <c r="BE119" s="26">
        <v>-0.25</v>
      </c>
      <c r="BF119" s="26">
        <v>96.0</v>
      </c>
      <c r="BG119" s="26"/>
      <c r="BH119" s="26"/>
      <c r="BI119" s="26"/>
      <c r="BJ119" s="26"/>
    </row>
    <row r="120" ht="15.75" customHeight="1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>
        <v>91.0</v>
      </c>
      <c r="BB120" s="26">
        <v>113.3</v>
      </c>
      <c r="BC120" s="26">
        <v>112.5</v>
      </c>
      <c r="BD120" s="26">
        <v>114.2</v>
      </c>
      <c r="BE120" s="26">
        <v>-0.17</v>
      </c>
      <c r="BF120" s="26">
        <v>98.0</v>
      </c>
      <c r="BG120" s="26"/>
      <c r="BH120" s="26"/>
      <c r="BI120" s="26"/>
      <c r="BJ120" s="26"/>
    </row>
    <row r="121" ht="15.75" customHeight="1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>
        <v>92.0</v>
      </c>
      <c r="BB121" s="26">
        <v>113.6</v>
      </c>
      <c r="BC121" s="26">
        <v>112.7</v>
      </c>
      <c r="BD121" s="26">
        <v>114.4</v>
      </c>
      <c r="BE121" s="26">
        <v>-0.08</v>
      </c>
      <c r="BF121" s="26">
        <v>99.0</v>
      </c>
      <c r="BG121" s="26"/>
      <c r="BH121" s="26"/>
      <c r="BI121" s="26"/>
      <c r="BJ121" s="26"/>
    </row>
    <row r="122" ht="15.75" customHeight="1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>
        <v>93.0</v>
      </c>
      <c r="BB122" s="26">
        <v>113.8</v>
      </c>
      <c r="BC122" s="26">
        <v>113.0</v>
      </c>
      <c r="BD122" s="26">
        <v>114.7</v>
      </c>
      <c r="BE122" s="26">
        <v>0.0</v>
      </c>
      <c r="BF122" s="26">
        <v>100.0</v>
      </c>
      <c r="BG122" s="26"/>
      <c r="BH122" s="26"/>
      <c r="BI122" s="26"/>
      <c r="BJ122" s="26"/>
    </row>
    <row r="123" ht="15.75" customHeight="1"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>
        <v>94.0</v>
      </c>
      <c r="BB123" s="26">
        <v>114.1</v>
      </c>
      <c r="BC123" s="26">
        <v>113.2</v>
      </c>
      <c r="BD123" s="26">
        <v>115.0</v>
      </c>
      <c r="BE123" s="26">
        <v>0.08</v>
      </c>
      <c r="BF123" s="26">
        <v>101.0</v>
      </c>
      <c r="BG123" s="26"/>
      <c r="BH123" s="26"/>
      <c r="BI123" s="26"/>
      <c r="BJ123" s="26"/>
    </row>
    <row r="124" ht="15.75" customHeight="1"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>
        <v>95.0</v>
      </c>
      <c r="BB124" s="26">
        <v>114.4</v>
      </c>
      <c r="BC124" s="26">
        <v>113.5</v>
      </c>
      <c r="BD124" s="26">
        <v>115.3</v>
      </c>
      <c r="BE124" s="26">
        <v>0.17</v>
      </c>
      <c r="BF124" s="26">
        <v>103.0</v>
      </c>
      <c r="BG124" s="26"/>
      <c r="BH124" s="26"/>
      <c r="BI124" s="26"/>
      <c r="BJ124" s="26"/>
    </row>
    <row r="125" ht="15.75" customHeight="1"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>
        <v>96.0</v>
      </c>
      <c r="BB125" s="26">
        <v>114.7</v>
      </c>
      <c r="BC125" s="26">
        <v>113.8</v>
      </c>
      <c r="BD125" s="26">
        <v>115.6</v>
      </c>
      <c r="BE125" s="26">
        <v>0.27</v>
      </c>
      <c r="BF125" s="26">
        <v>104.0</v>
      </c>
      <c r="BG125" s="26"/>
      <c r="BH125" s="26"/>
      <c r="BI125" s="26"/>
      <c r="BJ125" s="26"/>
    </row>
    <row r="126" ht="15.75" customHeight="1"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>
        <v>97.0</v>
      </c>
      <c r="BB126" s="26">
        <v>115.0</v>
      </c>
      <c r="BC126" s="26">
        <v>114.1</v>
      </c>
      <c r="BD126" s="26">
        <v>115.9</v>
      </c>
      <c r="BE126" s="26">
        <v>0.36</v>
      </c>
      <c r="BF126" s="26">
        <v>105.0</v>
      </c>
      <c r="BG126" s="26"/>
      <c r="BH126" s="26"/>
      <c r="BI126" s="26"/>
      <c r="BJ126" s="26"/>
    </row>
    <row r="127" ht="15.75" customHeight="1"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>
        <v>98.0</v>
      </c>
      <c r="BB127" s="26">
        <v>115.3</v>
      </c>
      <c r="BC127" s="26">
        <v>114.4</v>
      </c>
      <c r="BD127" s="26">
        <v>116.2</v>
      </c>
      <c r="BE127" s="26">
        <v>0.45</v>
      </c>
      <c r="BF127" s="26">
        <v>107.0</v>
      </c>
      <c r="BG127" s="26"/>
      <c r="BH127" s="26"/>
      <c r="BI127" s="26"/>
      <c r="BJ127" s="26"/>
    </row>
    <row r="128" ht="15.75" customHeight="1"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>
        <v>99.0</v>
      </c>
      <c r="BB128" s="26">
        <v>115.6</v>
      </c>
      <c r="BC128" s="26">
        <v>114.7</v>
      </c>
      <c r="BD128" s="26">
        <v>116.5</v>
      </c>
      <c r="BE128" s="26">
        <v>0.54</v>
      </c>
      <c r="BF128" s="26">
        <v>108.0</v>
      </c>
      <c r="BG128" s="26"/>
      <c r="BH128" s="26"/>
      <c r="BI128" s="26"/>
      <c r="BJ128" s="26"/>
    </row>
    <row r="129" ht="15.75" customHeight="1"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>
        <v>100.0</v>
      </c>
      <c r="BB129" s="26">
        <v>115.9</v>
      </c>
      <c r="BC129" s="26">
        <v>115.0</v>
      </c>
      <c r="BD129" s="26">
        <v>116.7</v>
      </c>
      <c r="BE129" s="26">
        <v>0.62</v>
      </c>
      <c r="BF129" s="26">
        <v>109.0</v>
      </c>
      <c r="BG129" s="26"/>
      <c r="BH129" s="26"/>
      <c r="BI129" s="26"/>
      <c r="BJ129" s="26"/>
    </row>
    <row r="130" ht="15.75" customHeight="1"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>
        <v>101.0</v>
      </c>
      <c r="BB130" s="26">
        <v>116.1</v>
      </c>
      <c r="BC130" s="26">
        <v>115.3</v>
      </c>
      <c r="BD130" s="26">
        <v>117.0</v>
      </c>
      <c r="BE130" s="26">
        <v>0.71</v>
      </c>
      <c r="BF130" s="26">
        <v>111.0</v>
      </c>
      <c r="BG130" s="26"/>
      <c r="BH130" s="26"/>
      <c r="BI130" s="26"/>
      <c r="BJ130" s="26"/>
    </row>
    <row r="131" ht="15.75" customHeight="1"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>
        <v>102.0</v>
      </c>
      <c r="BB131" s="26">
        <v>116.4</v>
      </c>
      <c r="BC131" s="26">
        <v>115.6</v>
      </c>
      <c r="BD131" s="26">
        <v>117.3</v>
      </c>
      <c r="BE131" s="26">
        <v>0.8</v>
      </c>
      <c r="BF131" s="26">
        <v>112.0</v>
      </c>
      <c r="BG131" s="26"/>
      <c r="BH131" s="26"/>
      <c r="BI131" s="26"/>
      <c r="BJ131" s="26"/>
    </row>
    <row r="132" ht="15.75" customHeight="1"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>
        <v>103.0</v>
      </c>
      <c r="BB132" s="26">
        <v>116.7</v>
      </c>
      <c r="BC132" s="26">
        <v>115.8</v>
      </c>
      <c r="BD132" s="26">
        <v>117.5</v>
      </c>
      <c r="BE132" s="26">
        <v>0.88</v>
      </c>
      <c r="BF132" s="26">
        <v>113.0</v>
      </c>
      <c r="BG132" s="26"/>
      <c r="BH132" s="26"/>
      <c r="BI132" s="26"/>
      <c r="BJ132" s="26"/>
    </row>
    <row r="133" ht="15.75" customHeight="1"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>
        <v>104.0</v>
      </c>
      <c r="BB133" s="26">
        <v>116.9</v>
      </c>
      <c r="BC133" s="26">
        <v>116.1</v>
      </c>
      <c r="BD133" s="26">
        <v>117.8</v>
      </c>
      <c r="BE133" s="26">
        <v>0.96</v>
      </c>
      <c r="BF133" s="26">
        <v>114.0</v>
      </c>
      <c r="BG133" s="26"/>
      <c r="BH133" s="26"/>
      <c r="BI133" s="26"/>
      <c r="BJ133" s="26"/>
    </row>
    <row r="134" ht="15.75" customHeight="1"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>
        <v>105.0</v>
      </c>
      <c r="BB134" s="26">
        <v>117.2</v>
      </c>
      <c r="BC134" s="26">
        <v>116.4</v>
      </c>
      <c r="BD134" s="26">
        <v>118.0</v>
      </c>
      <c r="BE134" s="26">
        <v>1.04</v>
      </c>
      <c r="BF134" s="26">
        <v>116.0</v>
      </c>
      <c r="BG134" s="26"/>
      <c r="BH134" s="26"/>
      <c r="BI134" s="26"/>
      <c r="BJ134" s="26"/>
    </row>
    <row r="135" ht="15.75" customHeight="1"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>
        <v>106.0</v>
      </c>
      <c r="BB135" s="26">
        <v>117.5</v>
      </c>
      <c r="BC135" s="26">
        <v>116.6</v>
      </c>
      <c r="BD135" s="26">
        <v>118.3</v>
      </c>
      <c r="BE135" s="26">
        <v>1.12</v>
      </c>
      <c r="BF135" s="26">
        <v>117.0</v>
      </c>
      <c r="BG135" s="26"/>
      <c r="BH135" s="26"/>
      <c r="BI135" s="26"/>
      <c r="BJ135" s="26"/>
    </row>
    <row r="136" ht="15.75" customHeight="1"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>
        <v>107.0</v>
      </c>
      <c r="BB136" s="26">
        <v>117.8</v>
      </c>
      <c r="BC136" s="26">
        <v>116.8</v>
      </c>
      <c r="BD136" s="26">
        <v>118.7</v>
      </c>
      <c r="BE136" s="26">
        <v>1.22</v>
      </c>
      <c r="BF136" s="26">
        <v>118.0</v>
      </c>
      <c r="BG136" s="26"/>
      <c r="BH136" s="26"/>
      <c r="BI136" s="26"/>
      <c r="BJ136" s="26"/>
    </row>
    <row r="137" ht="15.75" customHeight="1"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>
        <v>108.0</v>
      </c>
      <c r="BB137" s="26">
        <v>118.2</v>
      </c>
      <c r="BC137" s="26">
        <v>117.0</v>
      </c>
      <c r="BD137" s="26">
        <v>119.3</v>
      </c>
      <c r="BE137" s="26">
        <v>1.34</v>
      </c>
      <c r="BF137" s="26">
        <v>120.0</v>
      </c>
      <c r="BG137" s="26"/>
      <c r="BH137" s="26"/>
      <c r="BI137" s="26"/>
      <c r="BJ137" s="26"/>
    </row>
    <row r="138" ht="15.75" customHeight="1"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>
        <v>109.0</v>
      </c>
      <c r="BB138" s="26">
        <v>118.8</v>
      </c>
      <c r="BC138" s="26">
        <v>117.3</v>
      </c>
      <c r="BD138" s="26">
        <v>120.4</v>
      </c>
      <c r="BE138" s="26">
        <v>1.54</v>
      </c>
      <c r="BF138" s="26">
        <v>123.0</v>
      </c>
      <c r="BG138" s="26"/>
      <c r="BH138" s="26"/>
      <c r="BI138" s="26"/>
      <c r="BJ138" s="26"/>
    </row>
    <row r="139" ht="15.75" customHeight="1"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>
        <v>110.0</v>
      </c>
      <c r="BB139" s="26">
        <v>120.1</v>
      </c>
      <c r="BC139" s="26">
        <v>118.0</v>
      </c>
      <c r="BD139" s="26">
        <v>122.2</v>
      </c>
      <c r="BE139" s="26">
        <v>1.94</v>
      </c>
      <c r="BF139" s="26">
        <v>129.0</v>
      </c>
      <c r="BG139" s="26"/>
      <c r="BH139" s="26"/>
      <c r="BI139" s="26"/>
      <c r="BJ139" s="26"/>
    </row>
    <row r="140" ht="15.75" customHeight="1"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>
        <v>111.0</v>
      </c>
      <c r="BB140" s="26">
        <v>121.9</v>
      </c>
      <c r="BC140" s="26">
        <v>119.5</v>
      </c>
      <c r="BD140" s="26">
        <v>124.2</v>
      </c>
      <c r="BE140" s="26">
        <v>2.49</v>
      </c>
      <c r="BF140" s="26">
        <v>137.0</v>
      </c>
      <c r="BG140" s="26"/>
      <c r="BH140" s="26"/>
      <c r="BI140" s="26"/>
      <c r="BJ140" s="26"/>
    </row>
    <row r="141" ht="15.75" customHeight="1"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>
        <v>112.0</v>
      </c>
      <c r="BB141" s="26">
        <v>123.7</v>
      </c>
      <c r="BC141" s="26">
        <v>120.4</v>
      </c>
      <c r="BD141" s="26">
        <v>127.1</v>
      </c>
      <c r="BE141" s="26">
        <v>3.06</v>
      </c>
      <c r="BF141" s="26">
        <v>146.0</v>
      </c>
      <c r="BG141" s="26"/>
      <c r="BH141" s="26"/>
      <c r="BI141" s="26"/>
      <c r="BJ141" s="26"/>
    </row>
    <row r="142" ht="15.75" customHeight="1"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</row>
    <row r="143" ht="15.75" customHeight="1"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</row>
    <row r="144" ht="15.75" customHeight="1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</row>
    <row r="145" ht="15.75" customHeight="1"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</row>
    <row r="146" ht="15.75" customHeight="1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</row>
    <row r="147" ht="15.75" customHeight="1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</row>
    <row r="148" ht="15.75" customHeight="1"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</row>
    <row r="149" ht="15.75" customHeight="1"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65" width="8.71"/>
  </cols>
  <sheetData>
    <row r="1">
      <c r="A1" s="1" t="s">
        <v>35</v>
      </c>
    </row>
    <row r="2" ht="24.0" customHeight="1"/>
    <row r="3" ht="23.25" customHeight="1">
      <c r="C3" s="3" t="s">
        <v>2</v>
      </c>
      <c r="D3" s="28"/>
      <c r="E3" s="5"/>
    </row>
    <row r="4" ht="30.0" customHeight="1">
      <c r="C4" s="6" t="s">
        <v>3</v>
      </c>
      <c r="D4" s="28"/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29">
        <v>5.0</v>
      </c>
      <c r="E6" s="30">
        <v>6.0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60-65MESES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31" t="s">
        <v>18</v>
      </c>
      <c r="G13" s="32">
        <v>26.0</v>
      </c>
      <c r="H13" s="31">
        <f t="shared" ref="H13:K13" si="1">VLOOKUP(G13,C29:H119,2,0)</f>
        <v>121.9</v>
      </c>
      <c r="I13" s="31">
        <f t="shared" si="1"/>
        <v>120.8</v>
      </c>
      <c r="J13" s="31">
        <f t="shared" si="1"/>
        <v>123.1</v>
      </c>
      <c r="K13" s="31">
        <f t="shared" si="1"/>
        <v>-2.14</v>
      </c>
      <c r="L13" s="31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Atraso signifiticativo</v>
      </c>
      <c r="M13" s="31">
        <f>VLOOKUP(G13,C29:H119,6,0)</f>
        <v>68</v>
      </c>
      <c r="N13" s="31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Inferior</v>
      </c>
    </row>
    <row r="14">
      <c r="F14" s="31" t="s">
        <v>19</v>
      </c>
      <c r="G14" s="32">
        <v>48.0</v>
      </c>
      <c r="H14" s="31">
        <f t="shared" ref="H14:K14" si="2">VLOOKUP(G14,K29:L133,2,0)</f>
        <v>122.9</v>
      </c>
      <c r="I14" s="31">
        <f t="shared" si="2"/>
        <v>122</v>
      </c>
      <c r="J14" s="31">
        <f t="shared" si="2"/>
        <v>123.8</v>
      </c>
      <c r="K14" s="31">
        <f t="shared" si="2"/>
        <v>-0.93</v>
      </c>
      <c r="L14" s="31" t="str">
        <f t="shared" si="3"/>
        <v>Típico</v>
      </c>
      <c r="M14" s="31">
        <f>VLOOKUP(G14,K29:P133,6,0)</f>
        <v>86</v>
      </c>
      <c r="N14" s="31" t="str">
        <f t="shared" si="4"/>
        <v>Médio</v>
      </c>
    </row>
    <row r="15">
      <c r="F15" s="31" t="s">
        <v>20</v>
      </c>
      <c r="G15" s="32">
        <v>17.0</v>
      </c>
      <c r="H15" s="31">
        <f t="shared" ref="H15:K15" si="5">VLOOKUP(G15,R28:W93,2,0)</f>
        <v>123</v>
      </c>
      <c r="I15" s="31">
        <f t="shared" si="5"/>
        <v>121.6</v>
      </c>
      <c r="J15" s="31">
        <f t="shared" si="5"/>
        <v>124.4</v>
      </c>
      <c r="K15" s="31">
        <f t="shared" si="5"/>
        <v>-3.08</v>
      </c>
      <c r="L15" s="31" t="str">
        <f t="shared" si="3"/>
        <v>Atraso signifiticativo</v>
      </c>
      <c r="M15" s="31">
        <f>VLOOKUP(G15,R28:W93,6,0)</f>
        <v>54</v>
      </c>
      <c r="N15" s="31" t="str">
        <f t="shared" si="4"/>
        <v>Muito Inferior</v>
      </c>
    </row>
    <row r="16">
      <c r="F16" s="31" t="s">
        <v>21</v>
      </c>
      <c r="G16" s="32">
        <v>24.0</v>
      </c>
      <c r="H16" s="31">
        <f t="shared" ref="H16:K16" si="6">VLOOKUP(G16,Z29:AE117,2,0)</f>
        <v>156.1</v>
      </c>
      <c r="I16" s="31">
        <f t="shared" si="6"/>
        <v>131.7</v>
      </c>
      <c r="J16" s="31">
        <f t="shared" si="6"/>
        <v>180.4</v>
      </c>
      <c r="K16" s="31">
        <f t="shared" si="6"/>
        <v>1.08</v>
      </c>
      <c r="L16" s="31" t="str">
        <f t="shared" si="3"/>
        <v>Típico</v>
      </c>
      <c r="M16" s="31">
        <f>VLOOKUP(G16,Z29:AE117,6,0)</f>
        <v>116</v>
      </c>
      <c r="N16" s="31" t="str">
        <f t="shared" si="4"/>
        <v>Acima da Média</v>
      </c>
    </row>
    <row r="17">
      <c r="F17" s="31" t="s">
        <v>22</v>
      </c>
      <c r="G17" s="32">
        <v>15.0</v>
      </c>
      <c r="H17" s="31">
        <f t="shared" ref="H17:K17" si="7">VLOOKUP(G17,AI30:AN92,2,0)</f>
        <v>139.3</v>
      </c>
      <c r="I17" s="31">
        <f t="shared" si="7"/>
        <v>138.2</v>
      </c>
      <c r="J17" s="31">
        <f t="shared" si="7"/>
        <v>140.4</v>
      </c>
      <c r="K17" s="31">
        <f t="shared" si="7"/>
        <v>-1.46</v>
      </c>
      <c r="L17" s="31" t="str">
        <f t="shared" si="3"/>
        <v>Alerta para atraso</v>
      </c>
      <c r="M17" s="31">
        <f>VLOOKUP(G17,AI30:AN92,6,0)</f>
        <v>78</v>
      </c>
      <c r="N17" s="31" t="str">
        <f t="shared" si="4"/>
        <v>Abaixo da Média</v>
      </c>
    </row>
    <row r="18">
      <c r="F18" s="31" t="s">
        <v>23</v>
      </c>
      <c r="G18" s="32">
        <v>10.0</v>
      </c>
      <c r="H18" s="31">
        <f t="shared" ref="H18:K18" si="8">VLOOKUP(G18,AS29:AX71,2,0)</f>
        <v>131.6</v>
      </c>
      <c r="I18" s="31">
        <f t="shared" si="8"/>
        <v>130.3</v>
      </c>
      <c r="J18" s="31">
        <f t="shared" si="8"/>
        <v>132.9</v>
      </c>
      <c r="K18" s="31">
        <f t="shared" si="8"/>
        <v>-2.07</v>
      </c>
      <c r="L18" s="31" t="str">
        <f t="shared" si="3"/>
        <v>Atraso signifiticativo</v>
      </c>
      <c r="M18" s="31">
        <f>VLOOKUP(G18,AS29:AX71,6,0)</f>
        <v>69</v>
      </c>
      <c r="N18" s="31" t="str">
        <f t="shared" si="4"/>
        <v>Muito Inferior</v>
      </c>
    </row>
    <row r="19">
      <c r="F19" s="31" t="s">
        <v>24</v>
      </c>
      <c r="G19" s="32">
        <v>57.0</v>
      </c>
      <c r="H19" s="31">
        <f t="shared" ref="H19:K19" si="9">VLOOKUP(G19,BA29:BF149,2,0)</f>
        <v>105.6</v>
      </c>
      <c r="I19" s="31">
        <f t="shared" si="9"/>
        <v>104.8</v>
      </c>
      <c r="J19" s="31">
        <f t="shared" si="9"/>
        <v>106.4</v>
      </c>
      <c r="K19" s="31">
        <f t="shared" si="9"/>
        <v>-2.31</v>
      </c>
      <c r="L19" s="31" t="str">
        <f t="shared" si="3"/>
        <v>Atraso signifiticativo</v>
      </c>
      <c r="M19" s="31">
        <f>VLOOKUP(G19,BA29:BF149,6,0)</f>
        <v>65</v>
      </c>
      <c r="N19" s="31" t="str">
        <f t="shared" si="4"/>
        <v>Muito Inferior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</row>
    <row r="24" ht="15.75" customHeight="1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</row>
    <row r="25" ht="15.75" customHeight="1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</row>
    <row r="26" ht="15.75" customHeight="1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</row>
    <row r="27" ht="15.75" customHeight="1">
      <c r="A27" s="25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7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</row>
    <row r="28" ht="15.75" customHeight="1">
      <c r="A28" s="25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</row>
    <row r="29" ht="15.75" customHeight="1">
      <c r="A29" s="25"/>
      <c r="B29" s="26"/>
      <c r="C29" s="26">
        <v>0.0</v>
      </c>
      <c r="D29" s="26">
        <v>108.2</v>
      </c>
      <c r="E29" s="26">
        <v>106.0</v>
      </c>
      <c r="F29" s="26">
        <v>110.5</v>
      </c>
      <c r="G29" s="26">
        <v>-4.2</v>
      </c>
      <c r="H29" s="26">
        <v>37.0</v>
      </c>
      <c r="I29" s="26"/>
      <c r="J29" s="26"/>
      <c r="K29" s="26">
        <v>0.0</v>
      </c>
      <c r="L29" s="26">
        <v>102.5</v>
      </c>
      <c r="M29" s="26">
        <v>99.2</v>
      </c>
      <c r="N29" s="26">
        <v>105.7</v>
      </c>
      <c r="O29" s="26">
        <v>-4.32</v>
      </c>
      <c r="P29" s="26">
        <v>35.0</v>
      </c>
      <c r="Q29" s="26"/>
      <c r="R29" s="26">
        <v>0.0</v>
      </c>
      <c r="S29" s="26">
        <v>112.3</v>
      </c>
      <c r="T29" s="26">
        <v>109.2</v>
      </c>
      <c r="U29" s="26">
        <v>115.4</v>
      </c>
      <c r="V29" s="26">
        <v>-5.98</v>
      </c>
      <c r="W29" s="26">
        <v>10.0</v>
      </c>
      <c r="X29" s="26"/>
      <c r="Y29" s="26"/>
      <c r="Z29" s="26">
        <v>0.0</v>
      </c>
      <c r="AA29" s="26">
        <v>91.8</v>
      </c>
      <c r="AB29" s="26">
        <v>67.8</v>
      </c>
      <c r="AC29" s="26">
        <v>115.8</v>
      </c>
      <c r="AD29" s="26">
        <v>-6.35</v>
      </c>
      <c r="AE29" s="26">
        <v>5.0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119.7</v>
      </c>
      <c r="AU29" s="26">
        <v>116.2</v>
      </c>
      <c r="AV29" s="26">
        <v>123.3</v>
      </c>
      <c r="AW29" s="26">
        <v>-4.52</v>
      </c>
      <c r="AX29" s="26">
        <v>32.0</v>
      </c>
      <c r="AY29" s="26"/>
      <c r="AZ29" s="26"/>
      <c r="BA29" s="26">
        <v>0.0</v>
      </c>
      <c r="BB29" s="26">
        <v>86.2</v>
      </c>
      <c r="BC29" s="26">
        <v>82.9</v>
      </c>
      <c r="BD29" s="26">
        <v>89.5</v>
      </c>
      <c r="BE29" s="26">
        <v>-8.3</v>
      </c>
      <c r="BF29" s="26">
        <v>-25.0</v>
      </c>
      <c r="BG29" s="26"/>
      <c r="BH29" s="26"/>
      <c r="BI29" s="26"/>
      <c r="BJ29" s="26"/>
      <c r="BK29" s="26"/>
      <c r="BL29" s="26"/>
      <c r="BM29" s="26"/>
    </row>
    <row r="30" ht="15.75" customHeight="1">
      <c r="A30" s="25"/>
      <c r="B30" s="26"/>
      <c r="C30" s="26">
        <v>1.0</v>
      </c>
      <c r="D30" s="26">
        <v>109.0</v>
      </c>
      <c r="E30" s="26">
        <v>107.6</v>
      </c>
      <c r="F30" s="26">
        <v>110.3</v>
      </c>
      <c r="G30" s="26">
        <v>-4.09</v>
      </c>
      <c r="H30" s="26">
        <v>39.0</v>
      </c>
      <c r="I30" s="26"/>
      <c r="J30" s="26"/>
      <c r="K30" s="26">
        <v>1.0</v>
      </c>
      <c r="L30" s="26">
        <v>104.2</v>
      </c>
      <c r="M30" s="26">
        <v>101.9</v>
      </c>
      <c r="N30" s="26">
        <v>106.4</v>
      </c>
      <c r="O30" s="26">
        <v>-4.04</v>
      </c>
      <c r="P30" s="26">
        <v>39.0</v>
      </c>
      <c r="Q30" s="26"/>
      <c r="R30" s="26">
        <v>1.0</v>
      </c>
      <c r="S30" s="26">
        <v>113.7</v>
      </c>
      <c r="T30" s="26">
        <v>111.9</v>
      </c>
      <c r="U30" s="26">
        <v>115.5</v>
      </c>
      <c r="V30" s="26">
        <v>-5.61</v>
      </c>
      <c r="W30" s="26">
        <v>16.0</v>
      </c>
      <c r="X30" s="26"/>
      <c r="Y30" s="26"/>
      <c r="Z30" s="26">
        <v>1.0</v>
      </c>
      <c r="AA30" s="26">
        <v>101.3</v>
      </c>
      <c r="AB30" s="26">
        <v>88.3</v>
      </c>
      <c r="AC30" s="26">
        <v>114.4</v>
      </c>
      <c r="AD30" s="26">
        <v>-5.25</v>
      </c>
      <c r="AE30" s="26">
        <v>21.0</v>
      </c>
      <c r="AF30" s="26"/>
      <c r="AG30" s="26"/>
      <c r="AH30" s="26"/>
      <c r="AI30" s="26">
        <v>0.0</v>
      </c>
      <c r="AJ30" s="26">
        <v>122.4</v>
      </c>
      <c r="AK30" s="26">
        <v>118.8</v>
      </c>
      <c r="AL30" s="26">
        <v>126.0</v>
      </c>
      <c r="AM30" s="26">
        <v>-4.11</v>
      </c>
      <c r="AN30" s="26">
        <v>38.0</v>
      </c>
      <c r="AO30" s="26"/>
      <c r="AP30" s="26"/>
      <c r="AQ30" s="26"/>
      <c r="AR30" s="26"/>
      <c r="AS30" s="26">
        <v>1.0</v>
      </c>
      <c r="AT30" s="26">
        <v>122.4</v>
      </c>
      <c r="AU30" s="26">
        <v>119.1</v>
      </c>
      <c r="AV30" s="26">
        <v>125.7</v>
      </c>
      <c r="AW30" s="26">
        <v>-3.96</v>
      </c>
      <c r="AX30" s="26">
        <v>41.0</v>
      </c>
      <c r="AY30" s="26"/>
      <c r="AZ30" s="26"/>
      <c r="BA30" s="26">
        <v>1.0</v>
      </c>
      <c r="BB30" s="26">
        <v>88.0</v>
      </c>
      <c r="BC30" s="26">
        <v>85.7</v>
      </c>
      <c r="BD30" s="26">
        <v>90.2</v>
      </c>
      <c r="BE30" s="26">
        <v>-7.77</v>
      </c>
      <c r="BF30" s="26">
        <v>-17.0</v>
      </c>
      <c r="BG30" s="26"/>
      <c r="BH30" s="26"/>
      <c r="BI30" s="26"/>
      <c r="BJ30" s="26"/>
      <c r="BK30" s="26"/>
      <c r="BL30" s="26"/>
      <c r="BM30" s="26"/>
    </row>
    <row r="31" ht="15.75" customHeight="1">
      <c r="A31" s="25"/>
      <c r="B31" s="26"/>
      <c r="C31" s="26">
        <v>2.0</v>
      </c>
      <c r="D31" s="26">
        <v>109.5</v>
      </c>
      <c r="E31" s="26">
        <v>108.4</v>
      </c>
      <c r="F31" s="26">
        <v>110.6</v>
      </c>
      <c r="G31" s="26">
        <v>-4.0</v>
      </c>
      <c r="H31" s="26">
        <v>40.0</v>
      </c>
      <c r="I31" s="26"/>
      <c r="J31" s="26"/>
      <c r="K31" s="26">
        <v>2.0</v>
      </c>
      <c r="L31" s="26">
        <v>106.0</v>
      </c>
      <c r="M31" s="26">
        <v>103.7</v>
      </c>
      <c r="N31" s="26">
        <v>108.3</v>
      </c>
      <c r="O31" s="26">
        <v>-3.73</v>
      </c>
      <c r="P31" s="26">
        <v>44.0</v>
      </c>
      <c r="Q31" s="26"/>
      <c r="R31" s="26">
        <v>2.0</v>
      </c>
      <c r="S31" s="26">
        <v>114.6</v>
      </c>
      <c r="T31" s="26">
        <v>113.2</v>
      </c>
      <c r="U31" s="26">
        <v>116.0</v>
      </c>
      <c r="V31" s="26">
        <v>-5.36</v>
      </c>
      <c r="W31" s="26">
        <v>20.0</v>
      </c>
      <c r="X31" s="26"/>
      <c r="Y31" s="26"/>
      <c r="Z31" s="26">
        <v>2.0</v>
      </c>
      <c r="AA31" s="26">
        <v>106.7</v>
      </c>
      <c r="AB31" s="26">
        <v>97.5</v>
      </c>
      <c r="AC31" s="26">
        <v>115.9</v>
      </c>
      <c r="AD31" s="26">
        <v>-4.63</v>
      </c>
      <c r="AE31" s="26">
        <v>31.0</v>
      </c>
      <c r="AF31" s="26"/>
      <c r="AG31" s="26"/>
      <c r="AH31" s="26"/>
      <c r="AI31" s="26">
        <v>1.0</v>
      </c>
      <c r="AJ31" s="26">
        <v>125.3</v>
      </c>
      <c r="AK31" s="26">
        <v>121.7</v>
      </c>
      <c r="AL31" s="26">
        <v>129.0</v>
      </c>
      <c r="AM31" s="26">
        <v>-3.65</v>
      </c>
      <c r="AN31" s="26">
        <v>45.0</v>
      </c>
      <c r="AO31" s="26"/>
      <c r="AP31" s="26"/>
      <c r="AQ31" s="26"/>
      <c r="AR31" s="26"/>
      <c r="AS31" s="26">
        <v>2.0</v>
      </c>
      <c r="AT31" s="26">
        <v>124.8</v>
      </c>
      <c r="AU31" s="26">
        <v>122.8</v>
      </c>
      <c r="AV31" s="26">
        <v>126.9</v>
      </c>
      <c r="AW31" s="26">
        <v>-3.46</v>
      </c>
      <c r="AX31" s="26">
        <v>48.0</v>
      </c>
      <c r="AY31" s="26"/>
      <c r="AZ31" s="26"/>
      <c r="BA31" s="26">
        <v>2.0</v>
      </c>
      <c r="BB31" s="26">
        <v>89.5</v>
      </c>
      <c r="BC31" s="26">
        <v>87.6</v>
      </c>
      <c r="BD31" s="26">
        <v>91.4</v>
      </c>
      <c r="BE31" s="26">
        <v>-7.29</v>
      </c>
      <c r="BF31" s="26">
        <v>-9.0</v>
      </c>
      <c r="BG31" s="26"/>
      <c r="BH31" s="26"/>
      <c r="BI31" s="26"/>
      <c r="BJ31" s="26"/>
      <c r="BK31" s="26"/>
      <c r="BL31" s="26"/>
      <c r="BM31" s="26"/>
    </row>
    <row r="32" ht="15.75" customHeight="1">
      <c r="A32" s="25"/>
      <c r="B32" s="26"/>
      <c r="C32" s="26">
        <v>3.0</v>
      </c>
      <c r="D32" s="26">
        <v>109.9</v>
      </c>
      <c r="E32" s="26">
        <v>108.9</v>
      </c>
      <c r="F32" s="26">
        <v>110.9</v>
      </c>
      <c r="G32" s="26">
        <v>-3.94</v>
      </c>
      <c r="H32" s="26">
        <v>41.0</v>
      </c>
      <c r="I32" s="26"/>
      <c r="J32" s="26"/>
      <c r="K32" s="26">
        <v>3.0</v>
      </c>
      <c r="L32" s="26">
        <v>107.8</v>
      </c>
      <c r="M32" s="26">
        <v>105.8</v>
      </c>
      <c r="N32" s="26">
        <v>109.8</v>
      </c>
      <c r="O32" s="26">
        <v>-3.44</v>
      </c>
      <c r="P32" s="26">
        <v>48.0</v>
      </c>
      <c r="Q32" s="26"/>
      <c r="R32" s="26">
        <v>3.0</v>
      </c>
      <c r="S32" s="26">
        <v>115.3</v>
      </c>
      <c r="T32" s="26">
        <v>114.0</v>
      </c>
      <c r="U32" s="26">
        <v>116.5</v>
      </c>
      <c r="V32" s="26">
        <v>-5.18</v>
      </c>
      <c r="W32" s="26">
        <v>22.0</v>
      </c>
      <c r="X32" s="26"/>
      <c r="Y32" s="26"/>
      <c r="Z32" s="26">
        <v>3.0</v>
      </c>
      <c r="AA32" s="26">
        <v>109.9</v>
      </c>
      <c r="AB32" s="26">
        <v>102.4</v>
      </c>
      <c r="AC32" s="26">
        <v>117.5</v>
      </c>
      <c r="AD32" s="26">
        <v>-4.26</v>
      </c>
      <c r="AE32" s="26">
        <v>36.0</v>
      </c>
      <c r="AF32" s="26"/>
      <c r="AG32" s="26"/>
      <c r="AH32" s="26"/>
      <c r="AI32" s="26">
        <v>2.0</v>
      </c>
      <c r="AJ32" s="26">
        <v>128.0</v>
      </c>
      <c r="AK32" s="26">
        <v>125.9</v>
      </c>
      <c r="AL32" s="26">
        <v>130.1</v>
      </c>
      <c r="AM32" s="26">
        <v>-3.23</v>
      </c>
      <c r="AN32" s="26">
        <v>52.0</v>
      </c>
      <c r="AO32" s="26"/>
      <c r="AP32" s="26"/>
      <c r="AQ32" s="26"/>
      <c r="AR32" s="26"/>
      <c r="AS32" s="26">
        <v>3.0</v>
      </c>
      <c r="AT32" s="26">
        <v>126.1</v>
      </c>
      <c r="AU32" s="26">
        <v>124.4</v>
      </c>
      <c r="AV32" s="26">
        <v>127.7</v>
      </c>
      <c r="AW32" s="26">
        <v>-3.21</v>
      </c>
      <c r="AX32" s="26">
        <v>52.0</v>
      </c>
      <c r="AY32" s="26"/>
      <c r="AZ32" s="26"/>
      <c r="BA32" s="26">
        <v>3.0</v>
      </c>
      <c r="BB32" s="26">
        <v>90.7</v>
      </c>
      <c r="BC32" s="26">
        <v>89.0</v>
      </c>
      <c r="BD32" s="26">
        <v>92.5</v>
      </c>
      <c r="BE32" s="26">
        <v>-6.91</v>
      </c>
      <c r="BF32" s="26">
        <v>-4.0</v>
      </c>
      <c r="BG32" s="26"/>
      <c r="BH32" s="26"/>
      <c r="BI32" s="26"/>
      <c r="BJ32" s="26"/>
      <c r="BK32" s="26"/>
      <c r="BL32" s="26"/>
      <c r="BM32" s="26"/>
    </row>
    <row r="33" ht="15.75" customHeight="1">
      <c r="A33" s="25"/>
      <c r="B33" s="26"/>
      <c r="C33" s="26">
        <v>4.0</v>
      </c>
      <c r="D33" s="26">
        <v>110.3</v>
      </c>
      <c r="E33" s="26">
        <v>109.3</v>
      </c>
      <c r="F33" s="26">
        <v>111.2</v>
      </c>
      <c r="G33" s="26">
        <v>-3.89</v>
      </c>
      <c r="H33" s="26">
        <v>42.0</v>
      </c>
      <c r="I33" s="26"/>
      <c r="J33" s="26"/>
      <c r="K33" s="26">
        <v>4.0</v>
      </c>
      <c r="L33" s="26">
        <v>109.1</v>
      </c>
      <c r="M33" s="26">
        <v>107.4</v>
      </c>
      <c r="N33" s="26">
        <v>110.8</v>
      </c>
      <c r="O33" s="26">
        <v>-3.22</v>
      </c>
      <c r="P33" s="26">
        <v>52.0</v>
      </c>
      <c r="Q33" s="26"/>
      <c r="R33" s="26">
        <v>4.0</v>
      </c>
      <c r="S33" s="26">
        <v>115.8</v>
      </c>
      <c r="T33" s="26">
        <v>114.6</v>
      </c>
      <c r="U33" s="26">
        <v>117.0</v>
      </c>
      <c r="V33" s="26">
        <v>-5.03</v>
      </c>
      <c r="W33" s="26">
        <v>25.0</v>
      </c>
      <c r="X33" s="26"/>
      <c r="Y33" s="26"/>
      <c r="Z33" s="26">
        <v>4.0</v>
      </c>
      <c r="AA33" s="26">
        <v>112.2</v>
      </c>
      <c r="AB33" s="26">
        <v>105.6</v>
      </c>
      <c r="AC33" s="26">
        <v>118.8</v>
      </c>
      <c r="AD33" s="26">
        <v>-3.99</v>
      </c>
      <c r="AE33" s="26">
        <v>40.0</v>
      </c>
      <c r="AF33" s="26"/>
      <c r="AG33" s="26"/>
      <c r="AH33" s="26"/>
      <c r="AI33" s="26">
        <v>3.0</v>
      </c>
      <c r="AJ33" s="26">
        <v>129.4</v>
      </c>
      <c r="AK33" s="26">
        <v>127.5</v>
      </c>
      <c r="AL33" s="26">
        <v>131.3</v>
      </c>
      <c r="AM33" s="26">
        <v>-3.02</v>
      </c>
      <c r="AN33" s="26">
        <v>55.0</v>
      </c>
      <c r="AO33" s="26"/>
      <c r="AP33" s="26"/>
      <c r="AQ33" s="26"/>
      <c r="AR33" s="26"/>
      <c r="AS33" s="26">
        <v>4.0</v>
      </c>
      <c r="AT33" s="26">
        <v>127.0</v>
      </c>
      <c r="AU33" s="26">
        <v>125.4</v>
      </c>
      <c r="AV33" s="26">
        <v>128.6</v>
      </c>
      <c r="AW33" s="26">
        <v>-3.01</v>
      </c>
      <c r="AX33" s="26">
        <v>55.0</v>
      </c>
      <c r="AY33" s="26"/>
      <c r="AZ33" s="26"/>
      <c r="BA33" s="26">
        <v>4.0</v>
      </c>
      <c r="BB33" s="26">
        <v>91.8</v>
      </c>
      <c r="BC33" s="26">
        <v>90.1</v>
      </c>
      <c r="BD33" s="26">
        <v>93.5</v>
      </c>
      <c r="BE33" s="26">
        <v>-6.59</v>
      </c>
      <c r="BF33" s="26">
        <v>1.0</v>
      </c>
      <c r="BG33" s="26"/>
      <c r="BH33" s="26"/>
      <c r="BI33" s="26"/>
      <c r="BJ33" s="26"/>
      <c r="BK33" s="26"/>
      <c r="BL33" s="26"/>
      <c r="BM33" s="26"/>
    </row>
    <row r="34" ht="15.75" customHeight="1">
      <c r="A34" s="25"/>
      <c r="B34" s="26"/>
      <c r="C34" s="26">
        <v>5.0</v>
      </c>
      <c r="D34" s="26">
        <v>110.6</v>
      </c>
      <c r="E34" s="26">
        <v>109.7</v>
      </c>
      <c r="F34" s="26">
        <v>111.5</v>
      </c>
      <c r="G34" s="26">
        <v>-3.85</v>
      </c>
      <c r="H34" s="26">
        <v>42.0</v>
      </c>
      <c r="I34" s="26"/>
      <c r="J34" s="26"/>
      <c r="K34" s="26">
        <v>5.0</v>
      </c>
      <c r="L34" s="26">
        <v>110.0</v>
      </c>
      <c r="M34" s="26">
        <v>108.5</v>
      </c>
      <c r="N34" s="26">
        <v>111.5</v>
      </c>
      <c r="O34" s="26">
        <v>-3.07</v>
      </c>
      <c r="P34" s="26">
        <v>54.0</v>
      </c>
      <c r="Q34" s="26"/>
      <c r="R34" s="26">
        <v>5.0</v>
      </c>
      <c r="S34" s="26">
        <v>116.3</v>
      </c>
      <c r="T34" s="26">
        <v>115.2</v>
      </c>
      <c r="U34" s="26">
        <v>117.5</v>
      </c>
      <c r="V34" s="26">
        <v>-4.89</v>
      </c>
      <c r="W34" s="26">
        <v>27.0</v>
      </c>
      <c r="X34" s="26"/>
      <c r="Y34" s="26"/>
      <c r="Z34" s="26">
        <v>5.0</v>
      </c>
      <c r="AA34" s="26">
        <v>114.0</v>
      </c>
      <c r="AB34" s="26">
        <v>108.0</v>
      </c>
      <c r="AC34" s="26">
        <v>120.0</v>
      </c>
      <c r="AD34" s="26">
        <v>-3.78</v>
      </c>
      <c r="AE34" s="26">
        <v>43.0</v>
      </c>
      <c r="AF34" s="26"/>
      <c r="AG34" s="26"/>
      <c r="AH34" s="26"/>
      <c r="AI34" s="26">
        <v>4.0</v>
      </c>
      <c r="AJ34" s="26">
        <v>130.7</v>
      </c>
      <c r="AK34" s="26">
        <v>128.7</v>
      </c>
      <c r="AL34" s="26">
        <v>132.7</v>
      </c>
      <c r="AM34" s="26">
        <v>-2.81</v>
      </c>
      <c r="AN34" s="26">
        <v>58.0</v>
      </c>
      <c r="AO34" s="26"/>
      <c r="AP34" s="26"/>
      <c r="AQ34" s="26"/>
      <c r="AR34" s="26"/>
      <c r="AS34" s="26">
        <v>5.0</v>
      </c>
      <c r="AT34" s="26">
        <v>127.9</v>
      </c>
      <c r="AU34" s="26">
        <v>126.4</v>
      </c>
      <c r="AV34" s="26">
        <v>129.5</v>
      </c>
      <c r="AW34" s="26">
        <v>-2.82</v>
      </c>
      <c r="AX34" s="26">
        <v>58.0</v>
      </c>
      <c r="AY34" s="26"/>
      <c r="AZ34" s="26"/>
      <c r="BA34" s="26">
        <v>5.0</v>
      </c>
      <c r="BB34" s="26">
        <v>92.9</v>
      </c>
      <c r="BC34" s="26">
        <v>91.1</v>
      </c>
      <c r="BD34" s="26">
        <v>94.6</v>
      </c>
      <c r="BE34" s="26">
        <v>-6.25</v>
      </c>
      <c r="BF34" s="26">
        <v>6.0</v>
      </c>
      <c r="BG34" s="26"/>
      <c r="BH34" s="26"/>
      <c r="BI34" s="26"/>
      <c r="BJ34" s="26"/>
      <c r="BK34" s="26"/>
      <c r="BL34" s="26"/>
      <c r="BM34" s="26"/>
    </row>
    <row r="35" ht="15.75" customHeight="1">
      <c r="A35" s="25"/>
      <c r="B35" s="26"/>
      <c r="C35" s="26">
        <v>6.0</v>
      </c>
      <c r="D35" s="26">
        <v>110.9</v>
      </c>
      <c r="E35" s="26">
        <v>110.0</v>
      </c>
      <c r="F35" s="26">
        <v>111.7</v>
      </c>
      <c r="G35" s="26">
        <v>-3.8</v>
      </c>
      <c r="H35" s="26">
        <v>43.0</v>
      </c>
      <c r="I35" s="26"/>
      <c r="J35" s="26"/>
      <c r="K35" s="26">
        <v>6.0</v>
      </c>
      <c r="L35" s="26">
        <v>110.8</v>
      </c>
      <c r="M35" s="26">
        <v>109.4</v>
      </c>
      <c r="N35" s="26">
        <v>112.2</v>
      </c>
      <c r="O35" s="26">
        <v>-2.94</v>
      </c>
      <c r="P35" s="26">
        <v>56.0</v>
      </c>
      <c r="Q35" s="26"/>
      <c r="R35" s="26">
        <v>6.0</v>
      </c>
      <c r="S35" s="26">
        <v>116.8</v>
      </c>
      <c r="T35" s="26">
        <v>115.7</v>
      </c>
      <c r="U35" s="26">
        <v>117.9</v>
      </c>
      <c r="V35" s="26">
        <v>-4.76</v>
      </c>
      <c r="W35" s="26">
        <v>29.0</v>
      </c>
      <c r="X35" s="26"/>
      <c r="Y35" s="26"/>
      <c r="Z35" s="26">
        <v>6.0</v>
      </c>
      <c r="AA35" s="26">
        <v>115.6</v>
      </c>
      <c r="AB35" s="26">
        <v>110.0</v>
      </c>
      <c r="AC35" s="26">
        <v>121.2</v>
      </c>
      <c r="AD35" s="26">
        <v>-3.6</v>
      </c>
      <c r="AE35" s="26">
        <v>46.0</v>
      </c>
      <c r="AF35" s="26"/>
      <c r="AG35" s="26"/>
      <c r="AH35" s="26"/>
      <c r="AI35" s="26">
        <v>5.0</v>
      </c>
      <c r="AJ35" s="26">
        <v>132.3</v>
      </c>
      <c r="AK35" s="26">
        <v>130.1</v>
      </c>
      <c r="AL35" s="26">
        <v>134.5</v>
      </c>
      <c r="AM35" s="26">
        <v>-2.56</v>
      </c>
      <c r="AN35" s="26">
        <v>62.0</v>
      </c>
      <c r="AO35" s="26"/>
      <c r="AP35" s="26"/>
      <c r="AQ35" s="26"/>
      <c r="AR35" s="26"/>
      <c r="AS35" s="26">
        <v>6.0</v>
      </c>
      <c r="AT35" s="26">
        <v>128.8</v>
      </c>
      <c r="AU35" s="26">
        <v>127.3</v>
      </c>
      <c r="AV35" s="26">
        <v>130.3</v>
      </c>
      <c r="AW35" s="26">
        <v>-2.64</v>
      </c>
      <c r="AX35" s="26">
        <v>60.0</v>
      </c>
      <c r="AY35" s="26"/>
      <c r="AZ35" s="26"/>
      <c r="BA35" s="26">
        <v>6.0</v>
      </c>
      <c r="BB35" s="26">
        <v>94.0</v>
      </c>
      <c r="BC35" s="26">
        <v>92.3</v>
      </c>
      <c r="BD35" s="26">
        <v>95.7</v>
      </c>
      <c r="BE35" s="26">
        <v>-5.9</v>
      </c>
      <c r="BF35" s="26">
        <v>11.0</v>
      </c>
      <c r="BG35" s="26"/>
      <c r="BH35" s="26"/>
      <c r="BI35" s="26"/>
      <c r="BJ35" s="26"/>
      <c r="BK35" s="26"/>
      <c r="BL35" s="26"/>
      <c r="BM35" s="26"/>
    </row>
    <row r="36" ht="15.75" customHeight="1">
      <c r="A36" s="25"/>
      <c r="B36" s="26"/>
      <c r="C36" s="26">
        <v>7.0</v>
      </c>
      <c r="D36" s="26">
        <v>111.2</v>
      </c>
      <c r="E36" s="26">
        <v>110.2</v>
      </c>
      <c r="F36" s="26">
        <v>112.1</v>
      </c>
      <c r="G36" s="26">
        <v>-3.76</v>
      </c>
      <c r="H36" s="26">
        <v>44.0</v>
      </c>
      <c r="I36" s="26"/>
      <c r="J36" s="26"/>
      <c r="K36" s="26">
        <v>7.0</v>
      </c>
      <c r="L36" s="26">
        <v>111.5</v>
      </c>
      <c r="M36" s="26">
        <v>110.1</v>
      </c>
      <c r="N36" s="26">
        <v>112.9</v>
      </c>
      <c r="O36" s="26">
        <v>-2.83</v>
      </c>
      <c r="P36" s="26">
        <v>58.0</v>
      </c>
      <c r="Q36" s="26"/>
      <c r="R36" s="26">
        <v>7.0</v>
      </c>
      <c r="S36" s="26">
        <v>117.3</v>
      </c>
      <c r="T36" s="26">
        <v>116.2</v>
      </c>
      <c r="U36" s="26">
        <v>118.4</v>
      </c>
      <c r="V36" s="26">
        <v>-4.63</v>
      </c>
      <c r="W36" s="26">
        <v>31.0</v>
      </c>
      <c r="X36" s="26"/>
      <c r="Y36" s="26"/>
      <c r="Z36" s="26">
        <v>7.0</v>
      </c>
      <c r="AA36" s="26">
        <v>116.9</v>
      </c>
      <c r="AB36" s="26">
        <v>111.6</v>
      </c>
      <c r="AC36" s="26">
        <v>122.3</v>
      </c>
      <c r="AD36" s="26">
        <v>-3.45</v>
      </c>
      <c r="AE36" s="26">
        <v>48.0</v>
      </c>
      <c r="AF36" s="26"/>
      <c r="AG36" s="26"/>
      <c r="AH36" s="26"/>
      <c r="AI36" s="26">
        <v>6.0</v>
      </c>
      <c r="AJ36" s="26">
        <v>134.0</v>
      </c>
      <c r="AK36" s="26">
        <v>132.0</v>
      </c>
      <c r="AL36" s="26">
        <v>136.0</v>
      </c>
      <c r="AM36" s="26">
        <v>-2.29</v>
      </c>
      <c r="AN36" s="26">
        <v>66.0</v>
      </c>
      <c r="AO36" s="26"/>
      <c r="AP36" s="26"/>
      <c r="AQ36" s="26"/>
      <c r="AR36" s="26"/>
      <c r="AS36" s="26">
        <v>7.0</v>
      </c>
      <c r="AT36" s="26">
        <v>129.6</v>
      </c>
      <c r="AU36" s="26">
        <v>128.2</v>
      </c>
      <c r="AV36" s="26">
        <v>131.0</v>
      </c>
      <c r="AW36" s="26">
        <v>-2.48</v>
      </c>
      <c r="AX36" s="26">
        <v>63.0</v>
      </c>
      <c r="AY36" s="26"/>
      <c r="AZ36" s="26"/>
      <c r="BA36" s="26">
        <v>7.0</v>
      </c>
      <c r="BB36" s="26">
        <v>95.0</v>
      </c>
      <c r="BC36" s="26">
        <v>93.5</v>
      </c>
      <c r="BD36" s="26">
        <v>96.5</v>
      </c>
      <c r="BE36" s="26">
        <v>-5.6</v>
      </c>
      <c r="BF36" s="26">
        <v>16.0</v>
      </c>
      <c r="BG36" s="26"/>
      <c r="BH36" s="26"/>
      <c r="BI36" s="26"/>
      <c r="BJ36" s="26"/>
      <c r="BK36" s="26"/>
      <c r="BL36" s="26"/>
      <c r="BM36" s="26"/>
    </row>
    <row r="37" ht="15.75" customHeight="1">
      <c r="A37" s="25"/>
      <c r="B37" s="26"/>
      <c r="C37" s="26">
        <v>8.0</v>
      </c>
      <c r="D37" s="26">
        <v>111.5</v>
      </c>
      <c r="E37" s="26">
        <v>110.5</v>
      </c>
      <c r="F37" s="26">
        <v>112.4</v>
      </c>
      <c r="G37" s="26">
        <v>-3.71</v>
      </c>
      <c r="H37" s="26">
        <v>44.0</v>
      </c>
      <c r="I37" s="26"/>
      <c r="J37" s="26"/>
      <c r="K37" s="26">
        <v>8.0</v>
      </c>
      <c r="L37" s="26">
        <v>112.2</v>
      </c>
      <c r="M37" s="26">
        <v>110.8</v>
      </c>
      <c r="N37" s="26">
        <v>113.6</v>
      </c>
      <c r="O37" s="26">
        <v>-2.71</v>
      </c>
      <c r="P37" s="26">
        <v>59.0</v>
      </c>
      <c r="Q37" s="26"/>
      <c r="R37" s="26">
        <v>8.0</v>
      </c>
      <c r="S37" s="26">
        <v>117.8</v>
      </c>
      <c r="T37" s="26">
        <v>116.6</v>
      </c>
      <c r="U37" s="26">
        <v>118.9</v>
      </c>
      <c r="V37" s="26">
        <v>-4.5</v>
      </c>
      <c r="W37" s="26">
        <v>33.0</v>
      </c>
      <c r="X37" s="26"/>
      <c r="Y37" s="26"/>
      <c r="Z37" s="26">
        <v>8.0</v>
      </c>
      <c r="AA37" s="26">
        <v>118.2</v>
      </c>
      <c r="AB37" s="26">
        <v>113.1</v>
      </c>
      <c r="AC37" s="26">
        <v>123.3</v>
      </c>
      <c r="AD37" s="26">
        <v>-3.3</v>
      </c>
      <c r="AE37" s="26">
        <v>50.0</v>
      </c>
      <c r="AF37" s="26"/>
      <c r="AG37" s="26"/>
      <c r="AH37" s="26"/>
      <c r="AI37" s="26">
        <v>7.0</v>
      </c>
      <c r="AJ37" s="26">
        <v>135.2</v>
      </c>
      <c r="AK37" s="26">
        <v>133.6</v>
      </c>
      <c r="AL37" s="26">
        <v>136.8</v>
      </c>
      <c r="AM37" s="26">
        <v>-2.1</v>
      </c>
      <c r="AN37" s="26">
        <v>68.0</v>
      </c>
      <c r="AO37" s="26"/>
      <c r="AP37" s="26"/>
      <c r="AQ37" s="26"/>
      <c r="AR37" s="26"/>
      <c r="AS37" s="26">
        <v>8.0</v>
      </c>
      <c r="AT37" s="26">
        <v>130.3</v>
      </c>
      <c r="AU37" s="26">
        <v>128.9</v>
      </c>
      <c r="AV37" s="26">
        <v>131.6</v>
      </c>
      <c r="AW37" s="26">
        <v>-2.34</v>
      </c>
      <c r="AX37" s="26">
        <v>65.0</v>
      </c>
      <c r="AY37" s="26"/>
      <c r="AZ37" s="26"/>
      <c r="BA37" s="26">
        <v>8.0</v>
      </c>
      <c r="BB37" s="26">
        <v>95.7</v>
      </c>
      <c r="BC37" s="26">
        <v>94.4</v>
      </c>
      <c r="BD37" s="26">
        <v>97.0</v>
      </c>
      <c r="BE37" s="26">
        <v>-5.38</v>
      </c>
      <c r="BF37" s="26">
        <v>19.0</v>
      </c>
      <c r="BG37" s="26"/>
      <c r="BH37" s="26"/>
      <c r="BI37" s="26"/>
      <c r="BJ37" s="26"/>
      <c r="BK37" s="26"/>
      <c r="BL37" s="26"/>
      <c r="BM37" s="26"/>
    </row>
    <row r="38" ht="15.75" customHeight="1">
      <c r="A38" s="25"/>
      <c r="B38" s="26"/>
      <c r="C38" s="26">
        <v>9.0</v>
      </c>
      <c r="D38" s="26">
        <v>111.8</v>
      </c>
      <c r="E38" s="26">
        <v>110.8</v>
      </c>
      <c r="F38" s="26">
        <v>112.8</v>
      </c>
      <c r="G38" s="26">
        <v>-3.66</v>
      </c>
      <c r="H38" s="26">
        <v>45.0</v>
      </c>
      <c r="I38" s="26"/>
      <c r="J38" s="26"/>
      <c r="K38" s="26">
        <v>9.0</v>
      </c>
      <c r="L38" s="26">
        <v>113.0</v>
      </c>
      <c r="M38" s="26">
        <v>111.5</v>
      </c>
      <c r="N38" s="26">
        <v>114.4</v>
      </c>
      <c r="O38" s="26">
        <v>-2.58</v>
      </c>
      <c r="P38" s="26">
        <v>61.0</v>
      </c>
      <c r="Q38" s="26"/>
      <c r="R38" s="26">
        <v>9.0</v>
      </c>
      <c r="S38" s="26">
        <v>118.3</v>
      </c>
      <c r="T38" s="26">
        <v>117.1</v>
      </c>
      <c r="U38" s="26">
        <v>119.4</v>
      </c>
      <c r="V38" s="26">
        <v>-4.36</v>
      </c>
      <c r="W38" s="26">
        <v>35.0</v>
      </c>
      <c r="X38" s="26"/>
      <c r="Y38" s="26"/>
      <c r="Z38" s="26">
        <v>9.0</v>
      </c>
      <c r="AA38" s="26">
        <v>119.4</v>
      </c>
      <c r="AB38" s="26">
        <v>114.4</v>
      </c>
      <c r="AC38" s="26">
        <v>124.3</v>
      </c>
      <c r="AD38" s="26">
        <v>-3.17</v>
      </c>
      <c r="AE38" s="26">
        <v>53.0</v>
      </c>
      <c r="AF38" s="26"/>
      <c r="AG38" s="26"/>
      <c r="AH38" s="26"/>
      <c r="AI38" s="26">
        <v>8.0</v>
      </c>
      <c r="AJ38" s="26">
        <v>136.0</v>
      </c>
      <c r="AK38" s="26">
        <v>134.7</v>
      </c>
      <c r="AL38" s="26">
        <v>137.4</v>
      </c>
      <c r="AM38" s="26">
        <v>-1.97</v>
      </c>
      <c r="AN38" s="26">
        <v>70.0</v>
      </c>
      <c r="AO38" s="26"/>
      <c r="AP38" s="26"/>
      <c r="AQ38" s="26"/>
      <c r="AR38" s="26"/>
      <c r="AS38" s="26">
        <v>9.0</v>
      </c>
      <c r="AT38" s="26">
        <v>130.9</v>
      </c>
      <c r="AU38" s="26">
        <v>129.6</v>
      </c>
      <c r="AV38" s="26">
        <v>132.3</v>
      </c>
      <c r="AW38" s="26">
        <v>-2.2</v>
      </c>
      <c r="AX38" s="26">
        <v>67.0</v>
      </c>
      <c r="AY38" s="26"/>
      <c r="AZ38" s="26"/>
      <c r="BA38" s="26">
        <v>9.0</v>
      </c>
      <c r="BB38" s="26">
        <v>96.2</v>
      </c>
      <c r="BC38" s="26">
        <v>95.1</v>
      </c>
      <c r="BD38" s="26">
        <v>97.4</v>
      </c>
      <c r="BE38" s="26">
        <v>-5.21</v>
      </c>
      <c r="BF38" s="26">
        <v>22.0</v>
      </c>
      <c r="BG38" s="26"/>
      <c r="BH38" s="26"/>
      <c r="BI38" s="26"/>
      <c r="BJ38" s="26"/>
      <c r="BK38" s="26"/>
      <c r="BL38" s="26"/>
      <c r="BM38" s="26"/>
    </row>
    <row r="39" ht="15.75" customHeight="1">
      <c r="A39" s="25"/>
      <c r="B39" s="26"/>
      <c r="C39" s="26">
        <v>10.0</v>
      </c>
      <c r="D39" s="26">
        <v>112.2</v>
      </c>
      <c r="E39" s="26">
        <v>111.2</v>
      </c>
      <c r="F39" s="26">
        <v>113.2</v>
      </c>
      <c r="G39" s="26">
        <v>-3.6</v>
      </c>
      <c r="H39" s="26">
        <v>46.0</v>
      </c>
      <c r="I39" s="26"/>
      <c r="J39" s="26"/>
      <c r="K39" s="26">
        <v>10.0</v>
      </c>
      <c r="L39" s="26">
        <v>113.7</v>
      </c>
      <c r="M39" s="26">
        <v>112.4</v>
      </c>
      <c r="N39" s="26">
        <v>115.0</v>
      </c>
      <c r="O39" s="26">
        <v>-2.46</v>
      </c>
      <c r="P39" s="26">
        <v>63.0</v>
      </c>
      <c r="Q39" s="26"/>
      <c r="R39" s="26">
        <v>10.0</v>
      </c>
      <c r="S39" s="26">
        <v>118.8</v>
      </c>
      <c r="T39" s="26">
        <v>117.6</v>
      </c>
      <c r="U39" s="26">
        <v>119.9</v>
      </c>
      <c r="V39" s="26">
        <v>-4.23</v>
      </c>
      <c r="W39" s="26">
        <v>37.0</v>
      </c>
      <c r="X39" s="26"/>
      <c r="Y39" s="26"/>
      <c r="Z39" s="26">
        <v>10.0</v>
      </c>
      <c r="AA39" s="26">
        <v>120.5</v>
      </c>
      <c r="AB39" s="26">
        <v>115.6</v>
      </c>
      <c r="AC39" s="26">
        <v>125.4</v>
      </c>
      <c r="AD39" s="26">
        <v>-3.04</v>
      </c>
      <c r="AE39" s="26">
        <v>54.0</v>
      </c>
      <c r="AF39" s="26"/>
      <c r="AG39" s="26"/>
      <c r="AH39" s="26"/>
      <c r="AI39" s="26">
        <v>9.0</v>
      </c>
      <c r="AJ39" s="26">
        <v>136.7</v>
      </c>
      <c r="AK39" s="26">
        <v>135.4</v>
      </c>
      <c r="AL39" s="26">
        <v>137.9</v>
      </c>
      <c r="AM39" s="26">
        <v>-1.88</v>
      </c>
      <c r="AN39" s="26">
        <v>72.0</v>
      </c>
      <c r="AO39" s="26"/>
      <c r="AP39" s="26"/>
      <c r="AQ39" s="26"/>
      <c r="AR39" s="26"/>
      <c r="AS39" s="26">
        <v>10.0</v>
      </c>
      <c r="AT39" s="26">
        <v>131.6</v>
      </c>
      <c r="AU39" s="26">
        <v>130.3</v>
      </c>
      <c r="AV39" s="26">
        <v>132.9</v>
      </c>
      <c r="AW39" s="26">
        <v>-2.07</v>
      </c>
      <c r="AX39" s="26">
        <v>69.0</v>
      </c>
      <c r="AY39" s="26"/>
      <c r="AZ39" s="26"/>
      <c r="BA39" s="26">
        <v>10.0</v>
      </c>
      <c r="BB39" s="26">
        <v>96.7</v>
      </c>
      <c r="BC39" s="26">
        <v>95.6</v>
      </c>
      <c r="BD39" s="26">
        <v>97.7</v>
      </c>
      <c r="BE39" s="26">
        <v>-5.07</v>
      </c>
      <c r="BF39" s="26">
        <v>24.0</v>
      </c>
      <c r="BG39" s="26"/>
      <c r="BH39" s="26"/>
      <c r="BI39" s="26"/>
      <c r="BJ39" s="26"/>
      <c r="BK39" s="26"/>
      <c r="BL39" s="26"/>
      <c r="BM39" s="26"/>
    </row>
    <row r="40" ht="15.75" customHeight="1">
      <c r="A40" s="25"/>
      <c r="B40" s="26"/>
      <c r="C40" s="26">
        <v>11.0</v>
      </c>
      <c r="D40" s="26">
        <v>112.6</v>
      </c>
      <c r="E40" s="26">
        <v>111.6</v>
      </c>
      <c r="F40" s="26">
        <v>113.6</v>
      </c>
      <c r="G40" s="26">
        <v>-3.54</v>
      </c>
      <c r="H40" s="26">
        <v>47.0</v>
      </c>
      <c r="I40" s="26"/>
      <c r="J40" s="26"/>
      <c r="K40" s="26">
        <v>11.0</v>
      </c>
      <c r="L40" s="26">
        <v>114.3</v>
      </c>
      <c r="M40" s="26">
        <v>113.1</v>
      </c>
      <c r="N40" s="26">
        <v>115.4</v>
      </c>
      <c r="O40" s="26">
        <v>-2.36</v>
      </c>
      <c r="P40" s="26">
        <v>65.0</v>
      </c>
      <c r="Q40" s="26"/>
      <c r="R40" s="26">
        <v>11.0</v>
      </c>
      <c r="S40" s="26">
        <v>119.2</v>
      </c>
      <c r="T40" s="26">
        <v>118.1</v>
      </c>
      <c r="U40" s="26">
        <v>120.4</v>
      </c>
      <c r="V40" s="26">
        <v>-4.1</v>
      </c>
      <c r="W40" s="26">
        <v>39.0</v>
      </c>
      <c r="X40" s="26"/>
      <c r="Y40" s="26"/>
      <c r="Z40" s="26">
        <v>11.0</v>
      </c>
      <c r="AA40" s="26">
        <v>121.6</v>
      </c>
      <c r="AB40" s="26">
        <v>116.7</v>
      </c>
      <c r="AC40" s="26">
        <v>126.4</v>
      </c>
      <c r="AD40" s="26">
        <v>-2.91</v>
      </c>
      <c r="AE40" s="26">
        <v>56.0</v>
      </c>
      <c r="AF40" s="26"/>
      <c r="AG40" s="26"/>
      <c r="AH40" s="26"/>
      <c r="AI40" s="26">
        <v>10.0</v>
      </c>
      <c r="AJ40" s="26">
        <v>137.2</v>
      </c>
      <c r="AK40" s="26">
        <v>136.0</v>
      </c>
      <c r="AL40" s="26">
        <v>138.3</v>
      </c>
      <c r="AM40" s="26">
        <v>-1.8</v>
      </c>
      <c r="AN40" s="26">
        <v>73.0</v>
      </c>
      <c r="AO40" s="26"/>
      <c r="AP40" s="26"/>
      <c r="AQ40" s="26"/>
      <c r="AR40" s="26"/>
      <c r="AS40" s="26">
        <v>11.0</v>
      </c>
      <c r="AT40" s="26">
        <v>132.2</v>
      </c>
      <c r="AU40" s="26">
        <v>130.9</v>
      </c>
      <c r="AV40" s="26">
        <v>133.5</v>
      </c>
      <c r="AW40" s="26">
        <v>-1.95</v>
      </c>
      <c r="AX40" s="26">
        <v>71.0</v>
      </c>
      <c r="AY40" s="26"/>
      <c r="AZ40" s="26"/>
      <c r="BA40" s="26">
        <v>11.0</v>
      </c>
      <c r="BB40" s="26">
        <v>97.1</v>
      </c>
      <c r="BC40" s="26">
        <v>96.1</v>
      </c>
      <c r="BD40" s="26">
        <v>98.0</v>
      </c>
      <c r="BE40" s="26">
        <v>-4.95</v>
      </c>
      <c r="BF40" s="26">
        <v>26.0</v>
      </c>
      <c r="BG40" s="26"/>
      <c r="BH40" s="26"/>
      <c r="BI40" s="26"/>
      <c r="BJ40" s="26"/>
      <c r="BK40" s="26"/>
      <c r="BL40" s="26"/>
      <c r="BM40" s="26"/>
    </row>
    <row r="41" ht="15.75" customHeight="1">
      <c r="A41" s="25"/>
      <c r="B41" s="26"/>
      <c r="C41" s="26">
        <v>12.0</v>
      </c>
      <c r="D41" s="26">
        <v>113.0</v>
      </c>
      <c r="E41" s="26">
        <v>112.0</v>
      </c>
      <c r="F41" s="26">
        <v>114.0</v>
      </c>
      <c r="G41" s="26">
        <v>-3.48</v>
      </c>
      <c r="H41" s="26">
        <v>48.0</v>
      </c>
      <c r="I41" s="26"/>
      <c r="J41" s="26"/>
      <c r="K41" s="26">
        <v>12.0</v>
      </c>
      <c r="L41" s="26">
        <v>114.7</v>
      </c>
      <c r="M41" s="26">
        <v>113.7</v>
      </c>
      <c r="N41" s="26">
        <v>115.7</v>
      </c>
      <c r="O41" s="26">
        <v>-2.29</v>
      </c>
      <c r="P41" s="26">
        <v>66.0</v>
      </c>
      <c r="Q41" s="26"/>
      <c r="R41" s="26">
        <v>12.0</v>
      </c>
      <c r="S41" s="26">
        <v>119.8</v>
      </c>
      <c r="T41" s="26">
        <v>118.6</v>
      </c>
      <c r="U41" s="26">
        <v>120.9</v>
      </c>
      <c r="V41" s="26">
        <v>-3.95</v>
      </c>
      <c r="W41" s="26">
        <v>41.0</v>
      </c>
      <c r="X41" s="26"/>
      <c r="Y41" s="26"/>
      <c r="Z41" s="26">
        <v>12.0</v>
      </c>
      <c r="AA41" s="26">
        <v>122.7</v>
      </c>
      <c r="AB41" s="26">
        <v>117.8</v>
      </c>
      <c r="AC41" s="26">
        <v>127.5</v>
      </c>
      <c r="AD41" s="26">
        <v>-2.79</v>
      </c>
      <c r="AE41" s="26">
        <v>58.0</v>
      </c>
      <c r="AF41" s="26"/>
      <c r="AG41" s="26"/>
      <c r="AH41" s="26"/>
      <c r="AI41" s="26">
        <v>11.0</v>
      </c>
      <c r="AJ41" s="26">
        <v>137.6</v>
      </c>
      <c r="AK41" s="26">
        <v>136.5</v>
      </c>
      <c r="AL41" s="26">
        <v>138.7</v>
      </c>
      <c r="AM41" s="26">
        <v>-1.73</v>
      </c>
      <c r="AN41" s="26">
        <v>74.0</v>
      </c>
      <c r="AO41" s="26"/>
      <c r="AP41" s="26"/>
      <c r="AQ41" s="26"/>
      <c r="AR41" s="26"/>
      <c r="AS41" s="26">
        <v>12.0</v>
      </c>
      <c r="AT41" s="26">
        <v>132.8</v>
      </c>
      <c r="AU41" s="26">
        <v>131.5</v>
      </c>
      <c r="AV41" s="26">
        <v>134.0</v>
      </c>
      <c r="AW41" s="26">
        <v>-1.83</v>
      </c>
      <c r="AX41" s="26">
        <v>73.0</v>
      </c>
      <c r="AY41" s="26"/>
      <c r="AZ41" s="26"/>
      <c r="BA41" s="26">
        <v>12.0</v>
      </c>
      <c r="BB41" s="26">
        <v>97.4</v>
      </c>
      <c r="BC41" s="26">
        <v>96.5</v>
      </c>
      <c r="BD41" s="26">
        <v>98.3</v>
      </c>
      <c r="BE41" s="26">
        <v>-4.85</v>
      </c>
      <c r="BF41" s="26">
        <v>27.0</v>
      </c>
      <c r="BG41" s="26"/>
      <c r="BH41" s="26"/>
      <c r="BI41" s="26"/>
      <c r="BJ41" s="26"/>
      <c r="BK41" s="26"/>
      <c r="BL41" s="26"/>
      <c r="BM41" s="26"/>
    </row>
    <row r="42" ht="15.75" customHeight="1">
      <c r="A42" s="25"/>
      <c r="B42" s="26"/>
      <c r="C42" s="26">
        <v>13.0</v>
      </c>
      <c r="D42" s="26">
        <v>113.3</v>
      </c>
      <c r="E42" s="26">
        <v>112.4</v>
      </c>
      <c r="F42" s="26">
        <v>114.3</v>
      </c>
      <c r="G42" s="26">
        <v>-3.43</v>
      </c>
      <c r="H42" s="26">
        <v>49.0</v>
      </c>
      <c r="I42" s="26"/>
      <c r="J42" s="26"/>
      <c r="K42" s="26">
        <v>13.0</v>
      </c>
      <c r="L42" s="26">
        <v>115.0</v>
      </c>
      <c r="M42" s="26">
        <v>114.1</v>
      </c>
      <c r="N42" s="26">
        <v>116.0</v>
      </c>
      <c r="O42" s="26">
        <v>-2.24</v>
      </c>
      <c r="P42" s="26">
        <v>66.0</v>
      </c>
      <c r="Q42" s="26"/>
      <c r="R42" s="26">
        <v>13.0</v>
      </c>
      <c r="S42" s="26">
        <v>120.3</v>
      </c>
      <c r="T42" s="26">
        <v>119.1</v>
      </c>
      <c r="U42" s="26">
        <v>121.5</v>
      </c>
      <c r="V42" s="26">
        <v>-3.81</v>
      </c>
      <c r="W42" s="26">
        <v>43.0</v>
      </c>
      <c r="X42" s="26"/>
      <c r="Y42" s="26"/>
      <c r="Z42" s="26">
        <v>13.0</v>
      </c>
      <c r="AA42" s="26">
        <v>123.7</v>
      </c>
      <c r="AB42" s="26">
        <v>118.8</v>
      </c>
      <c r="AC42" s="26">
        <v>128.6</v>
      </c>
      <c r="AD42" s="26">
        <v>-2.66</v>
      </c>
      <c r="AE42" s="26">
        <v>60.0</v>
      </c>
      <c r="AF42" s="26"/>
      <c r="AG42" s="26"/>
      <c r="AH42" s="26"/>
      <c r="AI42" s="26">
        <v>12.0</v>
      </c>
      <c r="AJ42" s="26">
        <v>138.1</v>
      </c>
      <c r="AK42" s="26">
        <v>137.0</v>
      </c>
      <c r="AL42" s="26">
        <v>139.1</v>
      </c>
      <c r="AM42" s="26">
        <v>-1.66</v>
      </c>
      <c r="AN42" s="26">
        <v>75.0</v>
      </c>
      <c r="AO42" s="26"/>
      <c r="AP42" s="26"/>
      <c r="AQ42" s="26"/>
      <c r="AR42" s="26"/>
      <c r="AS42" s="26">
        <v>13.0</v>
      </c>
      <c r="AT42" s="26">
        <v>133.3</v>
      </c>
      <c r="AU42" s="26">
        <v>132.1</v>
      </c>
      <c r="AV42" s="26">
        <v>134.5</v>
      </c>
      <c r="AW42" s="26">
        <v>-1.72</v>
      </c>
      <c r="AX42" s="26">
        <v>74.0</v>
      </c>
      <c r="AY42" s="26"/>
      <c r="AZ42" s="26"/>
      <c r="BA42" s="26">
        <v>13.0</v>
      </c>
      <c r="BB42" s="26">
        <v>97.6</v>
      </c>
      <c r="BC42" s="26">
        <v>96.8</v>
      </c>
      <c r="BD42" s="26">
        <v>98.4</v>
      </c>
      <c r="BE42" s="26">
        <v>-4.77</v>
      </c>
      <c r="BF42" s="26">
        <v>28.0</v>
      </c>
      <c r="BG42" s="26"/>
      <c r="BH42" s="26"/>
      <c r="BI42" s="26"/>
      <c r="BJ42" s="26"/>
      <c r="BK42" s="26"/>
      <c r="BL42" s="26"/>
      <c r="BM42" s="26"/>
    </row>
    <row r="43" ht="15.75" customHeight="1">
      <c r="A43" s="25"/>
      <c r="B43" s="26"/>
      <c r="C43" s="26">
        <v>14.0</v>
      </c>
      <c r="D43" s="26">
        <v>113.7</v>
      </c>
      <c r="E43" s="26">
        <v>112.7</v>
      </c>
      <c r="F43" s="26">
        <v>114.7</v>
      </c>
      <c r="G43" s="26">
        <v>-3.38</v>
      </c>
      <c r="H43" s="26">
        <v>49.0</v>
      </c>
      <c r="I43" s="26"/>
      <c r="J43" s="26"/>
      <c r="K43" s="26">
        <v>14.0</v>
      </c>
      <c r="L43" s="26">
        <v>115.3</v>
      </c>
      <c r="M43" s="26">
        <v>114.4</v>
      </c>
      <c r="N43" s="26">
        <v>116.3</v>
      </c>
      <c r="O43" s="26">
        <v>-2.18</v>
      </c>
      <c r="P43" s="26">
        <v>67.0</v>
      </c>
      <c r="Q43" s="26"/>
      <c r="R43" s="26">
        <v>14.0</v>
      </c>
      <c r="S43" s="26">
        <v>120.9</v>
      </c>
      <c r="T43" s="26">
        <v>119.6</v>
      </c>
      <c r="U43" s="26">
        <v>122.2</v>
      </c>
      <c r="V43" s="26">
        <v>-3.65</v>
      </c>
      <c r="W43" s="26">
        <v>45.0</v>
      </c>
      <c r="X43" s="26"/>
      <c r="Y43" s="26"/>
      <c r="Z43" s="26">
        <v>14.0</v>
      </c>
      <c r="AA43" s="26">
        <v>124.9</v>
      </c>
      <c r="AB43" s="26">
        <v>119.9</v>
      </c>
      <c r="AC43" s="26">
        <v>129.8</v>
      </c>
      <c r="AD43" s="26">
        <v>-2.53</v>
      </c>
      <c r="AE43" s="26">
        <v>62.0</v>
      </c>
      <c r="AF43" s="26"/>
      <c r="AG43" s="26"/>
      <c r="AH43" s="26"/>
      <c r="AI43" s="26">
        <v>13.0</v>
      </c>
      <c r="AJ43" s="26">
        <v>138.5</v>
      </c>
      <c r="AK43" s="26">
        <v>137.4</v>
      </c>
      <c r="AL43" s="26">
        <v>139.5</v>
      </c>
      <c r="AM43" s="26">
        <v>-1.59</v>
      </c>
      <c r="AN43" s="26">
        <v>76.0</v>
      </c>
      <c r="AO43" s="26"/>
      <c r="AP43" s="26"/>
      <c r="AQ43" s="26"/>
      <c r="AR43" s="26"/>
      <c r="AS43" s="26">
        <v>14.0</v>
      </c>
      <c r="AT43" s="26">
        <v>133.8</v>
      </c>
      <c r="AU43" s="26">
        <v>132.6</v>
      </c>
      <c r="AV43" s="26">
        <v>135.0</v>
      </c>
      <c r="AW43" s="26">
        <v>-1.61</v>
      </c>
      <c r="AX43" s="26">
        <v>76.0</v>
      </c>
      <c r="AY43" s="26"/>
      <c r="AZ43" s="26"/>
      <c r="BA43" s="26">
        <v>14.0</v>
      </c>
      <c r="BB43" s="26">
        <v>97.9</v>
      </c>
      <c r="BC43" s="26">
        <v>97.1</v>
      </c>
      <c r="BD43" s="26">
        <v>98.6</v>
      </c>
      <c r="BE43" s="26">
        <v>-4.71</v>
      </c>
      <c r="BF43" s="26">
        <v>29.0</v>
      </c>
      <c r="BG43" s="26"/>
      <c r="BH43" s="26"/>
      <c r="BI43" s="26"/>
      <c r="BJ43" s="26"/>
      <c r="BK43" s="26"/>
      <c r="BL43" s="26"/>
      <c r="BM43" s="26"/>
    </row>
    <row r="44" ht="15.75" customHeight="1">
      <c r="A44" s="25"/>
      <c r="B44" s="26"/>
      <c r="C44" s="26">
        <v>15.0</v>
      </c>
      <c r="D44" s="26">
        <v>114.2</v>
      </c>
      <c r="E44" s="26">
        <v>112.9</v>
      </c>
      <c r="F44" s="26">
        <v>115.5</v>
      </c>
      <c r="G44" s="26">
        <v>-3.3</v>
      </c>
      <c r="H44" s="26">
        <v>50.0</v>
      </c>
      <c r="I44" s="26"/>
      <c r="J44" s="26"/>
      <c r="K44" s="26">
        <v>15.0</v>
      </c>
      <c r="L44" s="26">
        <v>115.6</v>
      </c>
      <c r="M44" s="26">
        <v>114.7</v>
      </c>
      <c r="N44" s="26">
        <v>116.5</v>
      </c>
      <c r="O44" s="26">
        <v>-2.13</v>
      </c>
      <c r="P44" s="26">
        <v>68.0</v>
      </c>
      <c r="Q44" s="26"/>
      <c r="R44" s="26">
        <v>15.0</v>
      </c>
      <c r="S44" s="26">
        <v>121.6</v>
      </c>
      <c r="T44" s="26">
        <v>120.2</v>
      </c>
      <c r="U44" s="26">
        <v>122.9</v>
      </c>
      <c r="V44" s="26">
        <v>-3.47</v>
      </c>
      <c r="W44" s="26">
        <v>48.0</v>
      </c>
      <c r="X44" s="26"/>
      <c r="Y44" s="26"/>
      <c r="Z44" s="26">
        <v>15.0</v>
      </c>
      <c r="AA44" s="26">
        <v>126.0</v>
      </c>
      <c r="AB44" s="26">
        <v>120.9</v>
      </c>
      <c r="AC44" s="26">
        <v>131.1</v>
      </c>
      <c r="AD44" s="26">
        <v>-2.39</v>
      </c>
      <c r="AE44" s="26">
        <v>64.0</v>
      </c>
      <c r="AF44" s="26"/>
      <c r="AG44" s="26"/>
      <c r="AH44" s="26"/>
      <c r="AI44" s="26">
        <v>14.0</v>
      </c>
      <c r="AJ44" s="26">
        <v>138.9</v>
      </c>
      <c r="AK44" s="26">
        <v>137.8</v>
      </c>
      <c r="AL44" s="26">
        <v>140.0</v>
      </c>
      <c r="AM44" s="26">
        <v>-1.53</v>
      </c>
      <c r="AN44" s="26">
        <v>77.0</v>
      </c>
      <c r="AO44" s="26"/>
      <c r="AP44" s="26"/>
      <c r="AQ44" s="26"/>
      <c r="AR44" s="26"/>
      <c r="AS44" s="26">
        <v>15.0</v>
      </c>
      <c r="AT44" s="26">
        <v>134.3</v>
      </c>
      <c r="AU44" s="26">
        <v>133.1</v>
      </c>
      <c r="AV44" s="26">
        <v>135.4</v>
      </c>
      <c r="AW44" s="26">
        <v>-1.51</v>
      </c>
      <c r="AX44" s="26">
        <v>77.0</v>
      </c>
      <c r="AY44" s="26"/>
      <c r="AZ44" s="26"/>
      <c r="BA44" s="26">
        <v>15.0</v>
      </c>
      <c r="BB44" s="26">
        <v>98.1</v>
      </c>
      <c r="BC44" s="26">
        <v>97.3</v>
      </c>
      <c r="BD44" s="26">
        <v>98.8</v>
      </c>
      <c r="BE44" s="26">
        <v>-4.65</v>
      </c>
      <c r="BF44" s="26">
        <v>30.0</v>
      </c>
      <c r="BG44" s="26"/>
      <c r="BH44" s="26"/>
      <c r="BI44" s="26"/>
      <c r="BJ44" s="26"/>
      <c r="BK44" s="26"/>
      <c r="BL44" s="26"/>
      <c r="BM44" s="26"/>
    </row>
    <row r="45" ht="15.75" customHeight="1">
      <c r="A45" s="25"/>
      <c r="B45" s="26"/>
      <c r="C45" s="26">
        <v>16.0</v>
      </c>
      <c r="D45" s="26">
        <v>115.0</v>
      </c>
      <c r="E45" s="26">
        <v>113.3</v>
      </c>
      <c r="F45" s="26">
        <v>116.8</v>
      </c>
      <c r="G45" s="26">
        <v>-3.18</v>
      </c>
      <c r="H45" s="26">
        <v>52.0</v>
      </c>
      <c r="I45" s="26"/>
      <c r="J45" s="26"/>
      <c r="K45" s="26">
        <v>16.0</v>
      </c>
      <c r="L45" s="26">
        <v>115.9</v>
      </c>
      <c r="M45" s="26">
        <v>115.0</v>
      </c>
      <c r="N45" s="26">
        <v>116.8</v>
      </c>
      <c r="O45" s="26">
        <v>-2.08</v>
      </c>
      <c r="P45" s="26">
        <v>69.0</v>
      </c>
      <c r="Q45" s="26"/>
      <c r="R45" s="26">
        <v>16.0</v>
      </c>
      <c r="S45" s="26">
        <v>122.2</v>
      </c>
      <c r="T45" s="26">
        <v>120.9</v>
      </c>
      <c r="U45" s="26">
        <v>123.6</v>
      </c>
      <c r="V45" s="26">
        <v>-3.28</v>
      </c>
      <c r="W45" s="26">
        <v>51.0</v>
      </c>
      <c r="X45" s="26"/>
      <c r="Y45" s="26"/>
      <c r="Z45" s="26">
        <v>16.0</v>
      </c>
      <c r="AA45" s="26">
        <v>127.3</v>
      </c>
      <c r="AB45" s="26">
        <v>122.0</v>
      </c>
      <c r="AC45" s="26">
        <v>132.6</v>
      </c>
      <c r="AD45" s="26">
        <v>-2.25</v>
      </c>
      <c r="AE45" s="26">
        <v>66.0</v>
      </c>
      <c r="AF45" s="26"/>
      <c r="AG45" s="26"/>
      <c r="AH45" s="26"/>
      <c r="AI45" s="26">
        <v>15.0</v>
      </c>
      <c r="AJ45" s="26">
        <v>139.3</v>
      </c>
      <c r="AK45" s="26">
        <v>138.2</v>
      </c>
      <c r="AL45" s="26">
        <v>140.4</v>
      </c>
      <c r="AM45" s="26">
        <v>-1.46</v>
      </c>
      <c r="AN45" s="26">
        <v>78.0</v>
      </c>
      <c r="AO45" s="26"/>
      <c r="AP45" s="26"/>
      <c r="AQ45" s="26"/>
      <c r="AR45" s="26"/>
      <c r="AS45" s="26">
        <v>16.0</v>
      </c>
      <c r="AT45" s="26">
        <v>134.8</v>
      </c>
      <c r="AU45" s="26">
        <v>133.6</v>
      </c>
      <c r="AV45" s="26">
        <v>136.0</v>
      </c>
      <c r="AW45" s="26">
        <v>-1.41</v>
      </c>
      <c r="AX45" s="26">
        <v>79.0</v>
      </c>
      <c r="AY45" s="26"/>
      <c r="AZ45" s="26"/>
      <c r="BA45" s="26">
        <v>16.0</v>
      </c>
      <c r="BB45" s="26">
        <v>98.2</v>
      </c>
      <c r="BC45" s="26">
        <v>97.6</v>
      </c>
      <c r="BD45" s="26">
        <v>98.9</v>
      </c>
      <c r="BE45" s="26">
        <v>-4.59</v>
      </c>
      <c r="BF45" s="26">
        <v>31.0</v>
      </c>
      <c r="BG45" s="26"/>
      <c r="BH45" s="26"/>
      <c r="BI45" s="26"/>
      <c r="BJ45" s="26"/>
      <c r="BK45" s="26"/>
      <c r="BL45" s="26"/>
      <c r="BM45" s="26"/>
    </row>
    <row r="46" ht="15.75" customHeight="1">
      <c r="A46" s="25"/>
      <c r="B46" s="26"/>
      <c r="C46" s="26">
        <v>17.0</v>
      </c>
      <c r="D46" s="26">
        <v>116.0</v>
      </c>
      <c r="E46" s="26">
        <v>114.5</v>
      </c>
      <c r="F46" s="26">
        <v>117.5</v>
      </c>
      <c r="G46" s="26">
        <v>-3.03</v>
      </c>
      <c r="H46" s="26">
        <v>55.0</v>
      </c>
      <c r="I46" s="26"/>
      <c r="J46" s="26"/>
      <c r="K46" s="26">
        <v>17.0</v>
      </c>
      <c r="L46" s="26">
        <v>116.2</v>
      </c>
      <c r="M46" s="26">
        <v>115.3</v>
      </c>
      <c r="N46" s="26">
        <v>117.1</v>
      </c>
      <c r="O46" s="26">
        <v>-2.04</v>
      </c>
      <c r="P46" s="26">
        <v>69.0</v>
      </c>
      <c r="Q46" s="26"/>
      <c r="R46" s="26">
        <v>17.0</v>
      </c>
      <c r="S46" s="26">
        <v>123.0</v>
      </c>
      <c r="T46" s="26">
        <v>121.6</v>
      </c>
      <c r="U46" s="26">
        <v>124.4</v>
      </c>
      <c r="V46" s="26">
        <v>-3.08</v>
      </c>
      <c r="W46" s="26">
        <v>54.0</v>
      </c>
      <c r="X46" s="26"/>
      <c r="Y46" s="26"/>
      <c r="Z46" s="26">
        <v>17.0</v>
      </c>
      <c r="AA46" s="26">
        <v>128.6</v>
      </c>
      <c r="AB46" s="26">
        <v>123.1</v>
      </c>
      <c r="AC46" s="26">
        <v>134.2</v>
      </c>
      <c r="AD46" s="26">
        <v>-2.05</v>
      </c>
      <c r="AE46" s="26">
        <v>69.0</v>
      </c>
      <c r="AF46" s="26"/>
      <c r="AG46" s="26"/>
      <c r="AH46" s="26"/>
      <c r="AI46" s="26">
        <v>16.0</v>
      </c>
      <c r="AJ46" s="26">
        <v>139.8</v>
      </c>
      <c r="AK46" s="26">
        <v>138.6</v>
      </c>
      <c r="AL46" s="26">
        <v>140.9</v>
      </c>
      <c r="AM46" s="26">
        <v>-1.39</v>
      </c>
      <c r="AN46" s="26">
        <v>79.0</v>
      </c>
      <c r="AO46" s="26"/>
      <c r="AP46" s="26"/>
      <c r="AQ46" s="26"/>
      <c r="AR46" s="26"/>
      <c r="AS46" s="26">
        <v>17.0</v>
      </c>
      <c r="AT46" s="26">
        <v>135.3</v>
      </c>
      <c r="AU46" s="26">
        <v>134.1</v>
      </c>
      <c r="AV46" s="26">
        <v>136.5</v>
      </c>
      <c r="AW46" s="26">
        <v>-1.31</v>
      </c>
      <c r="AX46" s="26">
        <v>80.0</v>
      </c>
      <c r="AY46" s="26"/>
      <c r="AZ46" s="26"/>
      <c r="BA46" s="26">
        <v>17.0</v>
      </c>
      <c r="BB46" s="26">
        <v>98.4</v>
      </c>
      <c r="BC46" s="26">
        <v>97.7</v>
      </c>
      <c r="BD46" s="26">
        <v>99.1</v>
      </c>
      <c r="BE46" s="26">
        <v>-4.54</v>
      </c>
      <c r="BF46" s="26">
        <v>32.0</v>
      </c>
      <c r="BG46" s="26"/>
      <c r="BH46" s="26"/>
      <c r="BI46" s="26"/>
      <c r="BJ46" s="26"/>
      <c r="BK46" s="26"/>
      <c r="BL46" s="26"/>
      <c r="BM46" s="26"/>
    </row>
    <row r="47" ht="15.75" customHeight="1">
      <c r="A47" s="25"/>
      <c r="B47" s="26"/>
      <c r="C47" s="26">
        <v>18.0</v>
      </c>
      <c r="D47" s="26">
        <v>117.0</v>
      </c>
      <c r="E47" s="26">
        <v>115.2</v>
      </c>
      <c r="F47" s="26">
        <v>118.7</v>
      </c>
      <c r="G47" s="26">
        <v>-2.89</v>
      </c>
      <c r="H47" s="26">
        <v>57.0</v>
      </c>
      <c r="I47" s="26"/>
      <c r="J47" s="26"/>
      <c r="K47" s="26">
        <v>18.0</v>
      </c>
      <c r="L47" s="26">
        <v>116.5</v>
      </c>
      <c r="M47" s="26">
        <v>115.6</v>
      </c>
      <c r="N47" s="26">
        <v>117.4</v>
      </c>
      <c r="O47" s="26">
        <v>-1.99</v>
      </c>
      <c r="P47" s="26">
        <v>70.0</v>
      </c>
      <c r="Q47" s="26"/>
      <c r="R47" s="26">
        <v>18.0</v>
      </c>
      <c r="S47" s="26">
        <v>123.7</v>
      </c>
      <c r="T47" s="26">
        <v>122.2</v>
      </c>
      <c r="U47" s="26">
        <v>125.2</v>
      </c>
      <c r="V47" s="26">
        <v>-2.88</v>
      </c>
      <c r="W47" s="26">
        <v>57.0</v>
      </c>
      <c r="X47" s="26"/>
      <c r="Y47" s="26"/>
      <c r="Z47" s="26">
        <v>18.0</v>
      </c>
      <c r="AA47" s="26">
        <v>130.1</v>
      </c>
      <c r="AB47" s="26">
        <v>124.2</v>
      </c>
      <c r="AC47" s="26">
        <v>136.0</v>
      </c>
      <c r="AD47" s="26">
        <v>-1.92</v>
      </c>
      <c r="AE47" s="26">
        <v>71.0</v>
      </c>
      <c r="AF47" s="26"/>
      <c r="AG47" s="26"/>
      <c r="AH47" s="26"/>
      <c r="AI47" s="26">
        <v>17.0</v>
      </c>
      <c r="AJ47" s="26">
        <v>140.3</v>
      </c>
      <c r="AK47" s="26">
        <v>139.1</v>
      </c>
      <c r="AL47" s="26">
        <v>141.5</v>
      </c>
      <c r="AM47" s="26">
        <v>-1.31</v>
      </c>
      <c r="AN47" s="26">
        <v>80.0</v>
      </c>
      <c r="AO47" s="26"/>
      <c r="AP47" s="26"/>
      <c r="AQ47" s="26"/>
      <c r="AR47" s="26"/>
      <c r="AS47" s="26">
        <v>18.0</v>
      </c>
      <c r="AT47" s="26">
        <v>135.9</v>
      </c>
      <c r="AU47" s="26">
        <v>134.6</v>
      </c>
      <c r="AV47" s="26">
        <v>137.1</v>
      </c>
      <c r="AW47" s="26">
        <v>-1.19</v>
      </c>
      <c r="AX47" s="26">
        <v>82.0</v>
      </c>
      <c r="AY47" s="26"/>
      <c r="AZ47" s="26"/>
      <c r="BA47" s="26">
        <v>18.0</v>
      </c>
      <c r="BB47" s="26">
        <v>98.5</v>
      </c>
      <c r="BC47" s="26">
        <v>97.9</v>
      </c>
      <c r="BD47" s="26">
        <v>99.2</v>
      </c>
      <c r="BE47" s="26">
        <v>-4.5</v>
      </c>
      <c r="BF47" s="26">
        <v>33.0</v>
      </c>
      <c r="BG47" s="26"/>
      <c r="BH47" s="26"/>
      <c r="BI47" s="26"/>
      <c r="BJ47" s="26"/>
      <c r="BK47" s="26"/>
      <c r="BL47" s="26"/>
      <c r="BM47" s="26"/>
    </row>
    <row r="48" ht="15.75" customHeight="1">
      <c r="A48" s="25"/>
      <c r="B48" s="26"/>
      <c r="C48" s="26">
        <v>19.0</v>
      </c>
      <c r="D48" s="26">
        <v>118.0</v>
      </c>
      <c r="E48" s="26">
        <v>116.5</v>
      </c>
      <c r="F48" s="26">
        <v>119.4</v>
      </c>
      <c r="G48" s="26">
        <v>-2.74</v>
      </c>
      <c r="H48" s="26">
        <v>59.0</v>
      </c>
      <c r="I48" s="26"/>
      <c r="J48" s="26"/>
      <c r="K48" s="26">
        <v>19.0</v>
      </c>
      <c r="L48" s="26">
        <v>116.8</v>
      </c>
      <c r="M48" s="26">
        <v>115.9</v>
      </c>
      <c r="N48" s="26">
        <v>117.7</v>
      </c>
      <c r="O48" s="26">
        <v>-1.94</v>
      </c>
      <c r="P48" s="26">
        <v>71.0</v>
      </c>
      <c r="Q48" s="26"/>
      <c r="R48" s="26">
        <v>19.0</v>
      </c>
      <c r="S48" s="26">
        <v>124.6</v>
      </c>
      <c r="T48" s="26">
        <v>122.9</v>
      </c>
      <c r="U48" s="26">
        <v>126.3</v>
      </c>
      <c r="V48" s="26">
        <v>-2.63</v>
      </c>
      <c r="W48" s="26">
        <v>60.0</v>
      </c>
      <c r="X48" s="26"/>
      <c r="Y48" s="26"/>
      <c r="Z48" s="26">
        <v>19.0</v>
      </c>
      <c r="AA48" s="26">
        <v>131.9</v>
      </c>
      <c r="AB48" s="26">
        <v>125.5</v>
      </c>
      <c r="AC48" s="26">
        <v>138.3</v>
      </c>
      <c r="AD48" s="26">
        <v>-1.72</v>
      </c>
      <c r="AE48" s="26">
        <v>74.0</v>
      </c>
      <c r="AF48" s="26"/>
      <c r="AG48" s="26"/>
      <c r="AH48" s="26"/>
      <c r="AI48" s="26">
        <v>18.0</v>
      </c>
      <c r="AJ48" s="26">
        <v>140.8</v>
      </c>
      <c r="AK48" s="26">
        <v>139.6</v>
      </c>
      <c r="AL48" s="26">
        <v>142.0</v>
      </c>
      <c r="AM48" s="26">
        <v>-1.23</v>
      </c>
      <c r="AN48" s="26">
        <v>82.0</v>
      </c>
      <c r="AO48" s="26"/>
      <c r="AP48" s="26"/>
      <c r="AQ48" s="26"/>
      <c r="AR48" s="26"/>
      <c r="AS48" s="26">
        <v>19.0</v>
      </c>
      <c r="AT48" s="26">
        <v>136.5</v>
      </c>
      <c r="AU48" s="26">
        <v>135.1</v>
      </c>
      <c r="AV48" s="26">
        <v>137.8</v>
      </c>
      <c r="AW48" s="26">
        <v>-1.06</v>
      </c>
      <c r="AX48" s="26">
        <v>84.0</v>
      </c>
      <c r="AY48" s="26"/>
      <c r="AZ48" s="26"/>
      <c r="BA48" s="26">
        <v>19.0</v>
      </c>
      <c r="BB48" s="26">
        <v>98.7</v>
      </c>
      <c r="BC48" s="26">
        <v>98.1</v>
      </c>
      <c r="BD48" s="26">
        <v>99.3</v>
      </c>
      <c r="BE48" s="26">
        <v>-4.45</v>
      </c>
      <c r="BF48" s="26">
        <v>33.0</v>
      </c>
      <c r="BG48" s="26"/>
      <c r="BH48" s="26"/>
      <c r="BI48" s="26"/>
      <c r="BJ48" s="26"/>
      <c r="BK48" s="26"/>
      <c r="BL48" s="26"/>
      <c r="BM48" s="26"/>
    </row>
    <row r="49" ht="15.75" customHeight="1">
      <c r="A49" s="25"/>
      <c r="B49" s="26"/>
      <c r="C49" s="26">
        <v>20.0</v>
      </c>
      <c r="D49" s="26">
        <v>118.6</v>
      </c>
      <c r="E49" s="26">
        <v>117.3</v>
      </c>
      <c r="F49" s="26">
        <v>120.0</v>
      </c>
      <c r="G49" s="26">
        <v>-2.63</v>
      </c>
      <c r="H49" s="26">
        <v>60.0</v>
      </c>
      <c r="I49" s="26"/>
      <c r="J49" s="26"/>
      <c r="K49" s="26">
        <v>20.0</v>
      </c>
      <c r="L49" s="26">
        <v>117.1</v>
      </c>
      <c r="M49" s="26">
        <v>116.2</v>
      </c>
      <c r="N49" s="26">
        <v>118.0</v>
      </c>
      <c r="O49" s="26">
        <v>-1.89</v>
      </c>
      <c r="P49" s="26">
        <v>72.0</v>
      </c>
      <c r="Q49" s="26"/>
      <c r="R49" s="26">
        <v>20.0</v>
      </c>
      <c r="S49" s="26">
        <v>125.9</v>
      </c>
      <c r="T49" s="26">
        <v>123.9</v>
      </c>
      <c r="U49" s="26">
        <v>127.9</v>
      </c>
      <c r="V49" s="26">
        <v>-2.28</v>
      </c>
      <c r="W49" s="26">
        <v>66.0</v>
      </c>
      <c r="X49" s="26"/>
      <c r="Y49" s="26"/>
      <c r="Z49" s="26">
        <v>20.0</v>
      </c>
      <c r="AA49" s="26">
        <v>133.9</v>
      </c>
      <c r="AB49" s="26">
        <v>126.9</v>
      </c>
      <c r="AC49" s="26">
        <v>141.0</v>
      </c>
      <c r="AD49" s="26">
        <v>-1.48</v>
      </c>
      <c r="AE49" s="26">
        <v>78.0</v>
      </c>
      <c r="AF49" s="26"/>
      <c r="AG49" s="26"/>
      <c r="AH49" s="26"/>
      <c r="AI49" s="26">
        <v>19.0</v>
      </c>
      <c r="AJ49" s="26">
        <v>141.4</v>
      </c>
      <c r="AK49" s="26">
        <v>140.1</v>
      </c>
      <c r="AL49" s="26">
        <v>142.6</v>
      </c>
      <c r="AM49" s="26">
        <v>-1.14</v>
      </c>
      <c r="AN49" s="26">
        <v>83.0</v>
      </c>
      <c r="AO49" s="26"/>
      <c r="AP49" s="26"/>
      <c r="AQ49" s="26"/>
      <c r="AR49" s="26"/>
      <c r="AS49" s="26">
        <v>20.0</v>
      </c>
      <c r="AT49" s="26">
        <v>137.2</v>
      </c>
      <c r="AU49" s="26">
        <v>135.8</v>
      </c>
      <c r="AV49" s="26">
        <v>138.6</v>
      </c>
      <c r="AW49" s="26">
        <v>-0.91</v>
      </c>
      <c r="AX49" s="26">
        <v>86.0</v>
      </c>
      <c r="AY49" s="26"/>
      <c r="AZ49" s="26"/>
      <c r="BA49" s="26">
        <v>20.0</v>
      </c>
      <c r="BB49" s="26">
        <v>98.8</v>
      </c>
      <c r="BC49" s="26">
        <v>98.2</v>
      </c>
      <c r="BD49" s="26">
        <v>99.5</v>
      </c>
      <c r="BE49" s="26">
        <v>-4.4</v>
      </c>
      <c r="BF49" s="26">
        <v>34.0</v>
      </c>
      <c r="BG49" s="26"/>
      <c r="BH49" s="26"/>
      <c r="BI49" s="26"/>
      <c r="BJ49" s="26"/>
      <c r="BK49" s="26"/>
      <c r="BL49" s="26"/>
      <c r="BM49" s="26"/>
    </row>
    <row r="50" ht="15.75" customHeight="1">
      <c r="A50" s="25"/>
      <c r="B50" s="26"/>
      <c r="C50" s="26">
        <v>21.0</v>
      </c>
      <c r="D50" s="26">
        <v>119.3</v>
      </c>
      <c r="E50" s="26">
        <v>117.9</v>
      </c>
      <c r="F50" s="26">
        <v>120.7</v>
      </c>
      <c r="G50" s="26">
        <v>-2.53</v>
      </c>
      <c r="H50" s="26">
        <v>62.0</v>
      </c>
      <c r="I50" s="26"/>
      <c r="J50" s="26"/>
      <c r="K50" s="26">
        <v>21.0</v>
      </c>
      <c r="L50" s="26">
        <v>117.4</v>
      </c>
      <c r="M50" s="26">
        <v>116.5</v>
      </c>
      <c r="N50" s="26">
        <v>118.2</v>
      </c>
      <c r="O50" s="26">
        <v>-1.85</v>
      </c>
      <c r="P50" s="26">
        <v>72.0</v>
      </c>
      <c r="Q50" s="26"/>
      <c r="R50" s="26">
        <v>21.0</v>
      </c>
      <c r="S50" s="26">
        <v>127.5</v>
      </c>
      <c r="T50" s="26">
        <v>125.5</v>
      </c>
      <c r="U50" s="26">
        <v>129.4</v>
      </c>
      <c r="V50" s="26">
        <v>-1.86</v>
      </c>
      <c r="W50" s="26">
        <v>72.0</v>
      </c>
      <c r="X50" s="26"/>
      <c r="Y50" s="26"/>
      <c r="Z50" s="26">
        <v>21.0</v>
      </c>
      <c r="AA50" s="26">
        <v>136.5</v>
      </c>
      <c r="AB50" s="26">
        <v>128.5</v>
      </c>
      <c r="AC50" s="26">
        <v>144.6</v>
      </c>
      <c r="AD50" s="26">
        <v>-1.18</v>
      </c>
      <c r="AE50" s="26">
        <v>82.0</v>
      </c>
      <c r="AF50" s="26"/>
      <c r="AG50" s="26"/>
      <c r="AH50" s="26"/>
      <c r="AI50" s="26">
        <v>20.0</v>
      </c>
      <c r="AJ50" s="26">
        <v>142.0</v>
      </c>
      <c r="AK50" s="26">
        <v>140.6</v>
      </c>
      <c r="AL50" s="26">
        <v>143.4</v>
      </c>
      <c r="AM50" s="26">
        <v>-1.04</v>
      </c>
      <c r="AN50" s="26">
        <v>84.0</v>
      </c>
      <c r="AO50" s="26"/>
      <c r="AP50" s="26"/>
      <c r="AQ50" s="26"/>
      <c r="AR50" s="26"/>
      <c r="AS50" s="26">
        <v>21.0</v>
      </c>
      <c r="AT50" s="26">
        <v>138.0</v>
      </c>
      <c r="AU50" s="26">
        <v>136.5</v>
      </c>
      <c r="AV50" s="26">
        <v>139.4</v>
      </c>
      <c r="AW50" s="26">
        <v>-0.75</v>
      </c>
      <c r="AX50" s="26">
        <v>89.0</v>
      </c>
      <c r="AY50" s="26"/>
      <c r="AZ50" s="26"/>
      <c r="BA50" s="26">
        <v>21.0</v>
      </c>
      <c r="BB50" s="26">
        <v>99.0</v>
      </c>
      <c r="BC50" s="26">
        <v>98.3</v>
      </c>
      <c r="BD50" s="26">
        <v>99.6</v>
      </c>
      <c r="BE50" s="26">
        <v>-4.36</v>
      </c>
      <c r="BF50" s="26">
        <v>35.0</v>
      </c>
      <c r="BG50" s="26"/>
      <c r="BH50" s="26"/>
      <c r="BI50" s="26"/>
      <c r="BJ50" s="26"/>
      <c r="BK50" s="26"/>
      <c r="BL50" s="26"/>
      <c r="BM50" s="26"/>
    </row>
    <row r="51" ht="15.75" customHeight="1">
      <c r="A51" s="25"/>
      <c r="B51" s="26"/>
      <c r="C51" s="26">
        <v>22.0</v>
      </c>
      <c r="D51" s="26">
        <v>120.0</v>
      </c>
      <c r="E51" s="26">
        <v>118.7</v>
      </c>
      <c r="F51" s="26">
        <v>121.2</v>
      </c>
      <c r="G51" s="26">
        <v>-2.43</v>
      </c>
      <c r="H51" s="26">
        <v>63.0</v>
      </c>
      <c r="I51" s="26"/>
      <c r="J51" s="26"/>
      <c r="K51" s="26">
        <v>22.0</v>
      </c>
      <c r="L51" s="26">
        <v>117.6</v>
      </c>
      <c r="M51" s="26">
        <v>116.8</v>
      </c>
      <c r="N51" s="26">
        <v>118.4</v>
      </c>
      <c r="O51" s="26">
        <v>-1.81</v>
      </c>
      <c r="P51" s="26">
        <v>73.0</v>
      </c>
      <c r="Q51" s="26"/>
      <c r="R51" s="26">
        <v>22.0</v>
      </c>
      <c r="S51" s="26">
        <v>128.7</v>
      </c>
      <c r="T51" s="26">
        <v>127.0</v>
      </c>
      <c r="U51" s="26">
        <v>130.4</v>
      </c>
      <c r="V51" s="26">
        <v>-1.52</v>
      </c>
      <c r="W51" s="26">
        <v>77.0</v>
      </c>
      <c r="X51" s="26"/>
      <c r="Y51" s="26"/>
      <c r="Z51" s="26">
        <v>22.0</v>
      </c>
      <c r="AA51" s="26">
        <v>140.1</v>
      </c>
      <c r="AB51" s="26">
        <v>130.4</v>
      </c>
      <c r="AC51" s="26">
        <v>149.9</v>
      </c>
      <c r="AD51" s="26">
        <v>-0.76</v>
      </c>
      <c r="AE51" s="26">
        <v>89.0</v>
      </c>
      <c r="AF51" s="26"/>
      <c r="AG51" s="26"/>
      <c r="AH51" s="26"/>
      <c r="AI51" s="26">
        <v>21.0</v>
      </c>
      <c r="AJ51" s="26">
        <v>142.8</v>
      </c>
      <c r="AK51" s="26">
        <v>141.3</v>
      </c>
      <c r="AL51" s="26">
        <v>144.3</v>
      </c>
      <c r="AM51" s="26">
        <v>-0.92</v>
      </c>
      <c r="AN51" s="26">
        <v>86.0</v>
      </c>
      <c r="AO51" s="26"/>
      <c r="AP51" s="26"/>
      <c r="AQ51" s="26"/>
      <c r="AR51" s="26"/>
      <c r="AS51" s="26">
        <v>22.0</v>
      </c>
      <c r="AT51" s="26">
        <v>138.8</v>
      </c>
      <c r="AU51" s="26">
        <v>137.3</v>
      </c>
      <c r="AV51" s="26">
        <v>140.3</v>
      </c>
      <c r="AW51" s="26">
        <v>-0.58</v>
      </c>
      <c r="AX51" s="26">
        <v>91.0</v>
      </c>
      <c r="AY51" s="26"/>
      <c r="AZ51" s="26"/>
      <c r="BA51" s="26">
        <v>22.0</v>
      </c>
      <c r="BB51" s="26">
        <v>99.1</v>
      </c>
      <c r="BC51" s="26">
        <v>98.5</v>
      </c>
      <c r="BD51" s="26">
        <v>99.8</v>
      </c>
      <c r="BE51" s="26">
        <v>-4.31</v>
      </c>
      <c r="BF51" s="26">
        <v>35.0</v>
      </c>
      <c r="BG51" s="26"/>
      <c r="BH51" s="26"/>
      <c r="BI51" s="26"/>
      <c r="BJ51" s="26"/>
      <c r="BK51" s="26"/>
      <c r="BL51" s="26"/>
      <c r="BM51" s="26"/>
    </row>
    <row r="52" ht="15.75" customHeight="1">
      <c r="A52" s="25"/>
      <c r="B52" s="26"/>
      <c r="C52" s="26">
        <v>23.0</v>
      </c>
      <c r="D52" s="26">
        <v>120.5</v>
      </c>
      <c r="E52" s="26">
        <v>119.3</v>
      </c>
      <c r="F52" s="26">
        <v>121.7</v>
      </c>
      <c r="G52" s="26">
        <v>-2.35</v>
      </c>
      <c r="H52" s="26">
        <v>65.0</v>
      </c>
      <c r="I52" s="26"/>
      <c r="J52" s="26"/>
      <c r="K52" s="26">
        <v>23.0</v>
      </c>
      <c r="L52" s="26">
        <v>117.9</v>
      </c>
      <c r="M52" s="26">
        <v>117.1</v>
      </c>
      <c r="N52" s="26">
        <v>118.7</v>
      </c>
      <c r="O52" s="26">
        <v>-1.77</v>
      </c>
      <c r="P52" s="26">
        <v>74.0</v>
      </c>
      <c r="Q52" s="26"/>
      <c r="R52" s="26">
        <v>23.0</v>
      </c>
      <c r="S52" s="26">
        <v>129.7</v>
      </c>
      <c r="T52" s="26">
        <v>128.1</v>
      </c>
      <c r="U52" s="26">
        <v>131.4</v>
      </c>
      <c r="V52" s="26">
        <v>-1.24</v>
      </c>
      <c r="W52" s="26">
        <v>81.0</v>
      </c>
      <c r="X52" s="26"/>
      <c r="Y52" s="26"/>
      <c r="Z52" s="26">
        <v>23.0</v>
      </c>
      <c r="AA52" s="26">
        <v>146.1</v>
      </c>
      <c r="AB52" s="26">
        <v>132.5</v>
      </c>
      <c r="AC52" s="26">
        <v>159.7</v>
      </c>
      <c r="AD52" s="26">
        <v>-0.07</v>
      </c>
      <c r="AE52" s="26">
        <v>99.0</v>
      </c>
      <c r="AF52" s="26"/>
      <c r="AG52" s="26"/>
      <c r="AH52" s="26"/>
      <c r="AI52" s="26">
        <v>22.0</v>
      </c>
      <c r="AJ52" s="26">
        <v>143.7</v>
      </c>
      <c r="AK52" s="26">
        <v>142.0</v>
      </c>
      <c r="AL52" s="26">
        <v>145.4</v>
      </c>
      <c r="AM52" s="26">
        <v>-0.77</v>
      </c>
      <c r="AN52" s="26">
        <v>88.0</v>
      </c>
      <c r="AO52" s="26"/>
      <c r="AP52" s="26"/>
      <c r="AQ52" s="26"/>
      <c r="AR52" s="26"/>
      <c r="AS52" s="26">
        <v>23.0</v>
      </c>
      <c r="AT52" s="26">
        <v>139.7</v>
      </c>
      <c r="AU52" s="26">
        <v>138.1</v>
      </c>
      <c r="AV52" s="26">
        <v>141.3</v>
      </c>
      <c r="AW52" s="26">
        <v>-0.4</v>
      </c>
      <c r="AX52" s="26">
        <v>94.0</v>
      </c>
      <c r="AY52" s="26"/>
      <c r="AZ52" s="26"/>
      <c r="BA52" s="26">
        <v>23.0</v>
      </c>
      <c r="BB52" s="26">
        <v>99.3</v>
      </c>
      <c r="BC52" s="26">
        <v>98.6</v>
      </c>
      <c r="BD52" s="26">
        <v>100.0</v>
      </c>
      <c r="BE52" s="26">
        <v>-4.26</v>
      </c>
      <c r="BF52" s="26">
        <v>36.0</v>
      </c>
      <c r="BG52" s="26"/>
      <c r="BH52" s="26"/>
      <c r="BI52" s="26"/>
      <c r="BJ52" s="26"/>
      <c r="BK52" s="26"/>
      <c r="BL52" s="26"/>
      <c r="BM52" s="26"/>
    </row>
    <row r="53" ht="15.75" customHeight="1">
      <c r="A53" s="25"/>
      <c r="B53" s="26"/>
      <c r="C53" s="26">
        <v>24.0</v>
      </c>
      <c r="D53" s="26">
        <v>121.0</v>
      </c>
      <c r="E53" s="26">
        <v>119.9</v>
      </c>
      <c r="F53" s="26">
        <v>122.1</v>
      </c>
      <c r="G53" s="26">
        <v>-2.28</v>
      </c>
      <c r="H53" s="26">
        <v>66.0</v>
      </c>
      <c r="I53" s="26"/>
      <c r="J53" s="26"/>
      <c r="K53" s="26">
        <v>24.0</v>
      </c>
      <c r="L53" s="26">
        <v>118.1</v>
      </c>
      <c r="M53" s="26">
        <v>117.3</v>
      </c>
      <c r="N53" s="26">
        <v>118.8</v>
      </c>
      <c r="O53" s="26">
        <v>-1.73</v>
      </c>
      <c r="P53" s="26">
        <v>74.0</v>
      </c>
      <c r="Q53" s="26"/>
      <c r="R53" s="26">
        <v>24.0</v>
      </c>
      <c r="S53" s="26">
        <v>130.8</v>
      </c>
      <c r="T53" s="26">
        <v>129.0</v>
      </c>
      <c r="U53" s="26">
        <v>132.5</v>
      </c>
      <c r="V53" s="26">
        <v>-0.96</v>
      </c>
      <c r="W53" s="26">
        <v>86.0</v>
      </c>
      <c r="X53" s="26"/>
      <c r="Y53" s="26"/>
      <c r="Z53" s="26">
        <v>24.0</v>
      </c>
      <c r="AA53" s="26">
        <v>156.1</v>
      </c>
      <c r="AB53" s="26">
        <v>131.7</v>
      </c>
      <c r="AC53" s="26">
        <v>180.4</v>
      </c>
      <c r="AD53" s="26">
        <v>1.08</v>
      </c>
      <c r="AE53" s="26">
        <v>116.0</v>
      </c>
      <c r="AF53" s="26"/>
      <c r="AG53" s="26"/>
      <c r="AH53" s="26"/>
      <c r="AI53" s="26">
        <v>23.0</v>
      </c>
      <c r="AJ53" s="26">
        <v>144.8</v>
      </c>
      <c r="AK53" s="26">
        <v>143.0</v>
      </c>
      <c r="AL53" s="26">
        <v>146.5</v>
      </c>
      <c r="AM53" s="26">
        <v>-0.61</v>
      </c>
      <c r="AN53" s="26">
        <v>91.0</v>
      </c>
      <c r="AO53" s="26"/>
      <c r="AP53" s="26"/>
      <c r="AQ53" s="26"/>
      <c r="AR53" s="26"/>
      <c r="AS53" s="26">
        <v>24.0</v>
      </c>
      <c r="AT53" s="26">
        <v>140.8</v>
      </c>
      <c r="AU53" s="26">
        <v>138.9</v>
      </c>
      <c r="AV53" s="26">
        <v>142.7</v>
      </c>
      <c r="AW53" s="26">
        <v>-0.17</v>
      </c>
      <c r="AX53" s="26">
        <v>97.0</v>
      </c>
      <c r="AY53" s="26"/>
      <c r="AZ53" s="26"/>
      <c r="BA53" s="26">
        <v>24.0</v>
      </c>
      <c r="BB53" s="26">
        <v>99.5</v>
      </c>
      <c r="BC53" s="26">
        <v>98.8</v>
      </c>
      <c r="BD53" s="26">
        <v>100.1</v>
      </c>
      <c r="BE53" s="26">
        <v>-4.21</v>
      </c>
      <c r="BF53" s="26">
        <v>37.0</v>
      </c>
      <c r="BG53" s="26"/>
      <c r="BH53" s="26"/>
      <c r="BI53" s="26"/>
      <c r="BJ53" s="26"/>
      <c r="BK53" s="26"/>
      <c r="BL53" s="26"/>
      <c r="BM53" s="26"/>
    </row>
    <row r="54" ht="15.75" customHeight="1">
      <c r="A54" s="25"/>
      <c r="B54" s="26"/>
      <c r="C54" s="26">
        <v>25.0</v>
      </c>
      <c r="D54" s="26">
        <v>121.5</v>
      </c>
      <c r="E54" s="26">
        <v>120.3</v>
      </c>
      <c r="F54" s="26">
        <v>122.6</v>
      </c>
      <c r="G54" s="26">
        <v>-2.21</v>
      </c>
      <c r="H54" s="26">
        <v>67.0</v>
      </c>
      <c r="I54" s="26"/>
      <c r="J54" s="26"/>
      <c r="K54" s="26">
        <v>25.0</v>
      </c>
      <c r="L54" s="26">
        <v>118.3</v>
      </c>
      <c r="M54" s="26">
        <v>117.6</v>
      </c>
      <c r="N54" s="26">
        <v>119.0</v>
      </c>
      <c r="O54" s="26">
        <v>-1.7</v>
      </c>
      <c r="P54" s="26">
        <v>75.0</v>
      </c>
      <c r="Q54" s="26"/>
      <c r="R54" s="26">
        <v>25.0</v>
      </c>
      <c r="S54" s="26">
        <v>132.0</v>
      </c>
      <c r="T54" s="26">
        <v>130.0</v>
      </c>
      <c r="U54" s="26">
        <v>134.0</v>
      </c>
      <c r="V54" s="26">
        <v>-0.62</v>
      </c>
      <c r="W54" s="26">
        <v>91.0</v>
      </c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>
        <v>24.0</v>
      </c>
      <c r="AJ54" s="26">
        <v>145.9</v>
      </c>
      <c r="AK54" s="26">
        <v>144.0</v>
      </c>
      <c r="AL54" s="26">
        <v>147.8</v>
      </c>
      <c r="AM54" s="26">
        <v>-0.42</v>
      </c>
      <c r="AN54" s="26">
        <v>94.0</v>
      </c>
      <c r="AO54" s="26"/>
      <c r="AP54" s="26"/>
      <c r="AQ54" s="26"/>
      <c r="AR54" s="26"/>
      <c r="AS54" s="26">
        <v>25.0</v>
      </c>
      <c r="AT54" s="26">
        <v>142.2</v>
      </c>
      <c r="AU54" s="26">
        <v>140.2</v>
      </c>
      <c r="AV54" s="26">
        <v>144.3</v>
      </c>
      <c r="AW54" s="26">
        <v>0.12</v>
      </c>
      <c r="AX54" s="26">
        <v>102.0</v>
      </c>
      <c r="AY54" s="26"/>
      <c r="AZ54" s="26"/>
      <c r="BA54" s="26">
        <v>25.0</v>
      </c>
      <c r="BB54" s="26">
        <v>99.6</v>
      </c>
      <c r="BC54" s="26">
        <v>98.9</v>
      </c>
      <c r="BD54" s="26">
        <v>100.3</v>
      </c>
      <c r="BE54" s="26">
        <v>-4.16</v>
      </c>
      <c r="BF54" s="26">
        <v>38.0</v>
      </c>
      <c r="BG54" s="26"/>
      <c r="BH54" s="26"/>
      <c r="BI54" s="26"/>
      <c r="BJ54" s="26"/>
      <c r="BK54" s="26"/>
      <c r="BL54" s="26"/>
      <c r="BM54" s="26"/>
    </row>
    <row r="55" ht="15.75" customHeight="1">
      <c r="A55" s="25"/>
      <c r="B55" s="26"/>
      <c r="C55" s="26">
        <v>26.0</v>
      </c>
      <c r="D55" s="26">
        <v>121.9</v>
      </c>
      <c r="E55" s="26">
        <v>120.8</v>
      </c>
      <c r="F55" s="26">
        <v>123.1</v>
      </c>
      <c r="G55" s="26">
        <v>-2.14</v>
      </c>
      <c r="H55" s="26">
        <v>68.0</v>
      </c>
      <c r="I55" s="26"/>
      <c r="J55" s="26"/>
      <c r="K55" s="26">
        <v>26.0</v>
      </c>
      <c r="L55" s="26">
        <v>118.5</v>
      </c>
      <c r="M55" s="26">
        <v>117.8</v>
      </c>
      <c r="N55" s="26">
        <v>119.2</v>
      </c>
      <c r="O55" s="26">
        <v>-1.66</v>
      </c>
      <c r="P55" s="26">
        <v>75.0</v>
      </c>
      <c r="Q55" s="26"/>
      <c r="R55" s="26">
        <v>26.0</v>
      </c>
      <c r="S55" s="26">
        <v>134.1</v>
      </c>
      <c r="T55" s="26">
        <v>131.3</v>
      </c>
      <c r="U55" s="26">
        <v>137.0</v>
      </c>
      <c r="V55" s="26">
        <v>-0.05</v>
      </c>
      <c r="W55" s="26">
        <v>99.0</v>
      </c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>
        <v>25.0</v>
      </c>
      <c r="AJ55" s="26">
        <v>147.6</v>
      </c>
      <c r="AK55" s="26">
        <v>145.2</v>
      </c>
      <c r="AL55" s="26">
        <v>150.0</v>
      </c>
      <c r="AM55" s="26">
        <v>-0.16</v>
      </c>
      <c r="AN55" s="26">
        <v>98.0</v>
      </c>
      <c r="AO55" s="26"/>
      <c r="AP55" s="26"/>
      <c r="AQ55" s="26"/>
      <c r="AR55" s="26"/>
      <c r="AS55" s="26">
        <v>26.0</v>
      </c>
      <c r="AT55" s="26">
        <v>143.8</v>
      </c>
      <c r="AU55" s="26">
        <v>141.6</v>
      </c>
      <c r="AV55" s="26">
        <v>146.0</v>
      </c>
      <c r="AW55" s="26">
        <v>0.45</v>
      </c>
      <c r="AX55" s="26">
        <v>107.0</v>
      </c>
      <c r="AY55" s="26"/>
      <c r="AZ55" s="26"/>
      <c r="BA55" s="26">
        <v>26.0</v>
      </c>
      <c r="BB55" s="26">
        <v>99.8</v>
      </c>
      <c r="BC55" s="26">
        <v>99.1</v>
      </c>
      <c r="BD55" s="26">
        <v>100.5</v>
      </c>
      <c r="BE55" s="26">
        <v>-4.1</v>
      </c>
      <c r="BF55" s="26">
        <v>39.0</v>
      </c>
      <c r="BG55" s="26"/>
      <c r="BH55" s="26"/>
      <c r="BI55" s="26"/>
      <c r="BJ55" s="26"/>
      <c r="BK55" s="26"/>
      <c r="BL55" s="26"/>
      <c r="BM55" s="26"/>
    </row>
    <row r="56" ht="15.75" customHeight="1">
      <c r="A56" s="25"/>
      <c r="B56" s="26"/>
      <c r="C56" s="26">
        <v>27.0</v>
      </c>
      <c r="D56" s="26">
        <v>122.4</v>
      </c>
      <c r="E56" s="26">
        <v>121.3</v>
      </c>
      <c r="F56" s="26">
        <v>123.5</v>
      </c>
      <c r="G56" s="26">
        <v>-2.07</v>
      </c>
      <c r="H56" s="26">
        <v>69.0</v>
      </c>
      <c r="I56" s="26"/>
      <c r="J56" s="26"/>
      <c r="K56" s="26">
        <v>27.0</v>
      </c>
      <c r="L56" s="26">
        <v>118.6</v>
      </c>
      <c r="M56" s="26">
        <v>118.0</v>
      </c>
      <c r="N56" s="26">
        <v>119.3</v>
      </c>
      <c r="O56" s="26">
        <v>-1.64</v>
      </c>
      <c r="P56" s="26">
        <v>75.0</v>
      </c>
      <c r="Q56" s="26"/>
      <c r="R56" s="26">
        <v>27.0</v>
      </c>
      <c r="S56" s="26">
        <v>137.0</v>
      </c>
      <c r="T56" s="26">
        <v>134.2</v>
      </c>
      <c r="U56" s="26">
        <v>139.9</v>
      </c>
      <c r="V56" s="26">
        <v>0.75</v>
      </c>
      <c r="W56" s="26">
        <v>111.0</v>
      </c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>
        <v>26.0</v>
      </c>
      <c r="AJ56" s="26">
        <v>149.7</v>
      </c>
      <c r="AK56" s="26">
        <v>147.4</v>
      </c>
      <c r="AL56" s="26">
        <v>151.9</v>
      </c>
      <c r="AM56" s="26">
        <v>0.16</v>
      </c>
      <c r="AN56" s="26">
        <v>102.0</v>
      </c>
      <c r="AO56" s="26"/>
      <c r="AP56" s="26"/>
      <c r="AQ56" s="26"/>
      <c r="AR56" s="26"/>
      <c r="AS56" s="26">
        <v>27.0</v>
      </c>
      <c r="AT56" s="26">
        <v>146.2</v>
      </c>
      <c r="AU56" s="26">
        <v>143.1</v>
      </c>
      <c r="AV56" s="26">
        <v>149.3</v>
      </c>
      <c r="AW56" s="26">
        <v>0.94</v>
      </c>
      <c r="AX56" s="26">
        <v>114.0</v>
      </c>
      <c r="AY56" s="26"/>
      <c r="AZ56" s="26"/>
      <c r="BA56" s="26">
        <v>27.0</v>
      </c>
      <c r="BB56" s="26">
        <v>100.0</v>
      </c>
      <c r="BC56" s="26">
        <v>99.3</v>
      </c>
      <c r="BD56" s="26">
        <v>100.8</v>
      </c>
      <c r="BE56" s="26">
        <v>-4.04</v>
      </c>
      <c r="BF56" s="26">
        <v>39.0</v>
      </c>
      <c r="BG56" s="26"/>
      <c r="BH56" s="26"/>
      <c r="BI56" s="26"/>
      <c r="BJ56" s="26"/>
      <c r="BK56" s="26"/>
      <c r="BL56" s="26"/>
      <c r="BM56" s="26"/>
    </row>
    <row r="57" ht="15.75" customHeight="1">
      <c r="A57" s="25"/>
      <c r="B57" s="26"/>
      <c r="C57" s="26">
        <v>28.0</v>
      </c>
      <c r="D57" s="26">
        <v>122.9</v>
      </c>
      <c r="E57" s="26">
        <v>121.7</v>
      </c>
      <c r="F57" s="26">
        <v>124.0</v>
      </c>
      <c r="G57" s="26">
        <v>-2.0</v>
      </c>
      <c r="H57" s="26">
        <v>70.0</v>
      </c>
      <c r="I57" s="26"/>
      <c r="J57" s="26"/>
      <c r="K57" s="26">
        <v>28.0</v>
      </c>
      <c r="L57" s="26">
        <v>118.8</v>
      </c>
      <c r="M57" s="26">
        <v>118.1</v>
      </c>
      <c r="N57" s="26">
        <v>119.5</v>
      </c>
      <c r="O57" s="26">
        <v>-1.61</v>
      </c>
      <c r="P57" s="26">
        <v>76.0</v>
      </c>
      <c r="Q57" s="26"/>
      <c r="R57" s="26">
        <v>28.0</v>
      </c>
      <c r="S57" s="26">
        <v>139.3</v>
      </c>
      <c r="T57" s="26">
        <v>135.8</v>
      </c>
      <c r="U57" s="26">
        <v>142.8</v>
      </c>
      <c r="V57" s="26">
        <v>1.37</v>
      </c>
      <c r="W57" s="26">
        <v>121.0</v>
      </c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>
        <v>27.0</v>
      </c>
      <c r="AJ57" s="26">
        <v>151.5</v>
      </c>
      <c r="AK57" s="26">
        <v>149.2</v>
      </c>
      <c r="AL57" s="26">
        <v>153.9</v>
      </c>
      <c r="AM57" s="26">
        <v>0.45</v>
      </c>
      <c r="AN57" s="26">
        <v>107.0</v>
      </c>
      <c r="AO57" s="26"/>
      <c r="AP57" s="26"/>
      <c r="AQ57" s="26"/>
      <c r="AR57" s="26"/>
      <c r="AS57" s="26">
        <v>28.0</v>
      </c>
      <c r="AT57" s="26">
        <v>148.7</v>
      </c>
      <c r="AU57" s="26">
        <v>145.2</v>
      </c>
      <c r="AV57" s="26">
        <v>152.3</v>
      </c>
      <c r="AW57" s="26">
        <v>1.46</v>
      </c>
      <c r="AX57" s="26">
        <v>122.0</v>
      </c>
      <c r="AY57" s="26"/>
      <c r="AZ57" s="26"/>
      <c r="BA57" s="26">
        <v>28.0</v>
      </c>
      <c r="BB57" s="26">
        <v>100.2</v>
      </c>
      <c r="BC57" s="26">
        <v>99.5</v>
      </c>
      <c r="BD57" s="26">
        <v>101.0</v>
      </c>
      <c r="BE57" s="26">
        <v>-3.97</v>
      </c>
      <c r="BF57" s="26">
        <v>40.0</v>
      </c>
      <c r="BG57" s="26"/>
      <c r="BH57" s="26"/>
      <c r="BI57" s="26"/>
      <c r="BJ57" s="26"/>
      <c r="BK57" s="26"/>
      <c r="BL57" s="26"/>
      <c r="BM57" s="26"/>
    </row>
    <row r="58" ht="15.75" customHeight="1">
      <c r="A58" s="25"/>
      <c r="B58" s="26"/>
      <c r="C58" s="26">
        <v>29.0</v>
      </c>
      <c r="D58" s="26">
        <v>123.4</v>
      </c>
      <c r="E58" s="26">
        <v>122.2</v>
      </c>
      <c r="F58" s="26">
        <v>124.7</v>
      </c>
      <c r="G58" s="26">
        <v>-1.92</v>
      </c>
      <c r="H58" s="26">
        <v>71.0</v>
      </c>
      <c r="I58" s="26"/>
      <c r="J58" s="26"/>
      <c r="K58" s="26">
        <v>29.0</v>
      </c>
      <c r="L58" s="26">
        <v>119.0</v>
      </c>
      <c r="M58" s="26">
        <v>118.3</v>
      </c>
      <c r="N58" s="26">
        <v>119.6</v>
      </c>
      <c r="O58" s="26">
        <v>-1.58</v>
      </c>
      <c r="P58" s="26">
        <v>76.0</v>
      </c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>
        <v>28.0</v>
      </c>
      <c r="AJ58" s="26">
        <v>154.1</v>
      </c>
      <c r="AK58" s="26">
        <v>151.1</v>
      </c>
      <c r="AL58" s="26">
        <v>157.1</v>
      </c>
      <c r="AM58" s="26">
        <v>0.86</v>
      </c>
      <c r="AN58" s="26">
        <v>113.0</v>
      </c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>
        <v>29.0</v>
      </c>
      <c r="BB58" s="26">
        <v>100.4</v>
      </c>
      <c r="BC58" s="26">
        <v>99.7</v>
      </c>
      <c r="BD58" s="26">
        <v>101.2</v>
      </c>
      <c r="BE58" s="26">
        <v>-3.91</v>
      </c>
      <c r="BF58" s="26">
        <v>41.0</v>
      </c>
      <c r="BG58" s="26"/>
      <c r="BH58" s="26"/>
      <c r="BI58" s="26"/>
      <c r="BJ58" s="26"/>
      <c r="BK58" s="26"/>
      <c r="BL58" s="26"/>
      <c r="BM58" s="26"/>
    </row>
    <row r="59" ht="15.75" customHeight="1">
      <c r="A59" s="25"/>
      <c r="B59" s="26"/>
      <c r="C59" s="26">
        <v>30.0</v>
      </c>
      <c r="D59" s="26">
        <v>124.0</v>
      </c>
      <c r="E59" s="26">
        <v>122.7</v>
      </c>
      <c r="F59" s="26">
        <v>125.3</v>
      </c>
      <c r="G59" s="26">
        <v>-1.83</v>
      </c>
      <c r="H59" s="26">
        <v>73.0</v>
      </c>
      <c r="I59" s="26"/>
      <c r="J59" s="26"/>
      <c r="K59" s="26">
        <v>30.0</v>
      </c>
      <c r="L59" s="26">
        <v>119.1</v>
      </c>
      <c r="M59" s="26">
        <v>118.5</v>
      </c>
      <c r="N59" s="26">
        <v>119.8</v>
      </c>
      <c r="O59" s="26">
        <v>-1.56</v>
      </c>
      <c r="P59" s="26">
        <v>77.0</v>
      </c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>
        <v>29.0</v>
      </c>
      <c r="AJ59" s="26">
        <v>157.8</v>
      </c>
      <c r="AK59" s="26">
        <v>154.1</v>
      </c>
      <c r="AL59" s="26">
        <v>161.4</v>
      </c>
      <c r="AM59" s="26">
        <v>1.43</v>
      </c>
      <c r="AN59" s="26">
        <v>121.0</v>
      </c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>
        <v>30.0</v>
      </c>
      <c r="BB59" s="26">
        <v>100.7</v>
      </c>
      <c r="BC59" s="26">
        <v>99.9</v>
      </c>
      <c r="BD59" s="26">
        <v>101.4</v>
      </c>
      <c r="BE59" s="26">
        <v>-3.84</v>
      </c>
      <c r="BF59" s="26">
        <v>42.0</v>
      </c>
      <c r="BG59" s="26"/>
      <c r="BH59" s="26"/>
      <c r="BI59" s="26"/>
      <c r="BJ59" s="26"/>
      <c r="BK59" s="26"/>
      <c r="BL59" s="26"/>
      <c r="BM59" s="26"/>
    </row>
    <row r="60" ht="15.75" customHeight="1">
      <c r="A60" s="25"/>
      <c r="B60" s="26"/>
      <c r="C60" s="26">
        <v>31.0</v>
      </c>
      <c r="D60" s="26">
        <v>124.6</v>
      </c>
      <c r="E60" s="26">
        <v>123.4</v>
      </c>
      <c r="F60" s="26">
        <v>125.8</v>
      </c>
      <c r="G60" s="26">
        <v>-1.74</v>
      </c>
      <c r="H60" s="26">
        <v>74.0</v>
      </c>
      <c r="I60" s="26"/>
      <c r="J60" s="26"/>
      <c r="K60" s="26">
        <v>31.0</v>
      </c>
      <c r="L60" s="26">
        <v>119.3</v>
      </c>
      <c r="M60" s="26">
        <v>118.6</v>
      </c>
      <c r="N60" s="26">
        <v>119.9</v>
      </c>
      <c r="O60" s="26">
        <v>-1.53</v>
      </c>
      <c r="P60" s="26">
        <v>77.0</v>
      </c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>
        <v>30.0</v>
      </c>
      <c r="AJ60" s="26">
        <v>160.7</v>
      </c>
      <c r="AK60" s="26">
        <v>157.1</v>
      </c>
      <c r="AL60" s="26">
        <v>164.2</v>
      </c>
      <c r="AM60" s="26">
        <v>1.88</v>
      </c>
      <c r="AN60" s="26">
        <v>128.0</v>
      </c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>
        <v>31.0</v>
      </c>
      <c r="BB60" s="26">
        <v>100.9</v>
      </c>
      <c r="BC60" s="26">
        <v>100.1</v>
      </c>
      <c r="BD60" s="26">
        <v>101.6</v>
      </c>
      <c r="BE60" s="26">
        <v>-3.78</v>
      </c>
      <c r="BF60" s="26">
        <v>43.0</v>
      </c>
      <c r="BG60" s="26"/>
      <c r="BH60" s="26"/>
      <c r="BI60" s="26"/>
      <c r="BJ60" s="26"/>
      <c r="BK60" s="26"/>
      <c r="BL60" s="26"/>
      <c r="BM60" s="26"/>
    </row>
    <row r="61" ht="15.75" customHeight="1">
      <c r="A61" s="25"/>
      <c r="B61" s="26"/>
      <c r="C61" s="26">
        <v>32.0</v>
      </c>
      <c r="D61" s="26">
        <v>125.1</v>
      </c>
      <c r="E61" s="26">
        <v>123.9</v>
      </c>
      <c r="F61" s="26">
        <v>126.3</v>
      </c>
      <c r="G61" s="26">
        <v>-1.66</v>
      </c>
      <c r="H61" s="26">
        <v>75.0</v>
      </c>
      <c r="I61" s="26"/>
      <c r="J61" s="26"/>
      <c r="K61" s="26">
        <v>32.0</v>
      </c>
      <c r="L61" s="26">
        <v>119.4</v>
      </c>
      <c r="M61" s="26">
        <v>118.8</v>
      </c>
      <c r="N61" s="26">
        <v>120.1</v>
      </c>
      <c r="O61" s="26">
        <v>-1.51</v>
      </c>
      <c r="P61" s="26">
        <v>77.0</v>
      </c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>
        <v>32.0</v>
      </c>
      <c r="BB61" s="26">
        <v>101.0</v>
      </c>
      <c r="BC61" s="26">
        <v>100.3</v>
      </c>
      <c r="BD61" s="26">
        <v>101.7</v>
      </c>
      <c r="BE61" s="26">
        <v>-3.72</v>
      </c>
      <c r="BF61" s="26">
        <v>44.0</v>
      </c>
      <c r="BG61" s="26"/>
      <c r="BH61" s="26"/>
      <c r="BI61" s="26"/>
      <c r="BJ61" s="26"/>
      <c r="BK61" s="26"/>
      <c r="BL61" s="26"/>
      <c r="BM61" s="26"/>
    </row>
    <row r="62" ht="15.75" customHeight="1">
      <c r="A62" s="25"/>
      <c r="B62" s="26"/>
      <c r="C62" s="26">
        <v>33.0</v>
      </c>
      <c r="D62" s="26">
        <v>125.7</v>
      </c>
      <c r="E62" s="26">
        <v>124.4</v>
      </c>
      <c r="F62" s="26">
        <v>127.0</v>
      </c>
      <c r="G62" s="26">
        <v>-1.57</v>
      </c>
      <c r="H62" s="26">
        <v>76.0</v>
      </c>
      <c r="I62" s="26"/>
      <c r="J62" s="26"/>
      <c r="K62" s="26">
        <v>33.0</v>
      </c>
      <c r="L62" s="26">
        <v>119.6</v>
      </c>
      <c r="M62" s="26">
        <v>118.9</v>
      </c>
      <c r="N62" s="26">
        <v>120.2</v>
      </c>
      <c r="O62" s="26">
        <v>-1.48</v>
      </c>
      <c r="P62" s="26">
        <v>78.0</v>
      </c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>
        <v>33.0</v>
      </c>
      <c r="BB62" s="26">
        <v>101.2</v>
      </c>
      <c r="BC62" s="26">
        <v>100.5</v>
      </c>
      <c r="BD62" s="26">
        <v>101.9</v>
      </c>
      <c r="BE62" s="26">
        <v>-3.67</v>
      </c>
      <c r="BF62" s="26">
        <v>45.0</v>
      </c>
      <c r="BG62" s="26"/>
      <c r="BH62" s="26"/>
      <c r="BI62" s="26"/>
      <c r="BJ62" s="26"/>
      <c r="BK62" s="26"/>
      <c r="BL62" s="26"/>
      <c r="BM62" s="26"/>
    </row>
    <row r="63" ht="15.75" customHeight="1">
      <c r="A63" s="25"/>
      <c r="B63" s="26"/>
      <c r="C63" s="26">
        <v>34.0</v>
      </c>
      <c r="D63" s="26">
        <v>126.5</v>
      </c>
      <c r="E63" s="26">
        <v>124.9</v>
      </c>
      <c r="F63" s="26">
        <v>128.2</v>
      </c>
      <c r="G63" s="26">
        <v>-1.45</v>
      </c>
      <c r="H63" s="26">
        <v>78.0</v>
      </c>
      <c r="I63" s="26"/>
      <c r="J63" s="26"/>
      <c r="K63" s="26">
        <v>34.0</v>
      </c>
      <c r="L63" s="26">
        <v>119.7</v>
      </c>
      <c r="M63" s="26">
        <v>119.1</v>
      </c>
      <c r="N63" s="26">
        <v>120.4</v>
      </c>
      <c r="O63" s="26">
        <v>-1.46</v>
      </c>
      <c r="P63" s="26">
        <v>78.0</v>
      </c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>
        <v>34.0</v>
      </c>
      <c r="BB63" s="26">
        <v>101.4</v>
      </c>
      <c r="BC63" s="26">
        <v>100.7</v>
      </c>
      <c r="BD63" s="26">
        <v>102.1</v>
      </c>
      <c r="BE63" s="26">
        <v>-3.61</v>
      </c>
      <c r="BF63" s="26">
        <v>46.0</v>
      </c>
      <c r="BG63" s="26"/>
      <c r="BH63" s="26"/>
      <c r="BI63" s="26"/>
      <c r="BJ63" s="26"/>
      <c r="BK63" s="26"/>
      <c r="BL63" s="26"/>
      <c r="BM63" s="26"/>
    </row>
    <row r="64" ht="15.75" customHeight="1">
      <c r="A64" s="25"/>
      <c r="B64" s="26"/>
      <c r="C64" s="26">
        <v>35.0</v>
      </c>
      <c r="D64" s="26">
        <v>127.3</v>
      </c>
      <c r="E64" s="26">
        <v>126.1</v>
      </c>
      <c r="F64" s="26">
        <v>128.6</v>
      </c>
      <c r="G64" s="26">
        <v>-1.33</v>
      </c>
      <c r="H64" s="26">
        <v>80.0</v>
      </c>
      <c r="I64" s="26"/>
      <c r="J64" s="26"/>
      <c r="K64" s="26">
        <v>35.0</v>
      </c>
      <c r="L64" s="26">
        <v>119.9</v>
      </c>
      <c r="M64" s="26">
        <v>119.2</v>
      </c>
      <c r="N64" s="26">
        <v>120.6</v>
      </c>
      <c r="O64" s="26">
        <v>-1.43</v>
      </c>
      <c r="P64" s="26">
        <v>79.0</v>
      </c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>
        <v>35.0</v>
      </c>
      <c r="BB64" s="26">
        <v>101.6</v>
      </c>
      <c r="BC64" s="26">
        <v>100.9</v>
      </c>
      <c r="BD64" s="26">
        <v>102.2</v>
      </c>
      <c r="BE64" s="26">
        <v>-3.56</v>
      </c>
      <c r="BF64" s="26">
        <v>47.0</v>
      </c>
      <c r="BG64" s="26"/>
      <c r="BH64" s="26"/>
      <c r="BI64" s="26"/>
      <c r="BJ64" s="26"/>
      <c r="BK64" s="26"/>
      <c r="BL64" s="26"/>
      <c r="BM64" s="26"/>
    </row>
    <row r="65" ht="15.75" customHeight="1">
      <c r="A65" s="25"/>
      <c r="B65" s="26"/>
      <c r="C65" s="26">
        <v>36.0</v>
      </c>
      <c r="D65" s="26">
        <v>127.8</v>
      </c>
      <c r="E65" s="26">
        <v>126.7</v>
      </c>
      <c r="F65" s="26">
        <v>128.9</v>
      </c>
      <c r="G65" s="26">
        <v>-1.26</v>
      </c>
      <c r="H65" s="26">
        <v>81.0</v>
      </c>
      <c r="I65" s="26"/>
      <c r="J65" s="26"/>
      <c r="K65" s="26">
        <v>36.0</v>
      </c>
      <c r="L65" s="26">
        <v>120.1</v>
      </c>
      <c r="M65" s="26">
        <v>119.4</v>
      </c>
      <c r="N65" s="26">
        <v>120.8</v>
      </c>
      <c r="O65" s="26">
        <v>-1.4</v>
      </c>
      <c r="P65" s="26">
        <v>79.0</v>
      </c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>
        <v>36.0</v>
      </c>
      <c r="BB65" s="26">
        <v>101.7</v>
      </c>
      <c r="BC65" s="26">
        <v>101.1</v>
      </c>
      <c r="BD65" s="26">
        <v>102.4</v>
      </c>
      <c r="BE65" s="26">
        <v>-3.5</v>
      </c>
      <c r="BF65" s="26">
        <v>47.0</v>
      </c>
      <c r="BG65" s="26"/>
      <c r="BH65" s="26"/>
      <c r="BI65" s="26"/>
      <c r="BJ65" s="26"/>
      <c r="BK65" s="26"/>
      <c r="BL65" s="26"/>
      <c r="BM65" s="26"/>
    </row>
    <row r="66" ht="15.75" customHeight="1">
      <c r="A66" s="25"/>
      <c r="B66" s="26"/>
      <c r="C66" s="26">
        <v>37.0</v>
      </c>
      <c r="D66" s="26">
        <v>128.2</v>
      </c>
      <c r="E66" s="26">
        <v>127.2</v>
      </c>
      <c r="F66" s="26">
        <v>129.3</v>
      </c>
      <c r="G66" s="26">
        <v>-1.2</v>
      </c>
      <c r="H66" s="26">
        <v>82.0</v>
      </c>
      <c r="I66" s="26"/>
      <c r="J66" s="26"/>
      <c r="K66" s="26">
        <v>37.0</v>
      </c>
      <c r="L66" s="26">
        <v>120.2</v>
      </c>
      <c r="M66" s="26">
        <v>119.5</v>
      </c>
      <c r="N66" s="26">
        <v>120.9</v>
      </c>
      <c r="O66" s="26">
        <v>-1.37</v>
      </c>
      <c r="P66" s="26">
        <v>79.0</v>
      </c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>
        <v>37.0</v>
      </c>
      <c r="BB66" s="26">
        <v>101.9</v>
      </c>
      <c r="BC66" s="26">
        <v>101.2</v>
      </c>
      <c r="BD66" s="26">
        <v>102.6</v>
      </c>
      <c r="BE66" s="26">
        <v>-3.45</v>
      </c>
      <c r="BF66" s="26">
        <v>48.0</v>
      </c>
      <c r="BG66" s="26"/>
      <c r="BH66" s="26"/>
      <c r="BI66" s="26"/>
      <c r="BJ66" s="26"/>
      <c r="BK66" s="26"/>
      <c r="BL66" s="26"/>
      <c r="BM66" s="26"/>
    </row>
    <row r="67" ht="15.75" customHeight="1">
      <c r="A67" s="25"/>
      <c r="B67" s="26"/>
      <c r="C67" s="26">
        <v>38.0</v>
      </c>
      <c r="D67" s="26">
        <v>128.6</v>
      </c>
      <c r="E67" s="26">
        <v>127.5</v>
      </c>
      <c r="F67" s="26">
        <v>129.7</v>
      </c>
      <c r="G67" s="26">
        <v>-1.13</v>
      </c>
      <c r="H67" s="26">
        <v>83.0</v>
      </c>
      <c r="I67" s="26"/>
      <c r="J67" s="26"/>
      <c r="K67" s="26">
        <v>38.0</v>
      </c>
      <c r="L67" s="26">
        <v>120.4</v>
      </c>
      <c r="M67" s="26">
        <v>119.7</v>
      </c>
      <c r="N67" s="26">
        <v>121.2</v>
      </c>
      <c r="O67" s="26">
        <v>-1.34</v>
      </c>
      <c r="P67" s="26">
        <v>80.0</v>
      </c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>
        <v>38.0</v>
      </c>
      <c r="BB67" s="26">
        <v>102.1</v>
      </c>
      <c r="BC67" s="26">
        <v>101.4</v>
      </c>
      <c r="BD67" s="26">
        <v>102.7</v>
      </c>
      <c r="BE67" s="26">
        <v>-3.4</v>
      </c>
      <c r="BF67" s="26">
        <v>49.0</v>
      </c>
      <c r="BG67" s="26"/>
      <c r="BH67" s="26"/>
      <c r="BI67" s="26"/>
      <c r="BJ67" s="26"/>
      <c r="BK67" s="26"/>
      <c r="BL67" s="26"/>
      <c r="BM67" s="26"/>
    </row>
    <row r="68" ht="15.75" customHeight="1">
      <c r="A68" s="25"/>
      <c r="B68" s="26"/>
      <c r="C68" s="26">
        <v>39.0</v>
      </c>
      <c r="D68" s="26">
        <v>129.1</v>
      </c>
      <c r="E68" s="26">
        <v>127.9</v>
      </c>
      <c r="F68" s="26">
        <v>130.3</v>
      </c>
      <c r="G68" s="26">
        <v>-1.06</v>
      </c>
      <c r="H68" s="26">
        <v>84.0</v>
      </c>
      <c r="I68" s="26"/>
      <c r="J68" s="26"/>
      <c r="K68" s="26">
        <v>39.0</v>
      </c>
      <c r="L68" s="26">
        <v>120.6</v>
      </c>
      <c r="M68" s="26">
        <v>119.9</v>
      </c>
      <c r="N68" s="26">
        <v>121.4</v>
      </c>
      <c r="O68" s="26">
        <v>-1.31</v>
      </c>
      <c r="P68" s="26">
        <v>80.0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>
        <v>39.0</v>
      </c>
      <c r="BB68" s="26">
        <v>102.2</v>
      </c>
      <c r="BC68" s="26">
        <v>101.6</v>
      </c>
      <c r="BD68" s="26">
        <v>102.9</v>
      </c>
      <c r="BE68" s="26">
        <v>-3.35</v>
      </c>
      <c r="BF68" s="26">
        <v>50.0</v>
      </c>
      <c r="BG68" s="26"/>
      <c r="BH68" s="26"/>
      <c r="BI68" s="26"/>
      <c r="BJ68" s="26"/>
      <c r="BK68" s="26"/>
      <c r="BL68" s="26"/>
      <c r="BM68" s="26"/>
    </row>
    <row r="69" ht="15.75" customHeight="1">
      <c r="A69" s="25"/>
      <c r="B69" s="26"/>
      <c r="C69" s="26">
        <v>40.0</v>
      </c>
      <c r="D69" s="26">
        <v>129.6</v>
      </c>
      <c r="E69" s="26">
        <v>128.4</v>
      </c>
      <c r="F69" s="26">
        <v>130.9</v>
      </c>
      <c r="G69" s="26">
        <v>-0.98</v>
      </c>
      <c r="H69" s="26">
        <v>85.0</v>
      </c>
      <c r="I69" s="26"/>
      <c r="J69" s="26"/>
      <c r="K69" s="26">
        <v>40.0</v>
      </c>
      <c r="L69" s="26">
        <v>120.9</v>
      </c>
      <c r="M69" s="26">
        <v>120.1</v>
      </c>
      <c r="N69" s="26">
        <v>121.7</v>
      </c>
      <c r="O69" s="26">
        <v>-1.27</v>
      </c>
      <c r="P69" s="26">
        <v>81.0</v>
      </c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>
        <v>40.0</v>
      </c>
      <c r="BB69" s="26">
        <v>102.4</v>
      </c>
      <c r="BC69" s="26">
        <v>101.7</v>
      </c>
      <c r="BD69" s="26">
        <v>103.1</v>
      </c>
      <c r="BE69" s="26">
        <v>-3.3</v>
      </c>
      <c r="BF69" s="26">
        <v>51.0</v>
      </c>
      <c r="BG69" s="26"/>
      <c r="BH69" s="26"/>
      <c r="BI69" s="26"/>
      <c r="BJ69" s="26"/>
      <c r="BK69" s="26"/>
      <c r="BL69" s="26"/>
      <c r="BM69" s="26"/>
    </row>
    <row r="70" ht="15.75" customHeight="1">
      <c r="A70" s="25"/>
      <c r="B70" s="26"/>
      <c r="C70" s="26">
        <v>41.0</v>
      </c>
      <c r="D70" s="26">
        <v>130.3</v>
      </c>
      <c r="E70" s="26">
        <v>128.7</v>
      </c>
      <c r="F70" s="26">
        <v>131.9</v>
      </c>
      <c r="G70" s="26">
        <v>-0.88</v>
      </c>
      <c r="H70" s="26">
        <v>87.0</v>
      </c>
      <c r="I70" s="26"/>
      <c r="J70" s="26"/>
      <c r="K70" s="26">
        <v>41.0</v>
      </c>
      <c r="L70" s="26">
        <v>121.1</v>
      </c>
      <c r="M70" s="26">
        <v>120.3</v>
      </c>
      <c r="N70" s="26">
        <v>121.9</v>
      </c>
      <c r="O70" s="26">
        <v>-1.23</v>
      </c>
      <c r="P70" s="26">
        <v>82.0</v>
      </c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102.6</v>
      </c>
      <c r="BC70" s="26">
        <v>101.9</v>
      </c>
      <c r="BD70" s="26">
        <v>103.3</v>
      </c>
      <c r="BE70" s="26">
        <v>-3.24</v>
      </c>
      <c r="BF70" s="26">
        <v>51.0</v>
      </c>
      <c r="BG70" s="26"/>
      <c r="BH70" s="26"/>
      <c r="BI70" s="26"/>
      <c r="BJ70" s="26"/>
      <c r="BK70" s="26"/>
      <c r="BL70" s="26"/>
      <c r="BM70" s="26"/>
    </row>
    <row r="71" ht="15.75" customHeight="1">
      <c r="A71" s="25"/>
      <c r="B71" s="26"/>
      <c r="C71" s="26">
        <v>42.0</v>
      </c>
      <c r="D71" s="26">
        <v>131.8</v>
      </c>
      <c r="E71" s="26">
        <v>129.7</v>
      </c>
      <c r="F71" s="26">
        <v>133.9</v>
      </c>
      <c r="G71" s="26">
        <v>-0.65</v>
      </c>
      <c r="H71" s="26">
        <v>90.0</v>
      </c>
      <c r="I71" s="26"/>
      <c r="J71" s="26"/>
      <c r="K71" s="26">
        <v>42.0</v>
      </c>
      <c r="L71" s="26">
        <v>121.4</v>
      </c>
      <c r="M71" s="26">
        <v>120.5</v>
      </c>
      <c r="N71" s="26">
        <v>122.2</v>
      </c>
      <c r="O71" s="26">
        <v>-1.19</v>
      </c>
      <c r="P71" s="26">
        <v>82.0</v>
      </c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102.8</v>
      </c>
      <c r="BC71" s="26">
        <v>102.1</v>
      </c>
      <c r="BD71" s="26">
        <v>103.4</v>
      </c>
      <c r="BE71" s="26">
        <v>-3.19</v>
      </c>
      <c r="BF71" s="26">
        <v>52.0</v>
      </c>
      <c r="BG71" s="26"/>
      <c r="BH71" s="26"/>
      <c r="BI71" s="26"/>
      <c r="BJ71" s="26"/>
      <c r="BK71" s="26"/>
      <c r="BL71" s="26"/>
      <c r="BM71" s="26"/>
    </row>
    <row r="72" ht="15.75" customHeight="1">
      <c r="A72" s="25"/>
      <c r="B72" s="26"/>
      <c r="C72" s="26">
        <v>43.0</v>
      </c>
      <c r="D72" s="26">
        <v>132.8</v>
      </c>
      <c r="E72" s="26">
        <v>131.5</v>
      </c>
      <c r="F72" s="26">
        <v>134.2</v>
      </c>
      <c r="G72" s="26">
        <v>-0.5</v>
      </c>
      <c r="H72" s="26">
        <v>92.0</v>
      </c>
      <c r="I72" s="26"/>
      <c r="J72" s="26"/>
      <c r="K72" s="26">
        <v>43.0</v>
      </c>
      <c r="L72" s="26">
        <v>121.6</v>
      </c>
      <c r="M72" s="26">
        <v>120.8</v>
      </c>
      <c r="N72" s="26">
        <v>122.5</v>
      </c>
      <c r="O72" s="26">
        <v>-1.14</v>
      </c>
      <c r="P72" s="26">
        <v>83.0</v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102.9</v>
      </c>
      <c r="BC72" s="26">
        <v>102.2</v>
      </c>
      <c r="BD72" s="26">
        <v>103.6</v>
      </c>
      <c r="BE72" s="26">
        <v>-3.14</v>
      </c>
      <c r="BF72" s="26">
        <v>53.0</v>
      </c>
      <c r="BG72" s="26"/>
      <c r="BH72" s="26"/>
      <c r="BI72" s="26"/>
      <c r="BJ72" s="26"/>
      <c r="BK72" s="26"/>
      <c r="BL72" s="26"/>
      <c r="BM72" s="26"/>
    </row>
    <row r="73" ht="15.75" customHeight="1">
      <c r="A73" s="25"/>
      <c r="B73" s="26"/>
      <c r="C73" s="26">
        <v>44.0</v>
      </c>
      <c r="D73" s="26">
        <v>133.4</v>
      </c>
      <c r="E73" s="26">
        <v>132.3</v>
      </c>
      <c r="F73" s="26">
        <v>134.4</v>
      </c>
      <c r="G73" s="26">
        <v>-0.42</v>
      </c>
      <c r="H73" s="26">
        <v>94.0</v>
      </c>
      <c r="I73" s="26"/>
      <c r="J73" s="26"/>
      <c r="K73" s="26">
        <v>44.0</v>
      </c>
      <c r="L73" s="26">
        <v>121.9</v>
      </c>
      <c r="M73" s="26">
        <v>121.0</v>
      </c>
      <c r="N73" s="26">
        <v>122.7</v>
      </c>
      <c r="O73" s="26">
        <v>-1.1</v>
      </c>
      <c r="P73" s="26">
        <v>83.0</v>
      </c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103.1</v>
      </c>
      <c r="BC73" s="26">
        <v>102.4</v>
      </c>
      <c r="BD73" s="26">
        <v>103.8</v>
      </c>
      <c r="BE73" s="26">
        <v>-3.09</v>
      </c>
      <c r="BF73" s="26">
        <v>54.0</v>
      </c>
      <c r="BG73" s="26"/>
      <c r="BH73" s="26"/>
      <c r="BI73" s="26"/>
      <c r="BJ73" s="26"/>
      <c r="BK73" s="26"/>
      <c r="BL73" s="26"/>
      <c r="BM73" s="26"/>
    </row>
    <row r="74" ht="15.75" customHeight="1">
      <c r="A74" s="25"/>
      <c r="B74" s="26"/>
      <c r="C74" s="26">
        <v>45.0</v>
      </c>
      <c r="D74" s="26">
        <v>133.8</v>
      </c>
      <c r="E74" s="26">
        <v>132.7</v>
      </c>
      <c r="F74" s="26">
        <v>134.8</v>
      </c>
      <c r="G74" s="26">
        <v>-0.36</v>
      </c>
      <c r="H74" s="26">
        <v>95.0</v>
      </c>
      <c r="I74" s="26"/>
      <c r="J74" s="26"/>
      <c r="K74" s="26">
        <v>45.0</v>
      </c>
      <c r="L74" s="26">
        <v>122.1</v>
      </c>
      <c r="M74" s="26">
        <v>121.3</v>
      </c>
      <c r="N74" s="26">
        <v>123.0</v>
      </c>
      <c r="O74" s="26">
        <v>-1.06</v>
      </c>
      <c r="P74" s="26">
        <v>84.0</v>
      </c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45.0</v>
      </c>
      <c r="BB74" s="26">
        <v>103.3</v>
      </c>
      <c r="BC74" s="26">
        <v>102.6</v>
      </c>
      <c r="BD74" s="26">
        <v>104.0</v>
      </c>
      <c r="BE74" s="26">
        <v>-3.03</v>
      </c>
      <c r="BF74" s="26">
        <v>55.0</v>
      </c>
      <c r="BG74" s="26"/>
      <c r="BH74" s="26"/>
      <c r="BI74" s="26"/>
      <c r="BJ74" s="26"/>
      <c r="BK74" s="26"/>
      <c r="BL74" s="26"/>
      <c r="BM74" s="26"/>
    </row>
    <row r="75" ht="15.75" customHeight="1">
      <c r="A75" s="25"/>
      <c r="B75" s="26"/>
      <c r="C75" s="26">
        <v>46.0</v>
      </c>
      <c r="D75" s="26">
        <v>134.1</v>
      </c>
      <c r="E75" s="26">
        <v>133.1</v>
      </c>
      <c r="F75" s="26">
        <v>135.1</v>
      </c>
      <c r="G75" s="26">
        <v>-0.31</v>
      </c>
      <c r="H75" s="26">
        <v>95.0</v>
      </c>
      <c r="I75" s="26"/>
      <c r="J75" s="26"/>
      <c r="K75" s="26">
        <v>46.0</v>
      </c>
      <c r="L75" s="26">
        <v>122.4</v>
      </c>
      <c r="M75" s="26">
        <v>121.6</v>
      </c>
      <c r="N75" s="26">
        <v>123.2</v>
      </c>
      <c r="O75" s="26">
        <v>-1.02</v>
      </c>
      <c r="P75" s="26">
        <v>85.0</v>
      </c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>
        <v>46.0</v>
      </c>
      <c r="BB75" s="26">
        <v>103.4</v>
      </c>
      <c r="BC75" s="26">
        <v>102.7</v>
      </c>
      <c r="BD75" s="26">
        <v>104.1</v>
      </c>
      <c r="BE75" s="26">
        <v>-2.98</v>
      </c>
      <c r="BF75" s="26">
        <v>55.0</v>
      </c>
      <c r="BG75" s="26"/>
      <c r="BH75" s="26"/>
      <c r="BI75" s="26"/>
      <c r="BJ75" s="26"/>
      <c r="BK75" s="26"/>
      <c r="BL75" s="26"/>
      <c r="BM75" s="26"/>
    </row>
    <row r="76" ht="15.75" customHeight="1">
      <c r="A76" s="25"/>
      <c r="B76" s="26"/>
      <c r="C76" s="26">
        <v>47.0</v>
      </c>
      <c r="D76" s="26">
        <v>134.4</v>
      </c>
      <c r="E76" s="26">
        <v>133.5</v>
      </c>
      <c r="F76" s="26">
        <v>135.4</v>
      </c>
      <c r="G76" s="26">
        <v>-0.26</v>
      </c>
      <c r="H76" s="26">
        <v>96.0</v>
      </c>
      <c r="I76" s="26"/>
      <c r="J76" s="26"/>
      <c r="K76" s="26">
        <v>47.0</v>
      </c>
      <c r="L76" s="26">
        <v>122.6</v>
      </c>
      <c r="M76" s="26">
        <v>121.8</v>
      </c>
      <c r="N76" s="26">
        <v>123.5</v>
      </c>
      <c r="O76" s="26">
        <v>-0.98</v>
      </c>
      <c r="P76" s="26">
        <v>85.0</v>
      </c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>
        <v>47.0</v>
      </c>
      <c r="BB76" s="26">
        <v>103.6</v>
      </c>
      <c r="BC76" s="26">
        <v>102.9</v>
      </c>
      <c r="BD76" s="26">
        <v>104.3</v>
      </c>
      <c r="BE76" s="26">
        <v>-2.92</v>
      </c>
      <c r="BF76" s="26">
        <v>56.0</v>
      </c>
      <c r="BG76" s="26"/>
      <c r="BH76" s="26"/>
      <c r="BI76" s="26"/>
      <c r="BJ76" s="26"/>
      <c r="BK76" s="26"/>
      <c r="BL76" s="26"/>
      <c r="BM76" s="26"/>
    </row>
    <row r="77" ht="15.75" customHeight="1">
      <c r="A77" s="25"/>
      <c r="B77" s="26"/>
      <c r="C77" s="26">
        <v>48.0</v>
      </c>
      <c r="D77" s="26">
        <v>134.8</v>
      </c>
      <c r="E77" s="26">
        <v>133.8</v>
      </c>
      <c r="F77" s="26">
        <v>135.7</v>
      </c>
      <c r="G77" s="26">
        <v>-0.21</v>
      </c>
      <c r="H77" s="26">
        <v>97.0</v>
      </c>
      <c r="I77" s="26"/>
      <c r="J77" s="26"/>
      <c r="K77" s="26">
        <v>48.0</v>
      </c>
      <c r="L77" s="26">
        <v>122.9</v>
      </c>
      <c r="M77" s="26">
        <v>122.0</v>
      </c>
      <c r="N77" s="26">
        <v>123.8</v>
      </c>
      <c r="O77" s="26">
        <v>-0.93</v>
      </c>
      <c r="P77" s="26">
        <v>86.0</v>
      </c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>
        <v>48.0</v>
      </c>
      <c r="BB77" s="26">
        <v>103.8</v>
      </c>
      <c r="BC77" s="26">
        <v>103.1</v>
      </c>
      <c r="BD77" s="26">
        <v>104.5</v>
      </c>
      <c r="BE77" s="26">
        <v>-2.87</v>
      </c>
      <c r="BF77" s="26">
        <v>57.0</v>
      </c>
      <c r="BG77" s="26"/>
      <c r="BH77" s="26"/>
      <c r="BI77" s="26"/>
      <c r="BJ77" s="26"/>
      <c r="BK77" s="26"/>
      <c r="BL77" s="26"/>
      <c r="BM77" s="26"/>
    </row>
    <row r="78" ht="15.75" customHeight="1">
      <c r="A78" s="25"/>
      <c r="B78" s="26"/>
      <c r="C78" s="26">
        <v>49.0</v>
      </c>
      <c r="D78" s="26">
        <v>135.1</v>
      </c>
      <c r="E78" s="26">
        <v>134.1</v>
      </c>
      <c r="F78" s="26">
        <v>136.1</v>
      </c>
      <c r="G78" s="26">
        <v>-0.16</v>
      </c>
      <c r="H78" s="26">
        <v>98.0</v>
      </c>
      <c r="I78" s="26"/>
      <c r="J78" s="26"/>
      <c r="K78" s="26">
        <v>49.0</v>
      </c>
      <c r="L78" s="26">
        <v>123.2</v>
      </c>
      <c r="M78" s="26">
        <v>122.3</v>
      </c>
      <c r="N78" s="26">
        <v>124.1</v>
      </c>
      <c r="O78" s="26">
        <v>-0.88</v>
      </c>
      <c r="P78" s="26">
        <v>87.0</v>
      </c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>
        <v>49.0</v>
      </c>
      <c r="BB78" s="26">
        <v>104.0</v>
      </c>
      <c r="BC78" s="26">
        <v>103.3</v>
      </c>
      <c r="BD78" s="26">
        <v>104.7</v>
      </c>
      <c r="BE78" s="26">
        <v>-2.81</v>
      </c>
      <c r="BF78" s="26">
        <v>58.0</v>
      </c>
      <c r="BG78" s="26"/>
      <c r="BH78" s="26"/>
      <c r="BI78" s="26"/>
      <c r="BJ78" s="26"/>
      <c r="BK78" s="26"/>
      <c r="BL78" s="26"/>
      <c r="BM78" s="26"/>
    </row>
    <row r="79" ht="15.75" customHeight="1">
      <c r="A79" s="25"/>
      <c r="B79" s="26"/>
      <c r="C79" s="26">
        <v>50.0</v>
      </c>
      <c r="D79" s="26">
        <v>135.5</v>
      </c>
      <c r="E79" s="26">
        <v>134.4</v>
      </c>
      <c r="F79" s="26">
        <v>136.7</v>
      </c>
      <c r="G79" s="26">
        <v>-0.1</v>
      </c>
      <c r="H79" s="26">
        <v>99.0</v>
      </c>
      <c r="I79" s="26"/>
      <c r="J79" s="26"/>
      <c r="K79" s="26">
        <v>50.0</v>
      </c>
      <c r="L79" s="26">
        <v>123.5</v>
      </c>
      <c r="M79" s="26">
        <v>122.6</v>
      </c>
      <c r="N79" s="26">
        <v>124.5</v>
      </c>
      <c r="O79" s="26">
        <v>-0.83</v>
      </c>
      <c r="P79" s="26">
        <v>88.0</v>
      </c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>
        <v>50.0</v>
      </c>
      <c r="BB79" s="26">
        <v>104.2</v>
      </c>
      <c r="BC79" s="26">
        <v>103.5</v>
      </c>
      <c r="BD79" s="26">
        <v>104.9</v>
      </c>
      <c r="BE79" s="26">
        <v>-2.75</v>
      </c>
      <c r="BF79" s="26">
        <v>59.0</v>
      </c>
      <c r="BG79" s="26"/>
      <c r="BH79" s="26"/>
      <c r="BI79" s="26"/>
      <c r="BJ79" s="26"/>
      <c r="BK79" s="26"/>
      <c r="BL79" s="26"/>
      <c r="BM79" s="26"/>
    </row>
    <row r="80" ht="15.75" customHeight="1">
      <c r="A80" s="25"/>
      <c r="B80" s="26"/>
      <c r="C80" s="26">
        <v>51.0</v>
      </c>
      <c r="D80" s="26">
        <v>136.1</v>
      </c>
      <c r="E80" s="26">
        <v>134.8</v>
      </c>
      <c r="F80" s="26">
        <v>137.3</v>
      </c>
      <c r="G80" s="26">
        <v>-0.02</v>
      </c>
      <c r="H80" s="26">
        <v>100.0</v>
      </c>
      <c r="I80" s="26"/>
      <c r="J80" s="26"/>
      <c r="K80" s="26">
        <v>51.0</v>
      </c>
      <c r="L80" s="26">
        <v>123.9</v>
      </c>
      <c r="M80" s="26">
        <v>122.8</v>
      </c>
      <c r="N80" s="26">
        <v>124.9</v>
      </c>
      <c r="O80" s="26">
        <v>-0.77</v>
      </c>
      <c r="P80" s="26">
        <v>88.0</v>
      </c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>
        <v>51.0</v>
      </c>
      <c r="BB80" s="26">
        <v>104.4</v>
      </c>
      <c r="BC80" s="26">
        <v>103.6</v>
      </c>
      <c r="BD80" s="26">
        <v>105.1</v>
      </c>
      <c r="BE80" s="26">
        <v>-2.7</v>
      </c>
      <c r="BF80" s="26">
        <v>60.0</v>
      </c>
      <c r="BG80" s="26"/>
      <c r="BH80" s="26"/>
      <c r="BI80" s="26"/>
      <c r="BJ80" s="26"/>
      <c r="BK80" s="26"/>
      <c r="BL80" s="26"/>
      <c r="BM80" s="26"/>
    </row>
    <row r="81" ht="15.75" customHeight="1">
      <c r="A81" s="25"/>
      <c r="B81" s="26"/>
      <c r="C81" s="26">
        <v>52.0</v>
      </c>
      <c r="D81" s="26">
        <v>136.6</v>
      </c>
      <c r="E81" s="26">
        <v>135.4</v>
      </c>
      <c r="F81" s="26">
        <v>137.7</v>
      </c>
      <c r="G81" s="26">
        <v>0.06</v>
      </c>
      <c r="H81" s="26">
        <v>101.0</v>
      </c>
      <c r="I81" s="26"/>
      <c r="J81" s="26"/>
      <c r="K81" s="26">
        <v>52.0</v>
      </c>
      <c r="L81" s="26">
        <v>124.3</v>
      </c>
      <c r="M81" s="26">
        <v>123.2</v>
      </c>
      <c r="N81" s="26">
        <v>125.4</v>
      </c>
      <c r="O81" s="26">
        <v>-0.7</v>
      </c>
      <c r="P81" s="26">
        <v>89.0</v>
      </c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>
        <v>52.0</v>
      </c>
      <c r="BB81" s="26">
        <v>104.5</v>
      </c>
      <c r="BC81" s="26">
        <v>103.8</v>
      </c>
      <c r="BD81" s="26">
        <v>105.3</v>
      </c>
      <c r="BE81" s="26">
        <v>-2.64</v>
      </c>
      <c r="BF81" s="26">
        <v>60.0</v>
      </c>
      <c r="BG81" s="26"/>
      <c r="BH81" s="26"/>
      <c r="BI81" s="26"/>
      <c r="BJ81" s="26"/>
      <c r="BK81" s="26"/>
      <c r="BL81" s="26"/>
      <c r="BM81" s="26"/>
    </row>
    <row r="82" ht="15.75" customHeight="1">
      <c r="A82" s="25"/>
      <c r="B82" s="26"/>
      <c r="C82" s="26">
        <v>53.0</v>
      </c>
      <c r="D82" s="26">
        <v>137.0</v>
      </c>
      <c r="E82" s="26">
        <v>136.0</v>
      </c>
      <c r="F82" s="26">
        <v>138.1</v>
      </c>
      <c r="G82" s="26">
        <v>0.13</v>
      </c>
      <c r="H82" s="26">
        <v>102.0</v>
      </c>
      <c r="I82" s="26"/>
      <c r="J82" s="26"/>
      <c r="K82" s="26">
        <v>53.0</v>
      </c>
      <c r="L82" s="26">
        <v>124.7</v>
      </c>
      <c r="M82" s="26">
        <v>123.6</v>
      </c>
      <c r="N82" s="26">
        <v>125.9</v>
      </c>
      <c r="O82" s="26">
        <v>-0.63</v>
      </c>
      <c r="P82" s="26">
        <v>91.0</v>
      </c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>
        <v>53.0</v>
      </c>
      <c r="BB82" s="26">
        <v>104.7</v>
      </c>
      <c r="BC82" s="26">
        <v>104.0</v>
      </c>
      <c r="BD82" s="26">
        <v>105.5</v>
      </c>
      <c r="BE82" s="26">
        <v>-2.58</v>
      </c>
      <c r="BF82" s="26">
        <v>61.0</v>
      </c>
      <c r="BG82" s="26"/>
      <c r="BH82" s="26"/>
      <c r="BI82" s="26"/>
      <c r="BJ82" s="26"/>
      <c r="BK82" s="26"/>
      <c r="BL82" s="26"/>
      <c r="BM82" s="26"/>
    </row>
    <row r="83" ht="15.75" customHeight="1">
      <c r="A83" s="25"/>
      <c r="B83" s="26"/>
      <c r="C83" s="26">
        <v>54.0</v>
      </c>
      <c r="D83" s="26">
        <v>137.4</v>
      </c>
      <c r="E83" s="26">
        <v>136.4</v>
      </c>
      <c r="F83" s="26">
        <v>138.5</v>
      </c>
      <c r="G83" s="26">
        <v>0.19</v>
      </c>
      <c r="H83" s="26">
        <v>103.0</v>
      </c>
      <c r="I83" s="26"/>
      <c r="J83" s="26"/>
      <c r="K83" s="26">
        <v>54.0</v>
      </c>
      <c r="L83" s="26">
        <v>125.2</v>
      </c>
      <c r="M83" s="26">
        <v>124.1</v>
      </c>
      <c r="N83" s="26">
        <v>126.4</v>
      </c>
      <c r="O83" s="26">
        <v>-0.54</v>
      </c>
      <c r="P83" s="26">
        <v>92.0</v>
      </c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>
        <v>54.0</v>
      </c>
      <c r="BB83" s="26">
        <v>104.9</v>
      </c>
      <c r="BC83" s="26">
        <v>104.2</v>
      </c>
      <c r="BD83" s="26">
        <v>105.7</v>
      </c>
      <c r="BE83" s="26">
        <v>-2.51</v>
      </c>
      <c r="BF83" s="26">
        <v>62.0</v>
      </c>
      <c r="BG83" s="26"/>
      <c r="BH83" s="26"/>
      <c r="BI83" s="26"/>
      <c r="BJ83" s="26"/>
      <c r="BK83" s="26"/>
      <c r="BL83" s="26"/>
      <c r="BM83" s="26"/>
    </row>
    <row r="84" ht="15.75" customHeight="1">
      <c r="A84" s="25"/>
      <c r="B84" s="26"/>
      <c r="C84" s="26">
        <v>55.0</v>
      </c>
      <c r="D84" s="26">
        <v>137.8</v>
      </c>
      <c r="E84" s="26">
        <v>136.8</v>
      </c>
      <c r="F84" s="26">
        <v>138.9</v>
      </c>
      <c r="G84" s="26">
        <v>0.25</v>
      </c>
      <c r="H84" s="26">
        <v>104.0</v>
      </c>
      <c r="I84" s="26"/>
      <c r="J84" s="26"/>
      <c r="K84" s="26">
        <v>55.0</v>
      </c>
      <c r="L84" s="26">
        <v>125.8</v>
      </c>
      <c r="M84" s="26">
        <v>124.6</v>
      </c>
      <c r="N84" s="26">
        <v>127.0</v>
      </c>
      <c r="O84" s="26">
        <v>-0.45</v>
      </c>
      <c r="P84" s="26">
        <v>93.0</v>
      </c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>
        <v>55.0</v>
      </c>
      <c r="BB84" s="26">
        <v>105.2</v>
      </c>
      <c r="BC84" s="26">
        <v>104.4</v>
      </c>
      <c r="BD84" s="26">
        <v>105.9</v>
      </c>
      <c r="BE84" s="26">
        <v>-2.45</v>
      </c>
      <c r="BF84" s="26">
        <v>63.0</v>
      </c>
      <c r="BG84" s="26"/>
      <c r="BH84" s="26"/>
      <c r="BI84" s="26"/>
      <c r="BJ84" s="26"/>
      <c r="BK84" s="26"/>
      <c r="BL84" s="26"/>
      <c r="BM84" s="26"/>
    </row>
    <row r="85" ht="15.75" customHeight="1">
      <c r="A85" s="25"/>
      <c r="B85" s="26"/>
      <c r="C85" s="26">
        <v>56.0</v>
      </c>
      <c r="D85" s="26">
        <v>138.3</v>
      </c>
      <c r="E85" s="26">
        <v>137.1</v>
      </c>
      <c r="F85" s="26">
        <v>139.4</v>
      </c>
      <c r="G85" s="26">
        <v>0.31</v>
      </c>
      <c r="H85" s="26">
        <v>105.0</v>
      </c>
      <c r="I85" s="26"/>
      <c r="J85" s="26"/>
      <c r="K85" s="26">
        <v>56.0</v>
      </c>
      <c r="L85" s="26">
        <v>126.4</v>
      </c>
      <c r="M85" s="26">
        <v>125.1</v>
      </c>
      <c r="N85" s="26">
        <v>127.6</v>
      </c>
      <c r="O85" s="26">
        <v>-0.36</v>
      </c>
      <c r="P85" s="26">
        <v>95.0</v>
      </c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>
        <v>56.0</v>
      </c>
      <c r="BB85" s="26">
        <v>105.4</v>
      </c>
      <c r="BC85" s="26">
        <v>104.6</v>
      </c>
      <c r="BD85" s="26">
        <v>106.2</v>
      </c>
      <c r="BE85" s="26">
        <v>-2.38</v>
      </c>
      <c r="BF85" s="26">
        <v>64.0</v>
      </c>
      <c r="BG85" s="26"/>
      <c r="BH85" s="26"/>
      <c r="BI85" s="26"/>
      <c r="BJ85" s="26"/>
      <c r="BK85" s="26"/>
      <c r="BL85" s="26"/>
      <c r="BM85" s="26"/>
    </row>
    <row r="86" ht="15.75" customHeight="1">
      <c r="A86" s="25"/>
      <c r="B86" s="26"/>
      <c r="C86" s="26">
        <v>57.0</v>
      </c>
      <c r="D86" s="26">
        <v>138.8</v>
      </c>
      <c r="E86" s="26">
        <v>137.5</v>
      </c>
      <c r="F86" s="26">
        <v>140.1</v>
      </c>
      <c r="G86" s="26">
        <v>0.39</v>
      </c>
      <c r="H86" s="26">
        <v>106.0</v>
      </c>
      <c r="I86" s="26"/>
      <c r="J86" s="26"/>
      <c r="K86" s="26">
        <v>57.0</v>
      </c>
      <c r="L86" s="26">
        <v>127.0</v>
      </c>
      <c r="M86" s="26">
        <v>125.6</v>
      </c>
      <c r="N86" s="26">
        <v>128.4</v>
      </c>
      <c r="O86" s="26">
        <v>-0.25</v>
      </c>
      <c r="P86" s="26">
        <v>96.0</v>
      </c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>
        <v>57.0</v>
      </c>
      <c r="BB86" s="26">
        <v>105.6</v>
      </c>
      <c r="BC86" s="26">
        <v>104.8</v>
      </c>
      <c r="BD86" s="26">
        <v>106.4</v>
      </c>
      <c r="BE86" s="26">
        <v>-2.31</v>
      </c>
      <c r="BF86" s="26">
        <v>65.0</v>
      </c>
      <c r="BG86" s="26"/>
      <c r="BH86" s="26"/>
      <c r="BI86" s="26"/>
      <c r="BJ86" s="26"/>
      <c r="BK86" s="26"/>
      <c r="BL86" s="26"/>
      <c r="BM86" s="26"/>
    </row>
    <row r="87" ht="15.75" customHeight="1">
      <c r="A87" s="25"/>
      <c r="B87" s="26"/>
      <c r="C87" s="26">
        <v>58.0</v>
      </c>
      <c r="D87" s="26">
        <v>139.4</v>
      </c>
      <c r="E87" s="26">
        <v>138.1</v>
      </c>
      <c r="F87" s="26">
        <v>140.7</v>
      </c>
      <c r="G87" s="26">
        <v>0.49</v>
      </c>
      <c r="H87" s="26">
        <v>107.0</v>
      </c>
      <c r="I87" s="26"/>
      <c r="J87" s="26"/>
      <c r="K87" s="26">
        <v>58.0</v>
      </c>
      <c r="L87" s="26">
        <v>127.9</v>
      </c>
      <c r="M87" s="26">
        <v>126.1</v>
      </c>
      <c r="N87" s="26">
        <v>129.7</v>
      </c>
      <c r="O87" s="26">
        <v>-0.09</v>
      </c>
      <c r="P87" s="26">
        <v>99.0</v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58.0</v>
      </c>
      <c r="BB87" s="26">
        <v>105.9</v>
      </c>
      <c r="BC87" s="26">
        <v>105.0</v>
      </c>
      <c r="BD87" s="26">
        <v>106.7</v>
      </c>
      <c r="BE87" s="26">
        <v>-2.22</v>
      </c>
      <c r="BF87" s="26">
        <v>67.0</v>
      </c>
      <c r="BG87" s="26"/>
      <c r="BH87" s="26"/>
      <c r="BI87" s="26"/>
      <c r="BJ87" s="26"/>
      <c r="BK87" s="26"/>
      <c r="BL87" s="26"/>
      <c r="BM87" s="26"/>
    </row>
    <row r="88" ht="15.75" customHeight="1">
      <c r="A88" s="25"/>
      <c r="B88" s="26"/>
      <c r="C88" s="26">
        <v>59.0</v>
      </c>
      <c r="D88" s="26">
        <v>139.9</v>
      </c>
      <c r="E88" s="26">
        <v>138.8</v>
      </c>
      <c r="F88" s="26">
        <v>141.0</v>
      </c>
      <c r="G88" s="26">
        <v>0.56</v>
      </c>
      <c r="H88" s="26">
        <v>108.0</v>
      </c>
      <c r="I88" s="26"/>
      <c r="J88" s="26"/>
      <c r="K88" s="26">
        <v>59.0</v>
      </c>
      <c r="L88" s="26">
        <v>130.3</v>
      </c>
      <c r="M88" s="26">
        <v>126.8</v>
      </c>
      <c r="N88" s="26">
        <v>133.8</v>
      </c>
      <c r="O88" s="26">
        <v>-0.29</v>
      </c>
      <c r="P88" s="26">
        <v>104.0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>
        <v>59.0</v>
      </c>
      <c r="BB88" s="26">
        <v>106.1</v>
      </c>
      <c r="BC88" s="26">
        <v>105.3</v>
      </c>
      <c r="BD88" s="26">
        <v>107.0</v>
      </c>
      <c r="BE88" s="26">
        <v>-2.14</v>
      </c>
      <c r="BF88" s="26">
        <v>68.0</v>
      </c>
      <c r="BG88" s="26"/>
      <c r="BH88" s="26"/>
      <c r="BI88" s="26"/>
      <c r="BJ88" s="26"/>
      <c r="BK88" s="26"/>
      <c r="BL88" s="26"/>
      <c r="BM88" s="26"/>
    </row>
    <row r="89" ht="15.75" customHeight="1">
      <c r="A89" s="25"/>
      <c r="B89" s="26"/>
      <c r="C89" s="26">
        <v>60.0</v>
      </c>
      <c r="D89" s="26">
        <v>140.3</v>
      </c>
      <c r="E89" s="26">
        <v>139.3</v>
      </c>
      <c r="F89" s="26">
        <v>141.3</v>
      </c>
      <c r="G89" s="26">
        <v>0.62</v>
      </c>
      <c r="H89" s="26">
        <v>109.0</v>
      </c>
      <c r="I89" s="26"/>
      <c r="J89" s="26"/>
      <c r="K89" s="26">
        <v>60.0</v>
      </c>
      <c r="L89" s="26">
        <v>134.1</v>
      </c>
      <c r="M89" s="26">
        <v>130.8</v>
      </c>
      <c r="N89" s="26">
        <v>137.3</v>
      </c>
      <c r="O89" s="26">
        <v>-0.92</v>
      </c>
      <c r="P89" s="26">
        <v>114.0</v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>
        <v>60.0</v>
      </c>
      <c r="BB89" s="26">
        <v>106.4</v>
      </c>
      <c r="BC89" s="26">
        <v>105.6</v>
      </c>
      <c r="BD89" s="26">
        <v>107.2</v>
      </c>
      <c r="BE89" s="26">
        <v>-2.06</v>
      </c>
      <c r="BF89" s="26">
        <v>69.0</v>
      </c>
      <c r="BG89" s="26"/>
      <c r="BH89" s="26"/>
      <c r="BI89" s="26"/>
      <c r="BJ89" s="26"/>
      <c r="BK89" s="26"/>
      <c r="BL89" s="26"/>
      <c r="BM89" s="26"/>
    </row>
    <row r="90" ht="15.75" customHeight="1">
      <c r="A90" s="25"/>
      <c r="B90" s="26"/>
      <c r="C90" s="26">
        <v>61.0</v>
      </c>
      <c r="D90" s="26">
        <v>140.7</v>
      </c>
      <c r="E90" s="26">
        <v>139.7</v>
      </c>
      <c r="F90" s="26">
        <v>141.7</v>
      </c>
      <c r="G90" s="26">
        <v>0.68</v>
      </c>
      <c r="H90" s="26">
        <v>110.0</v>
      </c>
      <c r="I90" s="26"/>
      <c r="J90" s="26"/>
      <c r="K90" s="26">
        <v>61.0</v>
      </c>
      <c r="L90" s="26">
        <v>136.7</v>
      </c>
      <c r="M90" s="26">
        <v>134.3</v>
      </c>
      <c r="N90" s="26">
        <v>139.0</v>
      </c>
      <c r="O90" s="26">
        <v>1.35</v>
      </c>
      <c r="P90" s="26">
        <v>120.0</v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>
        <v>61.0</v>
      </c>
      <c r="BB90" s="26">
        <v>106.6</v>
      </c>
      <c r="BC90" s="26">
        <v>105.8</v>
      </c>
      <c r="BD90" s="26">
        <v>107.4</v>
      </c>
      <c r="BE90" s="26">
        <v>-1.99</v>
      </c>
      <c r="BF90" s="26">
        <v>70.0</v>
      </c>
      <c r="BG90" s="26"/>
      <c r="BH90" s="26"/>
      <c r="BI90" s="26"/>
      <c r="BJ90" s="26"/>
      <c r="BK90" s="26"/>
      <c r="BL90" s="26"/>
      <c r="BM90" s="26"/>
    </row>
    <row r="91" ht="15.75" customHeight="1">
      <c r="A91" s="25"/>
      <c r="B91" s="26"/>
      <c r="C91" s="26">
        <v>62.0</v>
      </c>
      <c r="D91" s="26">
        <v>141.1</v>
      </c>
      <c r="E91" s="26">
        <v>140.0</v>
      </c>
      <c r="F91" s="26">
        <v>142.2</v>
      </c>
      <c r="G91" s="26">
        <v>0.74</v>
      </c>
      <c r="H91" s="26">
        <v>111.0</v>
      </c>
      <c r="I91" s="26"/>
      <c r="J91" s="26"/>
      <c r="K91" s="26">
        <v>62.0</v>
      </c>
      <c r="L91" s="26">
        <v>138.9</v>
      </c>
      <c r="M91" s="26">
        <v>136.3</v>
      </c>
      <c r="N91" s="26">
        <v>141.6</v>
      </c>
      <c r="O91" s="26">
        <v>1.73</v>
      </c>
      <c r="P91" s="26">
        <v>126.0</v>
      </c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62.0</v>
      </c>
      <c r="BB91" s="26">
        <v>106.9</v>
      </c>
      <c r="BC91" s="26">
        <v>106.1</v>
      </c>
      <c r="BD91" s="26">
        <v>107.6</v>
      </c>
      <c r="BE91" s="26">
        <v>-1.92</v>
      </c>
      <c r="BF91" s="26">
        <v>71.0</v>
      </c>
      <c r="BG91" s="26"/>
      <c r="BH91" s="26"/>
      <c r="BI91" s="26"/>
      <c r="BJ91" s="26"/>
      <c r="BK91" s="26"/>
      <c r="BL91" s="26"/>
      <c r="BM91" s="26"/>
    </row>
    <row r="92" ht="15.75" customHeight="1">
      <c r="A92" s="25"/>
      <c r="B92" s="26"/>
      <c r="C92" s="26">
        <v>63.0</v>
      </c>
      <c r="D92" s="26">
        <v>141.6</v>
      </c>
      <c r="E92" s="26">
        <v>140.3</v>
      </c>
      <c r="F92" s="26">
        <v>142.9</v>
      </c>
      <c r="G92" s="26">
        <v>0.81</v>
      </c>
      <c r="H92" s="26">
        <v>112.0</v>
      </c>
      <c r="I92" s="26"/>
      <c r="J92" s="26"/>
      <c r="K92" s="26">
        <v>63.0</v>
      </c>
      <c r="L92" s="26">
        <v>141.4</v>
      </c>
      <c r="M92" s="26">
        <v>138.9</v>
      </c>
      <c r="N92" s="26">
        <v>143.9</v>
      </c>
      <c r="O92" s="26">
        <v>2.13</v>
      </c>
      <c r="P92" s="26">
        <v>132.0</v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>
        <v>63.0</v>
      </c>
      <c r="BB92" s="26">
        <v>107.1</v>
      </c>
      <c r="BC92" s="26">
        <v>106.3</v>
      </c>
      <c r="BD92" s="26">
        <v>107.8</v>
      </c>
      <c r="BE92" s="26">
        <v>-1.86</v>
      </c>
      <c r="BF92" s="26">
        <v>72.0</v>
      </c>
      <c r="BG92" s="26"/>
      <c r="BH92" s="26"/>
      <c r="BI92" s="26"/>
      <c r="BJ92" s="26"/>
      <c r="BK92" s="26"/>
      <c r="BL92" s="26"/>
      <c r="BM92" s="26"/>
    </row>
    <row r="93" ht="15.75" customHeight="1">
      <c r="A93" s="25"/>
      <c r="B93" s="26"/>
      <c r="C93" s="26">
        <v>64.0</v>
      </c>
      <c r="D93" s="26">
        <v>142.5</v>
      </c>
      <c r="E93" s="26">
        <v>140.7</v>
      </c>
      <c r="F93" s="26">
        <v>144.3</v>
      </c>
      <c r="G93" s="26">
        <v>0.95</v>
      </c>
      <c r="H93" s="26">
        <v>114.0</v>
      </c>
      <c r="I93" s="26"/>
      <c r="J93" s="26"/>
      <c r="K93" s="26">
        <v>64.0</v>
      </c>
      <c r="L93" s="26">
        <v>143.3</v>
      </c>
      <c r="M93" s="26">
        <v>139.9</v>
      </c>
      <c r="N93" s="26">
        <v>146.7</v>
      </c>
      <c r="O93" s="26">
        <v>2.45</v>
      </c>
      <c r="P93" s="26">
        <v>137.0</v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>
        <v>64.0</v>
      </c>
      <c r="BB93" s="26">
        <v>107.3</v>
      </c>
      <c r="BC93" s="26">
        <v>106.5</v>
      </c>
      <c r="BD93" s="26">
        <v>108.0</v>
      </c>
      <c r="BE93" s="26">
        <v>-1.8</v>
      </c>
      <c r="BF93" s="26">
        <v>73.0</v>
      </c>
      <c r="BG93" s="26"/>
      <c r="BH93" s="26"/>
      <c r="BI93" s="26"/>
      <c r="BJ93" s="26"/>
      <c r="BK93" s="26"/>
      <c r="BL93" s="26"/>
      <c r="BM93" s="26"/>
    </row>
    <row r="94" ht="15.75" customHeight="1">
      <c r="A94" s="25"/>
      <c r="B94" s="26"/>
      <c r="C94" s="26">
        <v>65.0</v>
      </c>
      <c r="D94" s="26">
        <v>143.5</v>
      </c>
      <c r="E94" s="26">
        <v>142.0</v>
      </c>
      <c r="F94" s="26">
        <v>145.0</v>
      </c>
      <c r="G94" s="26">
        <v>1.1</v>
      </c>
      <c r="H94" s="26">
        <v>116.0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>
        <v>65.0</v>
      </c>
      <c r="BB94" s="26">
        <v>107.4</v>
      </c>
      <c r="BC94" s="26">
        <v>106.7</v>
      </c>
      <c r="BD94" s="26">
        <v>108.1</v>
      </c>
      <c r="BE94" s="26">
        <v>-1.74</v>
      </c>
      <c r="BF94" s="26">
        <v>74.0</v>
      </c>
      <c r="BG94" s="26"/>
      <c r="BH94" s="26"/>
      <c r="BI94" s="26"/>
      <c r="BJ94" s="26"/>
      <c r="BK94" s="26"/>
      <c r="BL94" s="26"/>
      <c r="BM94" s="26"/>
    </row>
    <row r="95" ht="15.75" customHeight="1">
      <c r="A95" s="25"/>
      <c r="B95" s="26"/>
      <c r="C95" s="26">
        <v>66.0</v>
      </c>
      <c r="D95" s="26">
        <v>144.4</v>
      </c>
      <c r="E95" s="26">
        <v>142.7</v>
      </c>
      <c r="F95" s="26">
        <v>146.0</v>
      </c>
      <c r="G95" s="26">
        <v>1.23</v>
      </c>
      <c r="H95" s="26">
        <v>118.0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>
        <v>66.0</v>
      </c>
      <c r="BB95" s="26">
        <v>107.6</v>
      </c>
      <c r="BC95" s="26">
        <v>106.9</v>
      </c>
      <c r="BD95" s="26">
        <v>108.3</v>
      </c>
      <c r="BE95" s="26">
        <v>-1.68</v>
      </c>
      <c r="BF95" s="26">
        <v>75.0</v>
      </c>
      <c r="BG95" s="26"/>
      <c r="BH95" s="26"/>
      <c r="BI95" s="26"/>
      <c r="BJ95" s="26"/>
      <c r="BK95" s="26"/>
      <c r="BL95" s="26"/>
      <c r="BM95" s="26"/>
    </row>
    <row r="96" ht="15.75" customHeight="1">
      <c r="A96" s="25"/>
      <c r="B96" s="26"/>
      <c r="C96" s="26">
        <v>67.0</v>
      </c>
      <c r="D96" s="26">
        <v>145.3</v>
      </c>
      <c r="E96" s="26">
        <v>143.9</v>
      </c>
      <c r="F96" s="26">
        <v>146.7</v>
      </c>
      <c r="G96" s="26">
        <v>1.37</v>
      </c>
      <c r="H96" s="26">
        <v>121.0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>
        <v>67.0</v>
      </c>
      <c r="BB96" s="26">
        <v>107.8</v>
      </c>
      <c r="BC96" s="26">
        <v>107.1</v>
      </c>
      <c r="BD96" s="26">
        <v>108.5</v>
      </c>
      <c r="BE96" s="26">
        <v>-1.62</v>
      </c>
      <c r="BF96" s="26">
        <v>76.0</v>
      </c>
      <c r="BG96" s="26"/>
      <c r="BH96" s="26"/>
      <c r="BI96" s="26"/>
      <c r="BJ96" s="26"/>
      <c r="BK96" s="26"/>
      <c r="BL96" s="26"/>
      <c r="BM96" s="26"/>
    </row>
    <row r="97" ht="15.75" customHeight="1">
      <c r="A97" s="25"/>
      <c r="B97" s="26"/>
      <c r="C97" s="26">
        <v>68.0</v>
      </c>
      <c r="D97" s="26">
        <v>145.9</v>
      </c>
      <c r="E97" s="26">
        <v>144.7</v>
      </c>
      <c r="F97" s="26">
        <v>147.0</v>
      </c>
      <c r="G97" s="26">
        <v>1.45</v>
      </c>
      <c r="H97" s="26">
        <v>122.0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>
        <v>68.0</v>
      </c>
      <c r="BB97" s="26">
        <v>108.0</v>
      </c>
      <c r="BC97" s="26">
        <v>107.3</v>
      </c>
      <c r="BD97" s="26">
        <v>108.7</v>
      </c>
      <c r="BE97" s="26">
        <v>-1.57</v>
      </c>
      <c r="BF97" s="26">
        <v>77.0</v>
      </c>
      <c r="BG97" s="26"/>
      <c r="BH97" s="26"/>
      <c r="BI97" s="26"/>
      <c r="BJ97" s="26"/>
      <c r="BK97" s="26"/>
      <c r="BL97" s="26"/>
      <c r="BM97" s="26"/>
    </row>
    <row r="98" ht="15.75" customHeight="1">
      <c r="A98" s="25"/>
      <c r="B98" s="26"/>
      <c r="C98" s="26">
        <v>69.0</v>
      </c>
      <c r="D98" s="26">
        <v>146.3</v>
      </c>
      <c r="E98" s="26">
        <v>145.2</v>
      </c>
      <c r="F98" s="26">
        <v>147.4</v>
      </c>
      <c r="G98" s="26">
        <v>1.52</v>
      </c>
      <c r="H98" s="26">
        <v>123.0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>
        <v>69.0</v>
      </c>
      <c r="BB98" s="26">
        <v>108.2</v>
      </c>
      <c r="BC98" s="26">
        <v>107.5</v>
      </c>
      <c r="BD98" s="26">
        <v>108.9</v>
      </c>
      <c r="BE98" s="26">
        <v>-1.51</v>
      </c>
      <c r="BF98" s="26">
        <v>77.0</v>
      </c>
      <c r="BG98" s="26"/>
      <c r="BH98" s="26"/>
      <c r="BI98" s="26"/>
      <c r="BJ98" s="26"/>
      <c r="BK98" s="26"/>
      <c r="BL98" s="26"/>
      <c r="BM98" s="26"/>
    </row>
    <row r="99" ht="15.75" customHeight="1">
      <c r="A99" s="25"/>
      <c r="B99" s="26"/>
      <c r="C99" s="26">
        <v>70.0</v>
      </c>
      <c r="D99" s="26">
        <v>146.8</v>
      </c>
      <c r="E99" s="26">
        <v>145.6</v>
      </c>
      <c r="F99" s="26">
        <v>147.9</v>
      </c>
      <c r="G99" s="26">
        <v>1.59</v>
      </c>
      <c r="H99" s="26">
        <v>124.0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>
        <v>70.0</v>
      </c>
      <c r="BB99" s="26">
        <v>108.4</v>
      </c>
      <c r="BC99" s="26">
        <v>107.6</v>
      </c>
      <c r="BD99" s="26">
        <v>109.1</v>
      </c>
      <c r="BE99" s="26">
        <v>-1.45</v>
      </c>
      <c r="BF99" s="26">
        <v>78.0</v>
      </c>
      <c r="BG99" s="26"/>
      <c r="BH99" s="26"/>
      <c r="BI99" s="26"/>
      <c r="BJ99" s="26"/>
      <c r="BK99" s="26"/>
      <c r="BL99" s="26"/>
      <c r="BM99" s="26"/>
    </row>
    <row r="100" ht="15.75" customHeight="1">
      <c r="A100" s="25"/>
      <c r="B100" s="26"/>
      <c r="C100" s="26">
        <v>71.0</v>
      </c>
      <c r="D100" s="26">
        <v>147.3</v>
      </c>
      <c r="E100" s="26">
        <v>145.9</v>
      </c>
      <c r="F100" s="26">
        <v>148.7</v>
      </c>
      <c r="G100" s="26">
        <v>1.67</v>
      </c>
      <c r="H100" s="26">
        <v>125.0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>
        <v>71.0</v>
      </c>
      <c r="BB100" s="26">
        <v>108.6</v>
      </c>
      <c r="BC100" s="26">
        <v>107.8</v>
      </c>
      <c r="BD100" s="26">
        <v>109.3</v>
      </c>
      <c r="BE100" s="26">
        <v>-1.38</v>
      </c>
      <c r="BF100" s="26">
        <v>79.0</v>
      </c>
      <c r="BG100" s="26"/>
      <c r="BH100" s="26"/>
      <c r="BI100" s="26"/>
      <c r="BJ100" s="26"/>
      <c r="BK100" s="26"/>
      <c r="BL100" s="26"/>
      <c r="BM100" s="26"/>
    </row>
    <row r="101" ht="15.75" customHeight="1">
      <c r="A101" s="25"/>
      <c r="B101" s="26"/>
      <c r="C101" s="26">
        <v>72.0</v>
      </c>
      <c r="D101" s="26">
        <v>148.4</v>
      </c>
      <c r="E101" s="26">
        <v>146.3</v>
      </c>
      <c r="F101" s="26">
        <v>150.5</v>
      </c>
      <c r="G101" s="26">
        <v>1.83</v>
      </c>
      <c r="H101" s="26">
        <v>128.0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>
        <v>72.0</v>
      </c>
      <c r="BB101" s="26">
        <v>108.8</v>
      </c>
      <c r="BC101" s="26">
        <v>108.0</v>
      </c>
      <c r="BD101" s="26">
        <v>109.6</v>
      </c>
      <c r="BE101" s="26">
        <v>-1.31</v>
      </c>
      <c r="BF101" s="26">
        <v>80.0</v>
      </c>
      <c r="BG101" s="26"/>
      <c r="BH101" s="26"/>
      <c r="BI101" s="26"/>
      <c r="BJ101" s="26"/>
      <c r="BK101" s="26"/>
      <c r="BL101" s="26"/>
      <c r="BM101" s="26"/>
    </row>
    <row r="102" ht="15.75" customHeight="1">
      <c r="A102" s="25"/>
      <c r="B102" s="26"/>
      <c r="C102" s="26">
        <v>73.0</v>
      </c>
      <c r="D102" s="26">
        <v>150.2</v>
      </c>
      <c r="E102" s="26">
        <v>147.9</v>
      </c>
      <c r="F102" s="26">
        <v>152.5</v>
      </c>
      <c r="G102" s="26">
        <v>2.11</v>
      </c>
      <c r="H102" s="26">
        <v>132.0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>
        <v>73.0</v>
      </c>
      <c r="BB102" s="26">
        <v>109.1</v>
      </c>
      <c r="BC102" s="26">
        <v>108.2</v>
      </c>
      <c r="BD102" s="26">
        <v>109.9</v>
      </c>
      <c r="BE102" s="26">
        <v>-1.24</v>
      </c>
      <c r="BF102" s="26">
        <v>81.0</v>
      </c>
      <c r="BG102" s="26"/>
      <c r="BH102" s="26"/>
      <c r="BI102" s="26"/>
      <c r="BJ102" s="26"/>
      <c r="BK102" s="26"/>
      <c r="BL102" s="26"/>
      <c r="BM102" s="26"/>
    </row>
    <row r="103" ht="15.75" customHeight="1">
      <c r="A103" s="25"/>
      <c r="B103" s="26"/>
      <c r="C103" s="26">
        <v>74.0</v>
      </c>
      <c r="D103" s="26">
        <v>151.9</v>
      </c>
      <c r="E103" s="26">
        <v>148.7</v>
      </c>
      <c r="F103" s="26">
        <v>155.2</v>
      </c>
      <c r="G103" s="26">
        <v>2.36</v>
      </c>
      <c r="H103" s="26">
        <v>135.0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>
        <v>74.0</v>
      </c>
      <c r="BB103" s="26">
        <v>109.3</v>
      </c>
      <c r="BC103" s="26">
        <v>108.5</v>
      </c>
      <c r="BD103" s="26">
        <v>110.1</v>
      </c>
      <c r="BE103" s="26">
        <v>-1.16</v>
      </c>
      <c r="BF103" s="26">
        <v>83.0</v>
      </c>
      <c r="BG103" s="26"/>
      <c r="BH103" s="26"/>
      <c r="BI103" s="26"/>
      <c r="BJ103" s="26"/>
      <c r="BK103" s="26"/>
      <c r="BL103" s="26"/>
      <c r="BM103" s="26"/>
    </row>
    <row r="104" ht="15.75" customHeight="1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>
        <v>75.0</v>
      </c>
      <c r="BB104" s="26">
        <v>109.6</v>
      </c>
      <c r="BC104" s="26">
        <v>108.7</v>
      </c>
      <c r="BD104" s="26">
        <v>110.4</v>
      </c>
      <c r="BE104" s="26">
        <v>-1.08</v>
      </c>
      <c r="BF104" s="26">
        <v>84.0</v>
      </c>
      <c r="BG104" s="26"/>
      <c r="BH104" s="26"/>
      <c r="BI104" s="26"/>
      <c r="BJ104" s="26"/>
      <c r="BK104" s="26"/>
      <c r="BL104" s="26"/>
      <c r="BM104" s="26"/>
    </row>
    <row r="105" ht="15.75" customHeight="1">
      <c r="A105" s="25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>
        <v>76.0</v>
      </c>
      <c r="BB105" s="26">
        <v>109.8</v>
      </c>
      <c r="BC105" s="26">
        <v>109.0</v>
      </c>
      <c r="BD105" s="26">
        <v>110.6</v>
      </c>
      <c r="BE105" s="26">
        <v>-1.0</v>
      </c>
      <c r="BF105" s="26">
        <v>85.0</v>
      </c>
      <c r="BG105" s="26"/>
      <c r="BH105" s="26"/>
      <c r="BI105" s="26"/>
      <c r="BJ105" s="26"/>
      <c r="BK105" s="26"/>
      <c r="BL105" s="26"/>
      <c r="BM105" s="26"/>
    </row>
    <row r="106" ht="15.75" customHeight="1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>
        <v>77.0</v>
      </c>
      <c r="BB106" s="26">
        <v>110.1</v>
      </c>
      <c r="BC106" s="26">
        <v>109.3</v>
      </c>
      <c r="BD106" s="26">
        <v>110.9</v>
      </c>
      <c r="BE106" s="26">
        <v>-0.92</v>
      </c>
      <c r="BF106" s="26">
        <v>86.0</v>
      </c>
      <c r="BG106" s="26"/>
      <c r="BH106" s="26"/>
      <c r="BI106" s="26"/>
      <c r="BJ106" s="26"/>
      <c r="BK106" s="26"/>
      <c r="BL106" s="26"/>
      <c r="BM106" s="26"/>
    </row>
    <row r="107" ht="15.75" customHeight="1">
      <c r="A107" s="25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>
        <v>78.0</v>
      </c>
      <c r="BB107" s="26">
        <v>110.3</v>
      </c>
      <c r="BC107" s="26">
        <v>109.5</v>
      </c>
      <c r="BD107" s="26">
        <v>111.1</v>
      </c>
      <c r="BE107" s="26">
        <v>-0.85</v>
      </c>
      <c r="BF107" s="26">
        <v>87.0</v>
      </c>
      <c r="BG107" s="26"/>
      <c r="BH107" s="26"/>
      <c r="BI107" s="26"/>
      <c r="BJ107" s="26"/>
      <c r="BK107" s="26"/>
      <c r="BL107" s="26"/>
      <c r="BM107" s="26"/>
    </row>
    <row r="108" ht="15.75" customHeight="1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>
        <v>79.0</v>
      </c>
      <c r="BB108" s="26">
        <v>110.5</v>
      </c>
      <c r="BC108" s="26">
        <v>109.8</v>
      </c>
      <c r="BD108" s="26">
        <v>111.3</v>
      </c>
      <c r="BE108" s="26">
        <v>-0.78</v>
      </c>
      <c r="BF108" s="26">
        <v>88.0</v>
      </c>
      <c r="BG108" s="26"/>
      <c r="BH108" s="26"/>
      <c r="BI108" s="26"/>
      <c r="BJ108" s="26"/>
      <c r="BK108" s="26"/>
      <c r="BL108" s="26"/>
      <c r="BM108" s="26"/>
    </row>
    <row r="109" ht="15.75" customHeight="1">
      <c r="A109" s="25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>
        <v>80.0</v>
      </c>
      <c r="BB109" s="26">
        <v>110.7</v>
      </c>
      <c r="BC109" s="26">
        <v>110.0</v>
      </c>
      <c r="BD109" s="26">
        <v>111.5</v>
      </c>
      <c r="BE109" s="26">
        <v>-0.72</v>
      </c>
      <c r="BF109" s="26">
        <v>89.0</v>
      </c>
      <c r="BG109" s="26"/>
      <c r="BH109" s="26"/>
      <c r="BI109" s="26"/>
      <c r="BJ109" s="26"/>
      <c r="BK109" s="26"/>
      <c r="BL109" s="26"/>
      <c r="BM109" s="26"/>
    </row>
    <row r="110" ht="15.75" customHeight="1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>
        <v>81.0</v>
      </c>
      <c r="BB110" s="26">
        <v>110.9</v>
      </c>
      <c r="BC110" s="26">
        <v>110.2</v>
      </c>
      <c r="BD110" s="26">
        <v>111.7</v>
      </c>
      <c r="BE110" s="26">
        <v>-0.65</v>
      </c>
      <c r="BF110" s="26">
        <v>90.0</v>
      </c>
      <c r="BG110" s="26"/>
      <c r="BH110" s="26"/>
      <c r="BI110" s="26"/>
      <c r="BJ110" s="26"/>
      <c r="BK110" s="26"/>
      <c r="BL110" s="26"/>
      <c r="BM110" s="26"/>
    </row>
    <row r="111" ht="15.75" customHeight="1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>
        <v>82.0</v>
      </c>
      <c r="BB111" s="26">
        <v>111.1</v>
      </c>
      <c r="BC111" s="26">
        <v>110.4</v>
      </c>
      <c r="BD111" s="26">
        <v>111.9</v>
      </c>
      <c r="BE111" s="26">
        <v>-0.59</v>
      </c>
      <c r="BF111" s="26">
        <v>91.0</v>
      </c>
      <c r="BG111" s="26"/>
      <c r="BH111" s="26"/>
      <c r="BI111" s="26"/>
      <c r="BJ111" s="26"/>
      <c r="BK111" s="26"/>
      <c r="BL111" s="26"/>
      <c r="BM111" s="26"/>
    </row>
    <row r="112" ht="15.75" customHeight="1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>
        <v>83.0</v>
      </c>
      <c r="BB112" s="26">
        <v>111.3</v>
      </c>
      <c r="BC112" s="26">
        <v>110.6</v>
      </c>
      <c r="BD112" s="26">
        <v>112.1</v>
      </c>
      <c r="BE112" s="26">
        <v>-0.53</v>
      </c>
      <c r="BF112" s="26">
        <v>92.0</v>
      </c>
      <c r="BG112" s="26"/>
      <c r="BH112" s="26"/>
      <c r="BI112" s="26"/>
      <c r="BJ112" s="26"/>
      <c r="BK112" s="26"/>
      <c r="BL112" s="26"/>
      <c r="BM112" s="26"/>
    </row>
    <row r="113" ht="15.75" customHeight="1">
      <c r="A113" s="25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>
        <v>84.0</v>
      </c>
      <c r="BB113" s="26">
        <v>111.5</v>
      </c>
      <c r="BC113" s="26">
        <v>110.8</v>
      </c>
      <c r="BD113" s="26">
        <v>112.3</v>
      </c>
      <c r="BE113" s="26">
        <v>-0.47</v>
      </c>
      <c r="BF113" s="26">
        <v>93.0</v>
      </c>
      <c r="BG113" s="26"/>
      <c r="BH113" s="26"/>
      <c r="BI113" s="26"/>
      <c r="BJ113" s="26"/>
      <c r="BK113" s="26"/>
      <c r="BL113" s="26"/>
      <c r="BM113" s="26"/>
    </row>
    <row r="114" ht="15.75" customHeight="1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>
        <v>85.0</v>
      </c>
      <c r="BB114" s="26">
        <v>111.8</v>
      </c>
      <c r="BC114" s="26">
        <v>111.0</v>
      </c>
      <c r="BD114" s="26">
        <v>112.5</v>
      </c>
      <c r="BE114" s="26">
        <v>-0.4</v>
      </c>
      <c r="BF114" s="26">
        <v>94.0</v>
      </c>
      <c r="BG114" s="26"/>
      <c r="BH114" s="26"/>
      <c r="BI114" s="26"/>
      <c r="BJ114" s="26"/>
      <c r="BK114" s="26"/>
      <c r="BL114" s="26"/>
      <c r="BM114" s="26"/>
    </row>
    <row r="115" ht="15.75" customHeight="1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>
        <v>86.0</v>
      </c>
      <c r="BB115" s="26">
        <v>112.0</v>
      </c>
      <c r="BC115" s="26">
        <v>111.2</v>
      </c>
      <c r="BD115" s="26">
        <v>112.8</v>
      </c>
      <c r="BE115" s="26">
        <v>-0.33</v>
      </c>
      <c r="BF115" s="26">
        <v>95.0</v>
      </c>
      <c r="BG115" s="26"/>
      <c r="BH115" s="26"/>
      <c r="BI115" s="26"/>
      <c r="BJ115" s="26"/>
      <c r="BK115" s="26"/>
      <c r="BL115" s="26"/>
      <c r="BM115" s="26"/>
    </row>
    <row r="116" ht="15.75" customHeight="1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>
        <v>87.0</v>
      </c>
      <c r="BB116" s="26">
        <v>112.2</v>
      </c>
      <c r="BC116" s="26">
        <v>111.4</v>
      </c>
      <c r="BD116" s="26">
        <v>113.1</v>
      </c>
      <c r="BE116" s="26">
        <v>-0.25</v>
      </c>
      <c r="BF116" s="26">
        <v>96.0</v>
      </c>
      <c r="BG116" s="26"/>
      <c r="BH116" s="26"/>
      <c r="BI116" s="26"/>
      <c r="BJ116" s="26"/>
      <c r="BK116" s="26"/>
      <c r="BL116" s="26"/>
      <c r="BM116" s="26"/>
    </row>
    <row r="117" ht="15.75" customHeight="1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>
        <v>88.0</v>
      </c>
      <c r="BB117" s="26">
        <v>112.5</v>
      </c>
      <c r="BC117" s="26">
        <v>111.6</v>
      </c>
      <c r="BD117" s="26">
        <v>113.4</v>
      </c>
      <c r="BE117" s="26">
        <v>-0.17</v>
      </c>
      <c r="BF117" s="26">
        <v>97.0</v>
      </c>
      <c r="BG117" s="26"/>
      <c r="BH117" s="26"/>
      <c r="BI117" s="26"/>
      <c r="BJ117" s="26"/>
      <c r="BK117" s="26"/>
      <c r="BL117" s="26"/>
      <c r="BM117" s="26"/>
    </row>
    <row r="118" ht="15.75" customHeight="1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>
        <v>89.0</v>
      </c>
      <c r="BB118" s="26">
        <v>112.8</v>
      </c>
      <c r="BC118" s="26">
        <v>111.9</v>
      </c>
      <c r="BD118" s="26">
        <v>113.6</v>
      </c>
      <c r="BE118" s="26">
        <v>-0.08</v>
      </c>
      <c r="BF118" s="26">
        <v>99.0</v>
      </c>
      <c r="BG118" s="26"/>
      <c r="BH118" s="26"/>
      <c r="BI118" s="26"/>
      <c r="BJ118" s="26"/>
      <c r="BK118" s="26"/>
      <c r="BL118" s="26"/>
      <c r="BM118" s="26"/>
    </row>
    <row r="119" ht="15.75" customHeight="1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>
        <v>90.0</v>
      </c>
      <c r="BB119" s="26">
        <v>113.1</v>
      </c>
      <c r="BC119" s="26">
        <v>112.2</v>
      </c>
      <c r="BD119" s="26">
        <v>113.9</v>
      </c>
      <c r="BE119" s="26">
        <v>0.0</v>
      </c>
      <c r="BF119" s="26">
        <v>100.0</v>
      </c>
      <c r="BG119" s="26"/>
      <c r="BH119" s="26"/>
      <c r="BI119" s="26"/>
      <c r="BJ119" s="26"/>
      <c r="BK119" s="26"/>
      <c r="BL119" s="26"/>
      <c r="BM119" s="26"/>
    </row>
    <row r="120" ht="15.75" customHeight="1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>
        <v>91.0</v>
      </c>
      <c r="BB120" s="26">
        <v>113.3</v>
      </c>
      <c r="BC120" s="26">
        <v>112.5</v>
      </c>
      <c r="BD120" s="26">
        <v>114.2</v>
      </c>
      <c r="BE120" s="26">
        <v>0.08</v>
      </c>
      <c r="BF120" s="26">
        <v>101.0</v>
      </c>
      <c r="BG120" s="26"/>
      <c r="BH120" s="26"/>
      <c r="BI120" s="26"/>
      <c r="BJ120" s="26"/>
      <c r="BK120" s="26"/>
      <c r="BL120" s="26"/>
      <c r="BM120" s="26"/>
    </row>
    <row r="121" ht="15.75" customHeight="1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>
        <v>92.0</v>
      </c>
      <c r="BB121" s="26">
        <v>113.6</v>
      </c>
      <c r="BC121" s="26">
        <v>112.7</v>
      </c>
      <c r="BD121" s="26">
        <v>114.4</v>
      </c>
      <c r="BE121" s="26">
        <v>0.16</v>
      </c>
      <c r="BF121" s="26">
        <v>102.0</v>
      </c>
      <c r="BG121" s="26"/>
      <c r="BH121" s="26"/>
      <c r="BI121" s="26"/>
      <c r="BJ121" s="26"/>
      <c r="BK121" s="26"/>
      <c r="BL121" s="26"/>
      <c r="BM121" s="26"/>
    </row>
    <row r="122" ht="15.75" customHeight="1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>
        <v>93.0</v>
      </c>
      <c r="BB122" s="26">
        <v>113.8</v>
      </c>
      <c r="BC122" s="26">
        <v>113.0</v>
      </c>
      <c r="BD122" s="26">
        <v>114.7</v>
      </c>
      <c r="BE122" s="26">
        <v>0.24</v>
      </c>
      <c r="BF122" s="26">
        <v>104.0</v>
      </c>
      <c r="BG122" s="26"/>
      <c r="BH122" s="26"/>
      <c r="BI122" s="26"/>
      <c r="BJ122" s="26"/>
      <c r="BK122" s="26"/>
      <c r="BL122" s="26"/>
      <c r="BM122" s="26"/>
    </row>
    <row r="123" ht="15.75" customHeight="1"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>
        <v>94.0</v>
      </c>
      <c r="BB123" s="26">
        <v>114.1</v>
      </c>
      <c r="BC123" s="26">
        <v>113.2</v>
      </c>
      <c r="BD123" s="26">
        <v>115.0</v>
      </c>
      <c r="BE123" s="26">
        <v>0.33</v>
      </c>
      <c r="BF123" s="26">
        <v>105.0</v>
      </c>
      <c r="BG123" s="26"/>
      <c r="BH123" s="26"/>
      <c r="BI123" s="26"/>
      <c r="BJ123" s="26"/>
      <c r="BK123" s="26"/>
      <c r="BL123" s="26"/>
      <c r="BM123" s="26"/>
    </row>
    <row r="124" ht="15.75" customHeight="1"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>
        <v>95.0</v>
      </c>
      <c r="BB124" s="26">
        <v>114.4</v>
      </c>
      <c r="BC124" s="26">
        <v>113.5</v>
      </c>
      <c r="BD124" s="26">
        <v>115.3</v>
      </c>
      <c r="BE124" s="26">
        <v>0.42</v>
      </c>
      <c r="BF124" s="26">
        <v>106.0</v>
      </c>
      <c r="BG124" s="26"/>
      <c r="BH124" s="26"/>
      <c r="BI124" s="26"/>
      <c r="BJ124" s="26"/>
      <c r="BK124" s="26"/>
      <c r="BL124" s="26"/>
      <c r="BM124" s="26"/>
    </row>
    <row r="125" ht="15.75" customHeight="1"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>
        <v>96.0</v>
      </c>
      <c r="BB125" s="26">
        <v>114.7</v>
      </c>
      <c r="BC125" s="26">
        <v>113.8</v>
      </c>
      <c r="BD125" s="26">
        <v>115.6</v>
      </c>
      <c r="BE125" s="26">
        <v>0.51</v>
      </c>
      <c r="BF125" s="26">
        <v>108.0</v>
      </c>
      <c r="BG125" s="26"/>
      <c r="BH125" s="26"/>
      <c r="BI125" s="26"/>
      <c r="BJ125" s="26"/>
      <c r="BK125" s="26"/>
      <c r="BL125" s="26"/>
      <c r="BM125" s="26"/>
    </row>
    <row r="126" ht="15.75" customHeight="1"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>
        <v>97.0</v>
      </c>
      <c r="BB126" s="26">
        <v>115.0</v>
      </c>
      <c r="BC126" s="26">
        <v>114.1</v>
      </c>
      <c r="BD126" s="26">
        <v>115.9</v>
      </c>
      <c r="BE126" s="26">
        <v>0.6</v>
      </c>
      <c r="BF126" s="26">
        <v>109.0</v>
      </c>
      <c r="BG126" s="26"/>
      <c r="BH126" s="26"/>
      <c r="BI126" s="26"/>
      <c r="BJ126" s="26"/>
      <c r="BK126" s="26"/>
      <c r="BL126" s="26"/>
      <c r="BM126" s="26"/>
    </row>
    <row r="127" ht="15.75" customHeight="1"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>
        <v>98.0</v>
      </c>
      <c r="BB127" s="26">
        <v>115.3</v>
      </c>
      <c r="BC127" s="26">
        <v>114.4</v>
      </c>
      <c r="BD127" s="26">
        <v>116.2</v>
      </c>
      <c r="BE127" s="26">
        <v>0.69</v>
      </c>
      <c r="BF127" s="26">
        <v>110.0</v>
      </c>
      <c r="BG127" s="26"/>
      <c r="BH127" s="26"/>
      <c r="BI127" s="26"/>
      <c r="BJ127" s="26"/>
      <c r="BK127" s="26"/>
      <c r="BL127" s="26"/>
      <c r="BM127" s="26"/>
    </row>
    <row r="128" ht="15.75" customHeight="1"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>
        <v>99.0</v>
      </c>
      <c r="BB128" s="26">
        <v>115.6</v>
      </c>
      <c r="BC128" s="26">
        <v>114.7</v>
      </c>
      <c r="BD128" s="26">
        <v>116.5</v>
      </c>
      <c r="BE128" s="26">
        <v>0.78</v>
      </c>
      <c r="BF128" s="26">
        <v>112.0</v>
      </c>
      <c r="BG128" s="26"/>
      <c r="BH128" s="26"/>
      <c r="BI128" s="26"/>
      <c r="BJ128" s="26"/>
      <c r="BK128" s="26"/>
      <c r="BL128" s="26"/>
      <c r="BM128" s="26"/>
    </row>
    <row r="129" ht="15.75" customHeight="1"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>
        <v>100.0</v>
      </c>
      <c r="BB129" s="26">
        <v>115.9</v>
      </c>
      <c r="BC129" s="26">
        <v>115.0</v>
      </c>
      <c r="BD129" s="26">
        <v>116.7</v>
      </c>
      <c r="BE129" s="26">
        <v>0.87</v>
      </c>
      <c r="BF129" s="26">
        <v>113.0</v>
      </c>
      <c r="BG129" s="26"/>
      <c r="BH129" s="26"/>
      <c r="BI129" s="26"/>
      <c r="BJ129" s="26"/>
      <c r="BK129" s="26"/>
      <c r="BL129" s="26"/>
      <c r="BM129" s="26"/>
    </row>
    <row r="130" ht="15.75" customHeight="1"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>
        <v>101.0</v>
      </c>
      <c r="BB130" s="26">
        <v>116.1</v>
      </c>
      <c r="BC130" s="26">
        <v>115.3</v>
      </c>
      <c r="BD130" s="26">
        <v>117.0</v>
      </c>
      <c r="BE130" s="26">
        <v>0.96</v>
      </c>
      <c r="BF130" s="26">
        <v>114.0</v>
      </c>
      <c r="BG130" s="26"/>
      <c r="BH130" s="26"/>
      <c r="BI130" s="26"/>
      <c r="BJ130" s="26"/>
      <c r="BK130" s="26"/>
      <c r="BL130" s="26"/>
      <c r="BM130" s="26"/>
    </row>
    <row r="131" ht="15.75" customHeight="1"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>
        <v>102.0</v>
      </c>
      <c r="BB131" s="26">
        <v>116.4</v>
      </c>
      <c r="BC131" s="26">
        <v>115.6</v>
      </c>
      <c r="BD131" s="26">
        <v>117.3</v>
      </c>
      <c r="BE131" s="26">
        <v>1.04</v>
      </c>
      <c r="BF131" s="26">
        <v>116.0</v>
      </c>
      <c r="BG131" s="26"/>
      <c r="BH131" s="26"/>
      <c r="BI131" s="26"/>
      <c r="BJ131" s="26"/>
      <c r="BK131" s="26"/>
      <c r="BL131" s="26"/>
      <c r="BM131" s="26"/>
    </row>
    <row r="132" ht="15.75" customHeight="1"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>
        <v>103.0</v>
      </c>
      <c r="BB132" s="26">
        <v>116.7</v>
      </c>
      <c r="BC132" s="26">
        <v>115.8</v>
      </c>
      <c r="BD132" s="26">
        <v>117.5</v>
      </c>
      <c r="BE132" s="26">
        <v>1.12</v>
      </c>
      <c r="BF132" s="26">
        <v>117.0</v>
      </c>
      <c r="BG132" s="26"/>
      <c r="BH132" s="26"/>
      <c r="BI132" s="26"/>
      <c r="BJ132" s="26"/>
      <c r="BK132" s="26"/>
      <c r="BL132" s="26"/>
      <c r="BM132" s="26"/>
    </row>
    <row r="133" ht="15.75" customHeight="1"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>
        <v>104.0</v>
      </c>
      <c r="BB133" s="26">
        <v>116.9</v>
      </c>
      <c r="BC133" s="26">
        <v>116.1</v>
      </c>
      <c r="BD133" s="26">
        <v>117.8</v>
      </c>
      <c r="BE133" s="26">
        <v>1.2</v>
      </c>
      <c r="BF133" s="26">
        <v>118.0</v>
      </c>
      <c r="BG133" s="26"/>
      <c r="BH133" s="26"/>
      <c r="BI133" s="26"/>
      <c r="BJ133" s="26"/>
      <c r="BK133" s="26"/>
      <c r="BL133" s="26"/>
      <c r="BM133" s="26"/>
    </row>
    <row r="134" ht="15.75" customHeight="1"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>
        <v>105.0</v>
      </c>
      <c r="BB134" s="26">
        <v>117.2</v>
      </c>
      <c r="BC134" s="26">
        <v>116.4</v>
      </c>
      <c r="BD134" s="26">
        <v>118.0</v>
      </c>
      <c r="BE134" s="26">
        <v>1.28</v>
      </c>
      <c r="BF134" s="26">
        <v>119.0</v>
      </c>
      <c r="BG134" s="26"/>
      <c r="BH134" s="26"/>
      <c r="BI134" s="26"/>
      <c r="BJ134" s="26"/>
      <c r="BK134" s="26"/>
      <c r="BL134" s="26"/>
      <c r="BM134" s="26"/>
    </row>
    <row r="135" ht="15.75" customHeight="1"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>
        <v>106.0</v>
      </c>
      <c r="BB135" s="26">
        <v>117.5</v>
      </c>
      <c r="BC135" s="26">
        <v>116.6</v>
      </c>
      <c r="BD135" s="26">
        <v>118.3</v>
      </c>
      <c r="BE135" s="26">
        <v>1.37</v>
      </c>
      <c r="BF135" s="26">
        <v>121.0</v>
      </c>
      <c r="BG135" s="26"/>
      <c r="BH135" s="26"/>
      <c r="BI135" s="26"/>
      <c r="BJ135" s="26"/>
      <c r="BK135" s="26"/>
      <c r="BL135" s="26"/>
      <c r="BM135" s="26"/>
    </row>
    <row r="136" ht="15.75" customHeight="1"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>
        <v>107.0</v>
      </c>
      <c r="BB136" s="26">
        <v>117.8</v>
      </c>
      <c r="BC136" s="26">
        <v>116.8</v>
      </c>
      <c r="BD136" s="26">
        <v>118.7</v>
      </c>
      <c r="BE136" s="26">
        <v>1.46</v>
      </c>
      <c r="BF136" s="26">
        <v>122.0</v>
      </c>
      <c r="BG136" s="26"/>
      <c r="BH136" s="26"/>
      <c r="BI136" s="26"/>
      <c r="BJ136" s="26"/>
      <c r="BK136" s="26"/>
      <c r="BL136" s="26"/>
      <c r="BM136" s="26"/>
    </row>
    <row r="137" ht="15.75" customHeight="1"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>
        <v>108.0</v>
      </c>
      <c r="BB137" s="26">
        <v>118.2</v>
      </c>
      <c r="BC137" s="26">
        <v>117.0</v>
      </c>
      <c r="BD137" s="26">
        <v>119.3</v>
      </c>
      <c r="BE137" s="26">
        <v>1.58</v>
      </c>
      <c r="BF137" s="26">
        <v>124.0</v>
      </c>
      <c r="BG137" s="26"/>
      <c r="BH137" s="26"/>
      <c r="BI137" s="26"/>
      <c r="BJ137" s="26"/>
      <c r="BK137" s="26"/>
      <c r="BL137" s="26"/>
      <c r="BM137" s="26"/>
    </row>
    <row r="138" ht="15.75" customHeight="1"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>
        <v>109.0</v>
      </c>
      <c r="BB138" s="26">
        <v>118.8</v>
      </c>
      <c r="BC138" s="26">
        <v>117.3</v>
      </c>
      <c r="BD138" s="26">
        <v>120.4</v>
      </c>
      <c r="BE138" s="26">
        <v>1.79</v>
      </c>
      <c r="BF138" s="26">
        <v>127.0</v>
      </c>
      <c r="BG138" s="26"/>
      <c r="BH138" s="26"/>
      <c r="BI138" s="26"/>
      <c r="BJ138" s="26"/>
      <c r="BK138" s="26"/>
      <c r="BL138" s="26"/>
      <c r="BM138" s="26"/>
    </row>
    <row r="139" ht="15.75" customHeight="1"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>
        <v>110.0</v>
      </c>
      <c r="BB139" s="26">
        <v>120.1</v>
      </c>
      <c r="BC139" s="26">
        <v>118.0</v>
      </c>
      <c r="BD139" s="26">
        <v>122.2</v>
      </c>
      <c r="BE139" s="26">
        <v>2.18</v>
      </c>
      <c r="BF139" s="26">
        <v>133.0</v>
      </c>
      <c r="BG139" s="26"/>
      <c r="BH139" s="26"/>
      <c r="BI139" s="26"/>
      <c r="BJ139" s="26"/>
      <c r="BK139" s="26"/>
      <c r="BL139" s="26"/>
      <c r="BM139" s="26"/>
    </row>
    <row r="140" ht="15.75" customHeight="1"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>
        <v>111.0</v>
      </c>
      <c r="BB140" s="26">
        <v>121.9</v>
      </c>
      <c r="BC140" s="26">
        <v>119.5</v>
      </c>
      <c r="BD140" s="26">
        <v>124.2</v>
      </c>
      <c r="BE140" s="26">
        <v>2.73</v>
      </c>
      <c r="BF140" s="26">
        <v>141.0</v>
      </c>
      <c r="BG140" s="26"/>
      <c r="BH140" s="26"/>
      <c r="BI140" s="26"/>
      <c r="BJ140" s="26"/>
      <c r="BK140" s="26"/>
      <c r="BL140" s="26"/>
      <c r="BM140" s="26"/>
    </row>
    <row r="141" ht="15.75" customHeight="1"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>
        <v>112.0</v>
      </c>
      <c r="BB141" s="26">
        <v>123.7</v>
      </c>
      <c r="BC141" s="26">
        <v>120.4</v>
      </c>
      <c r="BD141" s="26">
        <v>127.1</v>
      </c>
      <c r="BE141" s="26">
        <v>3.3</v>
      </c>
      <c r="BF141" s="26">
        <v>150.0</v>
      </c>
      <c r="BG141" s="26"/>
      <c r="BH141" s="26"/>
      <c r="BI141" s="26"/>
      <c r="BJ141" s="26"/>
      <c r="BK141" s="26"/>
      <c r="BL141" s="26"/>
      <c r="BM141" s="26"/>
    </row>
    <row r="142" ht="15.75" customHeight="1"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</row>
    <row r="143" ht="15.75" customHeight="1"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</row>
    <row r="144" ht="15.75" customHeight="1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</row>
    <row r="145" ht="15.75" customHeight="1"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</row>
    <row r="146" ht="15.75" customHeight="1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</row>
    <row r="147" ht="15.75" customHeight="1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</row>
    <row r="148" ht="15.75" customHeight="1">
      <c r="BA148" s="25"/>
      <c r="BB148" s="25"/>
      <c r="BC148" s="25"/>
      <c r="BD148" s="25"/>
      <c r="BE148" s="25"/>
      <c r="BF148" s="25"/>
    </row>
    <row r="149" ht="15.75" customHeight="1">
      <c r="BA149" s="25"/>
      <c r="BB149" s="25"/>
      <c r="BC149" s="25"/>
      <c r="BD149" s="25"/>
      <c r="BE149" s="25"/>
      <c r="BF149" s="25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62" width="8.71"/>
  </cols>
  <sheetData>
    <row r="1">
      <c r="A1" s="1" t="s">
        <v>36</v>
      </c>
    </row>
    <row r="2" ht="24.0" customHeight="1">
      <c r="C2" s="2" t="s">
        <v>1</v>
      </c>
    </row>
    <row r="3" ht="23.25" customHeight="1">
      <c r="C3" s="3" t="s">
        <v>2</v>
      </c>
      <c r="D3" s="28">
        <v>45859.0</v>
      </c>
      <c r="E3" s="5"/>
    </row>
    <row r="4" ht="30.0" customHeight="1">
      <c r="C4" s="6" t="s">
        <v>3</v>
      </c>
      <c r="D4" s="28">
        <v>44109.0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29">
        <v>4.0</v>
      </c>
      <c r="E6" s="30">
        <v>8.0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54-59MESES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31" t="s">
        <v>18</v>
      </c>
      <c r="G13" s="32">
        <v>50.0</v>
      </c>
      <c r="H13" s="31">
        <f t="shared" ref="H13:K13" si="1">VLOOKUP(G13,C29:H119,2,0)</f>
        <v>124</v>
      </c>
      <c r="I13" s="31">
        <f t="shared" si="1"/>
        <v>122.7</v>
      </c>
      <c r="J13" s="31">
        <f t="shared" si="1"/>
        <v>125.3</v>
      </c>
      <c r="K13" s="31">
        <f t="shared" si="1"/>
        <v>-1.58</v>
      </c>
      <c r="L13" s="31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Atraso</v>
      </c>
      <c r="M13" s="31">
        <f>VLOOKUP(G13,C29:H119,6,0)</f>
        <v>76</v>
      </c>
      <c r="N13" s="31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Inferior</v>
      </c>
    </row>
    <row r="14">
      <c r="F14" s="31" t="s">
        <v>19</v>
      </c>
      <c r="G14" s="32">
        <v>58.0</v>
      </c>
      <c r="H14" s="31">
        <f t="shared" ref="H14:K14" si="2">VLOOKUP(G14,K29:L133,2,0)</f>
        <v>126.4</v>
      </c>
      <c r="I14" s="31">
        <f t="shared" si="2"/>
        <v>125.1</v>
      </c>
      <c r="J14" s="31">
        <f t="shared" si="2"/>
        <v>127.6</v>
      </c>
      <c r="K14" s="31">
        <f t="shared" si="2"/>
        <v>-0.12</v>
      </c>
      <c r="L14" s="31" t="str">
        <f t="shared" si="3"/>
        <v>Típico</v>
      </c>
      <c r="M14" s="31">
        <f>VLOOKUP(G14,K29:P133,6,0)</f>
        <v>98</v>
      </c>
      <c r="N14" s="31" t="str">
        <f t="shared" si="4"/>
        <v>Médio</v>
      </c>
    </row>
    <row r="15">
      <c r="F15" s="31" t="s">
        <v>20</v>
      </c>
      <c r="G15" s="32">
        <v>47.0</v>
      </c>
      <c r="H15" s="31">
        <f t="shared" ref="H15:K15" si="5">VLOOKUP(G15,R28:W93,2,0)</f>
        <v>137</v>
      </c>
      <c r="I15" s="31">
        <f t="shared" si="5"/>
        <v>134.2</v>
      </c>
      <c r="J15" s="31">
        <f t="shared" si="5"/>
        <v>139.9</v>
      </c>
      <c r="K15" s="31">
        <f t="shared" si="5"/>
        <v>0.64</v>
      </c>
      <c r="L15" s="31" t="str">
        <f t="shared" si="3"/>
        <v>Típico</v>
      </c>
      <c r="M15" s="31">
        <f>VLOOKUP(G15,R28:W93,6,0)</f>
        <v>110</v>
      </c>
      <c r="N15" s="31" t="str">
        <f t="shared" si="4"/>
        <v>Médio</v>
      </c>
    </row>
    <row r="16">
      <c r="F16" s="31" t="s">
        <v>21</v>
      </c>
      <c r="G16" s="32">
        <v>62.0</v>
      </c>
      <c r="H16" s="31">
        <f t="shared" ref="H16:K16" si="6">VLOOKUP(G16,Z29:AE117,2,0)</f>
        <v>158</v>
      </c>
      <c r="I16" s="31">
        <f t="shared" si="6"/>
        <v>133.7</v>
      </c>
      <c r="J16" s="31">
        <f t="shared" si="6"/>
        <v>182.2</v>
      </c>
      <c r="K16" s="31">
        <f t="shared" si="6"/>
        <v>1.03</v>
      </c>
      <c r="L16" s="31" t="str">
        <f t="shared" si="3"/>
        <v>Típico</v>
      </c>
      <c r="M16" s="31">
        <f>VLOOKUP(G16,Z29:AE117,6,0)</f>
        <v>115</v>
      </c>
      <c r="N16" s="31" t="str">
        <f t="shared" si="4"/>
        <v>Médio</v>
      </c>
    </row>
    <row r="17">
      <c r="F17" s="31" t="s">
        <v>22</v>
      </c>
      <c r="G17" s="32">
        <v>22.0</v>
      </c>
      <c r="H17" s="31">
        <f t="shared" ref="H17:K17" si="7">VLOOKUP(G17,AI30:AN92,2,0)</f>
        <v>130.7</v>
      </c>
      <c r="I17" s="31">
        <f t="shared" si="7"/>
        <v>128.7</v>
      </c>
      <c r="J17" s="31">
        <f t="shared" si="7"/>
        <v>132.7</v>
      </c>
      <c r="K17" s="31">
        <f t="shared" si="7"/>
        <v>-2.69</v>
      </c>
      <c r="L17" s="31" t="str">
        <f t="shared" si="3"/>
        <v>Atraso signifiticativo</v>
      </c>
      <c r="M17" s="31">
        <f>VLOOKUP(G17,AI30:AN92,6,0)</f>
        <v>60</v>
      </c>
      <c r="N17" s="31" t="str">
        <f t="shared" si="4"/>
        <v>Muito Inferior</v>
      </c>
    </row>
    <row r="18">
      <c r="F18" s="31" t="s">
        <v>23</v>
      </c>
      <c r="G18" s="32">
        <v>20.0</v>
      </c>
      <c r="H18" s="31">
        <f t="shared" ref="H18:K18" si="8">VLOOKUP(G18,AS29:AX71,2,0)</f>
        <v>132.8</v>
      </c>
      <c r="I18" s="31">
        <f t="shared" si="8"/>
        <v>131.5</v>
      </c>
      <c r="J18" s="31">
        <f t="shared" si="8"/>
        <v>134</v>
      </c>
      <c r="K18" s="31">
        <f t="shared" si="8"/>
        <v>-1.31</v>
      </c>
      <c r="L18" s="31" t="str">
        <f t="shared" si="3"/>
        <v>Alerta para atraso</v>
      </c>
      <c r="M18" s="31">
        <f>VLOOKUP(G18,AS29:AX71,6,0)</f>
        <v>80</v>
      </c>
      <c r="N18" s="31" t="str">
        <f t="shared" si="4"/>
        <v>Abaixo da Média</v>
      </c>
    </row>
    <row r="19">
      <c r="F19" s="31" t="s">
        <v>24</v>
      </c>
      <c r="G19" s="32">
        <v>114.0</v>
      </c>
      <c r="H19" s="31">
        <f t="shared" ref="H19:K19" si="9">VLOOKUP(G19,BA29:BF149,2,0)</f>
        <v>117.5</v>
      </c>
      <c r="I19" s="31">
        <f t="shared" si="9"/>
        <v>116.6</v>
      </c>
      <c r="J19" s="31">
        <f t="shared" si="9"/>
        <v>118.3</v>
      </c>
      <c r="K19" s="31">
        <f t="shared" si="9"/>
        <v>1.66</v>
      </c>
      <c r="L19" s="31" t="str">
        <f t="shared" si="3"/>
        <v>Acima do esperado</v>
      </c>
      <c r="M19" s="31">
        <f>VLOOKUP(G19,BA29:BF149,6,0)</f>
        <v>125</v>
      </c>
      <c r="N19" s="31" t="str">
        <f t="shared" si="4"/>
        <v>Superior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</row>
    <row r="25" ht="15.75" customHeight="1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</row>
    <row r="26" ht="15.75" customHeight="1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</row>
    <row r="27" ht="15.75" customHeight="1">
      <c r="A27" s="25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7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</row>
    <row r="28" ht="15.75" customHeight="1">
      <c r="A28" s="25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</row>
    <row r="29" ht="15.75" customHeight="1">
      <c r="A29" s="25"/>
      <c r="B29" s="26"/>
      <c r="C29" s="26">
        <v>0.0</v>
      </c>
      <c r="D29" s="26">
        <v>82.7</v>
      </c>
      <c r="E29" s="26">
        <v>79.1</v>
      </c>
      <c r="F29" s="26">
        <v>86.3</v>
      </c>
      <c r="G29" s="26">
        <v>-8.53</v>
      </c>
      <c r="H29" s="26">
        <v>-28.0</v>
      </c>
      <c r="I29" s="26"/>
      <c r="J29" s="26"/>
      <c r="K29" s="26">
        <v>0.0</v>
      </c>
      <c r="L29" s="26">
        <v>102.5</v>
      </c>
      <c r="M29" s="26">
        <v>99.2</v>
      </c>
      <c r="N29" s="26">
        <v>105.7</v>
      </c>
      <c r="O29" s="26">
        <v>-4.87</v>
      </c>
      <c r="P29" s="26">
        <v>27.0</v>
      </c>
      <c r="Q29" s="26"/>
      <c r="R29" s="26">
        <v>0.0</v>
      </c>
      <c r="S29" s="26">
        <v>103.9</v>
      </c>
      <c r="T29" s="26">
        <v>100.7</v>
      </c>
      <c r="U29" s="26">
        <v>107.0</v>
      </c>
      <c r="V29" s="26">
        <v>-6.01</v>
      </c>
      <c r="W29" s="26">
        <v>10.0</v>
      </c>
      <c r="X29" s="26"/>
      <c r="Y29" s="26"/>
      <c r="Z29" s="26">
        <v>0.0</v>
      </c>
      <c r="AA29" s="26">
        <v>76.6</v>
      </c>
      <c r="AB29" s="26">
        <v>52.7</v>
      </c>
      <c r="AC29" s="26">
        <v>100.5</v>
      </c>
      <c r="AD29" s="26">
        <v>-7.09</v>
      </c>
      <c r="AE29" s="26">
        <v>-6.0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112.9</v>
      </c>
      <c r="AU29" s="26">
        <v>109.7</v>
      </c>
      <c r="AV29" s="26">
        <v>116.2</v>
      </c>
      <c r="AW29" s="26">
        <v>-5.18</v>
      </c>
      <c r="AX29" s="26">
        <v>22.0</v>
      </c>
      <c r="AY29" s="26"/>
      <c r="AZ29" s="26"/>
      <c r="BA29" s="26">
        <v>0.0</v>
      </c>
      <c r="BB29" s="26">
        <v>84.9</v>
      </c>
      <c r="BC29" s="26">
        <v>81.6</v>
      </c>
      <c r="BD29" s="26">
        <v>88.2</v>
      </c>
      <c r="BE29" s="26">
        <v>-8.69</v>
      </c>
      <c r="BF29" s="26">
        <v>-30.0</v>
      </c>
      <c r="BG29" s="26"/>
      <c r="BH29" s="26"/>
      <c r="BI29" s="26"/>
      <c r="BJ29" s="26"/>
    </row>
    <row r="30" ht="15.75" customHeight="1">
      <c r="A30" s="25"/>
      <c r="B30" s="26"/>
      <c r="C30" s="26">
        <v>1.0</v>
      </c>
      <c r="D30" s="26">
        <v>90.5</v>
      </c>
      <c r="E30" s="26">
        <v>85.8</v>
      </c>
      <c r="F30" s="26">
        <v>95.2</v>
      </c>
      <c r="G30" s="26">
        <v>-7.22</v>
      </c>
      <c r="H30" s="26">
        <v>-8.0</v>
      </c>
      <c r="I30" s="26"/>
      <c r="J30" s="26"/>
      <c r="K30" s="26">
        <v>1.0</v>
      </c>
      <c r="L30" s="26">
        <v>104.2</v>
      </c>
      <c r="M30" s="26">
        <v>101.9</v>
      </c>
      <c r="N30" s="26">
        <v>106.4</v>
      </c>
      <c r="O30" s="26">
        <v>-4.53</v>
      </c>
      <c r="P30" s="26">
        <v>32.0</v>
      </c>
      <c r="Q30" s="26"/>
      <c r="R30" s="26">
        <v>1.0</v>
      </c>
      <c r="S30" s="26">
        <v>105.3</v>
      </c>
      <c r="T30" s="26">
        <v>103.4</v>
      </c>
      <c r="U30" s="26">
        <v>107.3</v>
      </c>
      <c r="V30" s="26">
        <v>-5.72</v>
      </c>
      <c r="W30" s="26">
        <v>14.0</v>
      </c>
      <c r="X30" s="26"/>
      <c r="Y30" s="26"/>
      <c r="Z30" s="26">
        <v>1.0</v>
      </c>
      <c r="AA30" s="26">
        <v>86.0</v>
      </c>
      <c r="AB30" s="26">
        <v>73.0</v>
      </c>
      <c r="AC30" s="26">
        <v>99.0</v>
      </c>
      <c r="AD30" s="26">
        <v>-6.15</v>
      </c>
      <c r="AE30" s="26">
        <v>8.0</v>
      </c>
      <c r="AF30" s="26"/>
      <c r="AG30" s="26"/>
      <c r="AH30" s="26"/>
      <c r="AI30" s="26">
        <v>0.0</v>
      </c>
      <c r="AJ30" s="26">
        <v>115.9</v>
      </c>
      <c r="AK30" s="26">
        <v>112.7</v>
      </c>
      <c r="AL30" s="26">
        <v>119.0</v>
      </c>
      <c r="AM30" s="26">
        <v>-5.1</v>
      </c>
      <c r="AN30" s="26">
        <v>24.0</v>
      </c>
      <c r="AO30" s="26"/>
      <c r="AP30" s="26"/>
      <c r="AQ30" s="26"/>
      <c r="AR30" s="26"/>
      <c r="AS30" s="26">
        <v>1.0</v>
      </c>
      <c r="AT30" s="26">
        <v>114.6</v>
      </c>
      <c r="AU30" s="26">
        <v>112.3</v>
      </c>
      <c r="AV30" s="26">
        <v>116.9</v>
      </c>
      <c r="AW30" s="26">
        <v>-4.85</v>
      </c>
      <c r="AX30" s="26">
        <v>27.0</v>
      </c>
      <c r="AY30" s="26"/>
      <c r="AZ30" s="26"/>
      <c r="BA30" s="26">
        <v>1.0</v>
      </c>
      <c r="BB30" s="26">
        <v>86.6</v>
      </c>
      <c r="BC30" s="26">
        <v>84.4</v>
      </c>
      <c r="BD30" s="26">
        <v>88.8</v>
      </c>
      <c r="BE30" s="26">
        <v>-8.14</v>
      </c>
      <c r="BF30" s="26">
        <v>-22.0</v>
      </c>
      <c r="BG30" s="26"/>
      <c r="BH30" s="26"/>
      <c r="BI30" s="26"/>
      <c r="BJ30" s="26"/>
    </row>
    <row r="31" ht="15.75" customHeight="1">
      <c r="A31" s="25"/>
      <c r="B31" s="26"/>
      <c r="C31" s="26">
        <v>2.0</v>
      </c>
      <c r="D31" s="26">
        <v>99.6</v>
      </c>
      <c r="E31" s="26">
        <v>96.5</v>
      </c>
      <c r="F31" s="26">
        <v>102.6</v>
      </c>
      <c r="G31" s="26">
        <v>-5.7</v>
      </c>
      <c r="H31" s="26">
        <v>15.0</v>
      </c>
      <c r="I31" s="26"/>
      <c r="J31" s="26"/>
      <c r="K31" s="26">
        <v>2.0</v>
      </c>
      <c r="L31" s="26">
        <v>106.0</v>
      </c>
      <c r="M31" s="26">
        <v>103.7</v>
      </c>
      <c r="N31" s="26">
        <v>108.3</v>
      </c>
      <c r="O31" s="26">
        <v>-4.16</v>
      </c>
      <c r="P31" s="26">
        <v>38.0</v>
      </c>
      <c r="Q31" s="26"/>
      <c r="R31" s="26">
        <v>2.0</v>
      </c>
      <c r="S31" s="26">
        <v>106.5</v>
      </c>
      <c r="T31" s="26">
        <v>104.8</v>
      </c>
      <c r="U31" s="26">
        <v>108.1</v>
      </c>
      <c r="V31" s="26">
        <v>-5.49</v>
      </c>
      <c r="W31" s="26">
        <v>18.0</v>
      </c>
      <c r="X31" s="26"/>
      <c r="Y31" s="26"/>
      <c r="Z31" s="26">
        <v>2.0</v>
      </c>
      <c r="AA31" s="26">
        <v>91.3</v>
      </c>
      <c r="AB31" s="26">
        <v>82.2</v>
      </c>
      <c r="AC31" s="26">
        <v>100.4</v>
      </c>
      <c r="AD31" s="26">
        <v>-5.63</v>
      </c>
      <c r="AE31" s="26">
        <v>16.0</v>
      </c>
      <c r="AF31" s="26"/>
      <c r="AG31" s="26"/>
      <c r="AH31" s="26"/>
      <c r="AI31" s="26">
        <v>1.0</v>
      </c>
      <c r="AJ31" s="26">
        <v>117.4</v>
      </c>
      <c r="AK31" s="26">
        <v>115.4</v>
      </c>
      <c r="AL31" s="26">
        <v>119.4</v>
      </c>
      <c r="AM31" s="26">
        <v>-4.85</v>
      </c>
      <c r="AN31" s="26">
        <v>27.0</v>
      </c>
      <c r="AO31" s="26"/>
      <c r="AP31" s="26"/>
      <c r="AQ31" s="26"/>
      <c r="AR31" s="26"/>
      <c r="AS31" s="26">
        <v>2.0</v>
      </c>
      <c r="AT31" s="26">
        <v>116.8</v>
      </c>
      <c r="AU31" s="26">
        <v>114.2</v>
      </c>
      <c r="AV31" s="26">
        <v>119.4</v>
      </c>
      <c r="AW31" s="26">
        <v>-4.43</v>
      </c>
      <c r="AX31" s="26">
        <v>34.0</v>
      </c>
      <c r="AY31" s="26"/>
      <c r="AZ31" s="26"/>
      <c r="BA31" s="26">
        <v>2.0</v>
      </c>
      <c r="BB31" s="26">
        <v>88.2</v>
      </c>
      <c r="BC31" s="26">
        <v>86.2</v>
      </c>
      <c r="BD31" s="26">
        <v>90.2</v>
      </c>
      <c r="BE31" s="26">
        <v>-7.64</v>
      </c>
      <c r="BF31" s="26">
        <v>-15.0</v>
      </c>
      <c r="BG31" s="26"/>
      <c r="BH31" s="26"/>
      <c r="BI31" s="26"/>
      <c r="BJ31" s="26"/>
    </row>
    <row r="32" ht="15.75" customHeight="1">
      <c r="A32" s="25"/>
      <c r="B32" s="26"/>
      <c r="C32" s="26">
        <v>3.0</v>
      </c>
      <c r="D32" s="26">
        <v>100.9</v>
      </c>
      <c r="E32" s="26">
        <v>99.5</v>
      </c>
      <c r="F32" s="26">
        <v>102.4</v>
      </c>
      <c r="G32" s="26">
        <v>-5.47</v>
      </c>
      <c r="H32" s="26">
        <v>18.0</v>
      </c>
      <c r="I32" s="26"/>
      <c r="J32" s="26"/>
      <c r="K32" s="26">
        <v>3.0</v>
      </c>
      <c r="L32" s="26">
        <v>107.8</v>
      </c>
      <c r="M32" s="26">
        <v>105.8</v>
      </c>
      <c r="N32" s="26">
        <v>109.8</v>
      </c>
      <c r="O32" s="26">
        <v>-3.81</v>
      </c>
      <c r="P32" s="26">
        <v>43.0</v>
      </c>
      <c r="Q32" s="26"/>
      <c r="R32" s="26">
        <v>3.0</v>
      </c>
      <c r="S32" s="26">
        <v>107.4</v>
      </c>
      <c r="T32" s="26">
        <v>1058.0</v>
      </c>
      <c r="U32" s="26">
        <v>109.0</v>
      </c>
      <c r="V32" s="26">
        <v>-5.3</v>
      </c>
      <c r="W32" s="26">
        <v>20.0</v>
      </c>
      <c r="X32" s="26"/>
      <c r="Y32" s="26"/>
      <c r="Z32" s="26">
        <v>3.0</v>
      </c>
      <c r="AA32" s="26">
        <v>94.3</v>
      </c>
      <c r="AB32" s="26">
        <v>87.0</v>
      </c>
      <c r="AC32" s="26">
        <v>101.7</v>
      </c>
      <c r="AD32" s="26">
        <v>-5.32</v>
      </c>
      <c r="AE32" s="26">
        <v>20.0</v>
      </c>
      <c r="AF32" s="26"/>
      <c r="AG32" s="26"/>
      <c r="AH32" s="26"/>
      <c r="AI32" s="26">
        <v>2.0</v>
      </c>
      <c r="AJ32" s="26">
        <v>118.5</v>
      </c>
      <c r="AK32" s="26">
        <v>116.9</v>
      </c>
      <c r="AL32" s="26">
        <v>120.1</v>
      </c>
      <c r="AM32" s="26">
        <v>-4.66</v>
      </c>
      <c r="AN32" s="26">
        <v>30.0</v>
      </c>
      <c r="AO32" s="26"/>
      <c r="AP32" s="26"/>
      <c r="AQ32" s="26"/>
      <c r="AR32" s="26"/>
      <c r="AS32" s="26">
        <v>3.0</v>
      </c>
      <c r="AT32" s="26">
        <v>118.6</v>
      </c>
      <c r="AU32" s="26">
        <v>116.7</v>
      </c>
      <c r="AV32" s="26">
        <v>120.5</v>
      </c>
      <c r="AW32" s="26">
        <v>-4.07</v>
      </c>
      <c r="AX32" s="26">
        <v>39.0</v>
      </c>
      <c r="AY32" s="26"/>
      <c r="AZ32" s="26"/>
      <c r="BA32" s="26">
        <v>3.0</v>
      </c>
      <c r="BB32" s="26">
        <v>89.5</v>
      </c>
      <c r="BC32" s="26">
        <v>87.7</v>
      </c>
      <c r="BD32" s="26">
        <v>91.4</v>
      </c>
      <c r="BE32" s="26">
        <v>-7.21</v>
      </c>
      <c r="BF32" s="26">
        <v>-8.0</v>
      </c>
      <c r="BG32" s="26"/>
      <c r="BH32" s="26"/>
      <c r="BI32" s="26"/>
      <c r="BJ32" s="26"/>
    </row>
    <row r="33" ht="15.75" customHeight="1">
      <c r="A33" s="25"/>
      <c r="B33" s="26"/>
      <c r="C33" s="26">
        <v>4.0</v>
      </c>
      <c r="D33" s="26">
        <v>101.6</v>
      </c>
      <c r="E33" s="26">
        <v>100.3</v>
      </c>
      <c r="F33" s="26">
        <v>102.9</v>
      </c>
      <c r="G33" s="26">
        <v>-5.36</v>
      </c>
      <c r="H33" s="26">
        <v>20.0</v>
      </c>
      <c r="I33" s="26"/>
      <c r="J33" s="26"/>
      <c r="K33" s="26">
        <v>4.0</v>
      </c>
      <c r="L33" s="26">
        <v>109.0</v>
      </c>
      <c r="M33" s="26">
        <v>107.3</v>
      </c>
      <c r="N33" s="26">
        <v>110.7</v>
      </c>
      <c r="O33" s="26">
        <v>-3.56</v>
      </c>
      <c r="P33" s="26">
        <v>47.0</v>
      </c>
      <c r="Q33" s="26"/>
      <c r="R33" s="26">
        <v>4.0</v>
      </c>
      <c r="S33" s="26">
        <v>108.3</v>
      </c>
      <c r="T33" s="26">
        <v>106.8</v>
      </c>
      <c r="U33" s="26">
        <v>109.8</v>
      </c>
      <c r="V33" s="26">
        <v>-5.13</v>
      </c>
      <c r="W33" s="26">
        <v>23.0</v>
      </c>
      <c r="X33" s="26"/>
      <c r="Y33" s="26"/>
      <c r="Z33" s="26">
        <v>4.0</v>
      </c>
      <c r="AA33" s="26">
        <v>96.5</v>
      </c>
      <c r="AB33" s="26">
        <v>90.1</v>
      </c>
      <c r="AC33" s="26">
        <v>102.9</v>
      </c>
      <c r="AD33" s="26">
        <v>-5.11</v>
      </c>
      <c r="AE33" s="26">
        <v>23.0</v>
      </c>
      <c r="AF33" s="26"/>
      <c r="AG33" s="26"/>
      <c r="AH33" s="26"/>
      <c r="AI33" s="26">
        <v>3.0</v>
      </c>
      <c r="AJ33" s="26">
        <v>119.3</v>
      </c>
      <c r="AK33" s="26">
        <v>118.0</v>
      </c>
      <c r="AL33" s="26">
        <v>120.7</v>
      </c>
      <c r="AM33" s="26">
        <v>-4.54</v>
      </c>
      <c r="AN33" s="26">
        <v>32.0</v>
      </c>
      <c r="AO33" s="26"/>
      <c r="AP33" s="26"/>
      <c r="AQ33" s="26"/>
      <c r="AR33" s="26"/>
      <c r="AS33" s="26">
        <v>4.0</v>
      </c>
      <c r="AT33" s="26">
        <v>119.7</v>
      </c>
      <c r="AU33" s="26">
        <v>118.1</v>
      </c>
      <c r="AV33" s="26">
        <v>121.3</v>
      </c>
      <c r="AW33" s="26">
        <v>-3.86</v>
      </c>
      <c r="AX33" s="26">
        <v>42.0</v>
      </c>
      <c r="AY33" s="26"/>
      <c r="AZ33" s="26"/>
      <c r="BA33" s="26">
        <v>4.0</v>
      </c>
      <c r="BB33" s="26">
        <v>90.6</v>
      </c>
      <c r="BC33" s="26">
        <v>89.0</v>
      </c>
      <c r="BD33" s="26">
        <v>92.2</v>
      </c>
      <c r="BE33" s="26">
        <v>-6.86</v>
      </c>
      <c r="BF33" s="26">
        <v>-3.0</v>
      </c>
      <c r="BG33" s="26"/>
      <c r="BH33" s="26"/>
      <c r="BI33" s="26"/>
      <c r="BJ33" s="26"/>
    </row>
    <row r="34" ht="15.75" customHeight="1">
      <c r="A34" s="25"/>
      <c r="B34" s="26"/>
      <c r="C34" s="26">
        <v>5.0</v>
      </c>
      <c r="D34" s="26">
        <v>102.1</v>
      </c>
      <c r="E34" s="26">
        <v>101.0</v>
      </c>
      <c r="F34" s="26">
        <v>103.3</v>
      </c>
      <c r="G34" s="26">
        <v>-5.27</v>
      </c>
      <c r="H34" s="26">
        <v>21.0</v>
      </c>
      <c r="I34" s="26"/>
      <c r="J34" s="26"/>
      <c r="K34" s="26">
        <v>5.0</v>
      </c>
      <c r="L34" s="26">
        <v>109.9</v>
      </c>
      <c r="M34" s="26">
        <v>108.5</v>
      </c>
      <c r="N34" s="26">
        <v>111.3</v>
      </c>
      <c r="O34" s="26">
        <v>-3.39</v>
      </c>
      <c r="P34" s="26">
        <v>49.0</v>
      </c>
      <c r="Q34" s="26"/>
      <c r="R34" s="26">
        <v>5.0</v>
      </c>
      <c r="S34" s="26">
        <v>109.1</v>
      </c>
      <c r="T34" s="26">
        <v>107.6</v>
      </c>
      <c r="U34" s="26">
        <v>110.6</v>
      </c>
      <c r="V34" s="26">
        <v>-4.96</v>
      </c>
      <c r="W34" s="26">
        <v>26.0</v>
      </c>
      <c r="X34" s="26"/>
      <c r="Y34" s="26"/>
      <c r="Z34" s="26">
        <v>5.0</v>
      </c>
      <c r="AA34" s="26">
        <v>98.2</v>
      </c>
      <c r="AB34" s="26">
        <v>92.4</v>
      </c>
      <c r="AC34" s="26">
        <v>103.9</v>
      </c>
      <c r="AD34" s="26">
        <v>-4.94</v>
      </c>
      <c r="AE34" s="26">
        <v>26.0</v>
      </c>
      <c r="AF34" s="26"/>
      <c r="AG34" s="26"/>
      <c r="AH34" s="26"/>
      <c r="AI34" s="26">
        <v>4.0</v>
      </c>
      <c r="AJ34" s="26">
        <v>119.9</v>
      </c>
      <c r="AK34" s="26">
        <v>118.8</v>
      </c>
      <c r="AL34" s="26">
        <v>121.0</v>
      </c>
      <c r="AM34" s="26">
        <v>-4.44</v>
      </c>
      <c r="AN34" s="26">
        <v>33.0</v>
      </c>
      <c r="AO34" s="26"/>
      <c r="AP34" s="26"/>
      <c r="AQ34" s="26"/>
      <c r="AR34" s="26"/>
      <c r="AS34" s="26">
        <v>5.0</v>
      </c>
      <c r="AT34" s="26">
        <v>120.5</v>
      </c>
      <c r="AU34" s="26">
        <v>119.1</v>
      </c>
      <c r="AV34" s="26">
        <v>122.0</v>
      </c>
      <c r="AW34" s="26">
        <v>-3.7</v>
      </c>
      <c r="AX34" s="26">
        <v>45.0</v>
      </c>
      <c r="AY34" s="26"/>
      <c r="AZ34" s="26"/>
      <c r="BA34" s="26">
        <v>5.0</v>
      </c>
      <c r="BB34" s="26">
        <v>91.4</v>
      </c>
      <c r="BC34" s="26">
        <v>90.1</v>
      </c>
      <c r="BD34" s="26">
        <v>92.8</v>
      </c>
      <c r="BE34" s="26">
        <v>-6.61</v>
      </c>
      <c r="BF34" s="26">
        <v>1.0</v>
      </c>
      <c r="BG34" s="26"/>
      <c r="BH34" s="26"/>
      <c r="BI34" s="26"/>
      <c r="BJ34" s="26"/>
    </row>
    <row r="35" ht="15.75" customHeight="1">
      <c r="A35" s="25"/>
      <c r="B35" s="26"/>
      <c r="C35" s="26">
        <v>6.0</v>
      </c>
      <c r="D35" s="26">
        <v>120.6</v>
      </c>
      <c r="E35" s="26">
        <v>101.5</v>
      </c>
      <c r="F35" s="26">
        <v>103.7</v>
      </c>
      <c r="G35" s="26">
        <v>-5.19</v>
      </c>
      <c r="H35" s="26">
        <v>22.0</v>
      </c>
      <c r="I35" s="26"/>
      <c r="J35" s="26"/>
      <c r="K35" s="26">
        <v>6.0</v>
      </c>
      <c r="L35" s="26">
        <v>110.5</v>
      </c>
      <c r="M35" s="26">
        <v>109.3</v>
      </c>
      <c r="N35" s="26">
        <v>111.7</v>
      </c>
      <c r="O35" s="26">
        <v>-3.27</v>
      </c>
      <c r="P35" s="26">
        <v>51.0</v>
      </c>
      <c r="Q35" s="26"/>
      <c r="R35" s="26">
        <v>6.0</v>
      </c>
      <c r="S35" s="26">
        <v>109.9</v>
      </c>
      <c r="T35" s="26">
        <v>108.4</v>
      </c>
      <c r="U35" s="26">
        <v>111.4</v>
      </c>
      <c r="V35" s="26">
        <v>-4.8</v>
      </c>
      <c r="W35" s="26">
        <v>28.0</v>
      </c>
      <c r="X35" s="26"/>
      <c r="Y35" s="26"/>
      <c r="Z35" s="26">
        <v>6.0</v>
      </c>
      <c r="AA35" s="26">
        <v>99.6</v>
      </c>
      <c r="AB35" s="26">
        <v>94.3</v>
      </c>
      <c r="AC35" s="26">
        <v>104.8</v>
      </c>
      <c r="AD35" s="26">
        <v>-4.8</v>
      </c>
      <c r="AE35" s="26">
        <v>28.0</v>
      </c>
      <c r="AF35" s="26"/>
      <c r="AG35" s="26"/>
      <c r="AH35" s="26"/>
      <c r="AI35" s="26">
        <v>5.0</v>
      </c>
      <c r="AJ35" s="26">
        <v>120.3</v>
      </c>
      <c r="AK35" s="26">
        <v>119.3</v>
      </c>
      <c r="AL35" s="26">
        <v>121.3</v>
      </c>
      <c r="AM35" s="26">
        <v>-4.37</v>
      </c>
      <c r="AN35" s="26">
        <v>34.0</v>
      </c>
      <c r="AO35" s="26"/>
      <c r="AP35" s="26"/>
      <c r="AQ35" s="26"/>
      <c r="AR35" s="26"/>
      <c r="AS35" s="26">
        <v>6.0</v>
      </c>
      <c r="AT35" s="26">
        <v>121.3</v>
      </c>
      <c r="AU35" s="26">
        <v>119.8</v>
      </c>
      <c r="AV35" s="26">
        <v>122.7</v>
      </c>
      <c r="AW35" s="26">
        <v>-3.55</v>
      </c>
      <c r="AX35" s="26">
        <v>47.0</v>
      </c>
      <c r="AY35" s="26"/>
      <c r="AZ35" s="26"/>
      <c r="BA35" s="26">
        <v>6.0</v>
      </c>
      <c r="BB35" s="26">
        <v>92.0</v>
      </c>
      <c r="BC35" s="26">
        <v>90.8</v>
      </c>
      <c r="BD35" s="26">
        <v>93.2</v>
      </c>
      <c r="BE35" s="26">
        <v>-6.43</v>
      </c>
      <c r="BF35" s="26">
        <v>4.0</v>
      </c>
      <c r="BG35" s="26"/>
      <c r="BH35" s="26"/>
      <c r="BI35" s="26"/>
      <c r="BJ35" s="26"/>
    </row>
    <row r="36" ht="15.75" customHeight="1">
      <c r="A36" s="25"/>
      <c r="B36" s="26"/>
      <c r="C36" s="26">
        <v>7.0</v>
      </c>
      <c r="D36" s="26">
        <v>103.1</v>
      </c>
      <c r="E36" s="26">
        <v>101.8</v>
      </c>
      <c r="F36" s="26">
        <v>104.3</v>
      </c>
      <c r="G36" s="26">
        <v>-5.11</v>
      </c>
      <c r="H36" s="26">
        <v>23.0</v>
      </c>
      <c r="I36" s="26"/>
      <c r="J36" s="26"/>
      <c r="K36" s="26">
        <v>7.0</v>
      </c>
      <c r="L36" s="26">
        <v>111.0</v>
      </c>
      <c r="M36" s="26">
        <v>109.9</v>
      </c>
      <c r="N36" s="26">
        <v>112.0</v>
      </c>
      <c r="O36" s="26">
        <v>-3.18</v>
      </c>
      <c r="P36" s="26">
        <v>52.0</v>
      </c>
      <c r="Q36" s="26"/>
      <c r="R36" s="26">
        <v>7.0</v>
      </c>
      <c r="S36" s="26">
        <v>110.8</v>
      </c>
      <c r="T36" s="26">
        <v>109.3</v>
      </c>
      <c r="U36" s="26">
        <v>112.3</v>
      </c>
      <c r="V36" s="26">
        <v>-4.63</v>
      </c>
      <c r="W36" s="26">
        <v>31.0</v>
      </c>
      <c r="X36" s="26"/>
      <c r="Y36" s="26"/>
      <c r="Z36" s="26">
        <v>7.0</v>
      </c>
      <c r="AA36" s="26">
        <v>100.7</v>
      </c>
      <c r="AB36" s="26">
        <v>95.8</v>
      </c>
      <c r="AC36" s="26">
        <v>105.6</v>
      </c>
      <c r="AD36" s="26">
        <v>-4.68</v>
      </c>
      <c r="AE36" s="26">
        <v>30.0</v>
      </c>
      <c r="AF36" s="26"/>
      <c r="AG36" s="26"/>
      <c r="AH36" s="26"/>
      <c r="AI36" s="26">
        <v>6.0</v>
      </c>
      <c r="AJ36" s="26">
        <v>120.7</v>
      </c>
      <c r="AK36" s="26">
        <v>119.7</v>
      </c>
      <c r="AL36" s="26">
        <v>121.6</v>
      </c>
      <c r="AM36" s="26">
        <v>-4.32</v>
      </c>
      <c r="AN36" s="26">
        <v>35.0</v>
      </c>
      <c r="AO36" s="26"/>
      <c r="AP36" s="26"/>
      <c r="AQ36" s="26"/>
      <c r="AR36" s="26"/>
      <c r="AS36" s="26">
        <v>7.0</v>
      </c>
      <c r="AT36" s="26">
        <v>122.1</v>
      </c>
      <c r="AU36" s="26">
        <v>120.6</v>
      </c>
      <c r="AV36" s="26">
        <v>123.6</v>
      </c>
      <c r="AW36" s="26">
        <v>-3.39</v>
      </c>
      <c r="AX36" s="26">
        <v>49.0</v>
      </c>
      <c r="AY36" s="26"/>
      <c r="AZ36" s="26"/>
      <c r="BA36" s="26">
        <v>7.0</v>
      </c>
      <c r="BB36" s="26">
        <v>92.5</v>
      </c>
      <c r="BC36" s="26">
        <v>91.3</v>
      </c>
      <c r="BD36" s="26">
        <v>93.6</v>
      </c>
      <c r="BE36" s="26">
        <v>-6.28</v>
      </c>
      <c r="BF36" s="26">
        <v>6.0</v>
      </c>
      <c r="BG36" s="26"/>
      <c r="BH36" s="26"/>
      <c r="BI36" s="26"/>
      <c r="BJ36" s="26"/>
    </row>
    <row r="37" ht="15.75" customHeight="1">
      <c r="A37" s="25"/>
      <c r="B37" s="26"/>
      <c r="C37" s="26">
        <v>8.0</v>
      </c>
      <c r="D37" s="26">
        <v>103.8</v>
      </c>
      <c r="E37" s="26">
        <v>102.2</v>
      </c>
      <c r="F37" s="26">
        <v>105.3</v>
      </c>
      <c r="G37" s="26">
        <v>-4.99</v>
      </c>
      <c r="H37" s="26">
        <v>25.0</v>
      </c>
      <c r="I37" s="26"/>
      <c r="J37" s="26"/>
      <c r="K37" s="26">
        <v>8.0</v>
      </c>
      <c r="L37" s="26">
        <v>111.4</v>
      </c>
      <c r="M37" s="26">
        <v>110.3</v>
      </c>
      <c r="N37" s="26">
        <v>112.5</v>
      </c>
      <c r="O37" s="26">
        <v>-3.1</v>
      </c>
      <c r="P37" s="26">
        <v>54.0</v>
      </c>
      <c r="Q37" s="26"/>
      <c r="R37" s="26">
        <v>8.0</v>
      </c>
      <c r="S37" s="26">
        <v>111.6</v>
      </c>
      <c r="T37" s="26">
        <v>110.1</v>
      </c>
      <c r="U37" s="26">
        <v>113.0</v>
      </c>
      <c r="V37" s="26">
        <v>-4.47</v>
      </c>
      <c r="W37" s="26">
        <v>33.0</v>
      </c>
      <c r="X37" s="26"/>
      <c r="Y37" s="26"/>
      <c r="Z37" s="26">
        <v>8.0</v>
      </c>
      <c r="AA37" s="26">
        <v>101.8</v>
      </c>
      <c r="AB37" s="26">
        <v>97.2</v>
      </c>
      <c r="AC37" s="26">
        <v>106.4</v>
      </c>
      <c r="AD37" s="26">
        <v>-4.58</v>
      </c>
      <c r="AE37" s="26">
        <v>31.0</v>
      </c>
      <c r="AF37" s="26"/>
      <c r="AG37" s="26"/>
      <c r="AH37" s="26"/>
      <c r="AI37" s="26">
        <v>7.0</v>
      </c>
      <c r="AJ37" s="26">
        <v>121.0</v>
      </c>
      <c r="AK37" s="26">
        <v>120.1</v>
      </c>
      <c r="AL37" s="26">
        <v>121.9</v>
      </c>
      <c r="AM37" s="26">
        <v>-4.27</v>
      </c>
      <c r="AN37" s="26">
        <v>36.0</v>
      </c>
      <c r="AO37" s="26"/>
      <c r="AP37" s="26"/>
      <c r="AQ37" s="26"/>
      <c r="AR37" s="26"/>
      <c r="AS37" s="26">
        <v>8.0</v>
      </c>
      <c r="AT37" s="26">
        <v>123.0</v>
      </c>
      <c r="AU37" s="26">
        <v>121.4</v>
      </c>
      <c r="AV37" s="26">
        <v>124.6</v>
      </c>
      <c r="AW37" s="26">
        <v>-3.22</v>
      </c>
      <c r="AX37" s="26">
        <v>52.0</v>
      </c>
      <c r="AY37" s="26"/>
      <c r="AZ37" s="26"/>
      <c r="BA37" s="26">
        <v>8.0</v>
      </c>
      <c r="BB37" s="26">
        <v>92.9</v>
      </c>
      <c r="BC37" s="26">
        <v>91.8</v>
      </c>
      <c r="BD37" s="26">
        <v>94.1</v>
      </c>
      <c r="BE37" s="26">
        <v>-6.13</v>
      </c>
      <c r="BF37" s="26">
        <v>8.0</v>
      </c>
      <c r="BG37" s="26"/>
      <c r="BH37" s="26"/>
      <c r="BI37" s="26"/>
      <c r="BJ37" s="26"/>
    </row>
    <row r="38" ht="15.75" customHeight="1">
      <c r="A38" s="25"/>
      <c r="B38" s="26"/>
      <c r="C38" s="26">
        <v>9.0</v>
      </c>
      <c r="D38" s="26">
        <v>104.8</v>
      </c>
      <c r="E38" s="26">
        <v>103.1</v>
      </c>
      <c r="F38" s="26">
        <v>106.5</v>
      </c>
      <c r="G38" s="26">
        <v>-4.81</v>
      </c>
      <c r="H38" s="26">
        <v>28.0</v>
      </c>
      <c r="I38" s="26"/>
      <c r="J38" s="26"/>
      <c r="K38" s="26">
        <v>9.0</v>
      </c>
      <c r="L38" s="26">
        <v>111.8</v>
      </c>
      <c r="M38" s="26">
        <v>110.7</v>
      </c>
      <c r="N38" s="26">
        <v>113.0</v>
      </c>
      <c r="O38" s="26">
        <v>-3.01</v>
      </c>
      <c r="P38" s="26">
        <v>55.0</v>
      </c>
      <c r="Q38" s="26"/>
      <c r="R38" s="26">
        <v>9.0</v>
      </c>
      <c r="S38" s="26">
        <v>112.2</v>
      </c>
      <c r="T38" s="26">
        <v>110.9</v>
      </c>
      <c r="U38" s="26">
        <v>113.5</v>
      </c>
      <c r="V38" s="26">
        <v>-4.34</v>
      </c>
      <c r="W38" s="26">
        <v>35.0</v>
      </c>
      <c r="X38" s="26"/>
      <c r="Y38" s="26"/>
      <c r="Z38" s="26">
        <v>9.0</v>
      </c>
      <c r="AA38" s="26">
        <v>102.7</v>
      </c>
      <c r="AB38" s="26">
        <v>98.3</v>
      </c>
      <c r="AC38" s="26">
        <v>107.1</v>
      </c>
      <c r="AD38" s="26">
        <v>-4.49</v>
      </c>
      <c r="AE38" s="26">
        <v>33.0</v>
      </c>
      <c r="AF38" s="26"/>
      <c r="AG38" s="26"/>
      <c r="AH38" s="26"/>
      <c r="AI38" s="26">
        <v>8.0</v>
      </c>
      <c r="AJ38" s="26">
        <v>121.3</v>
      </c>
      <c r="AK38" s="26">
        <v>120.4</v>
      </c>
      <c r="AL38" s="26">
        <v>122.1</v>
      </c>
      <c r="AM38" s="26">
        <v>-4.22</v>
      </c>
      <c r="AN38" s="26">
        <v>37.0</v>
      </c>
      <c r="AO38" s="26"/>
      <c r="AP38" s="26"/>
      <c r="AQ38" s="26"/>
      <c r="AR38" s="26"/>
      <c r="AS38" s="26">
        <v>9.0</v>
      </c>
      <c r="AT38" s="26">
        <v>124.0</v>
      </c>
      <c r="AU38" s="26">
        <v>122.3</v>
      </c>
      <c r="AV38" s="26">
        <v>125.8</v>
      </c>
      <c r="AW38" s="26">
        <v>-3.02</v>
      </c>
      <c r="AX38" s="26">
        <v>55.0</v>
      </c>
      <c r="AY38" s="26"/>
      <c r="AZ38" s="26"/>
      <c r="BA38" s="26">
        <v>9.0</v>
      </c>
      <c r="BB38" s="26">
        <v>93.5</v>
      </c>
      <c r="BC38" s="26">
        <v>92.3</v>
      </c>
      <c r="BD38" s="26">
        <v>94.6</v>
      </c>
      <c r="BE38" s="26">
        <v>-5.96</v>
      </c>
      <c r="BF38" s="26">
        <v>11.0</v>
      </c>
      <c r="BG38" s="26"/>
      <c r="BH38" s="26"/>
      <c r="BI38" s="26"/>
      <c r="BJ38" s="26"/>
    </row>
    <row r="39" ht="15.75" customHeight="1">
      <c r="A39" s="25"/>
      <c r="B39" s="26"/>
      <c r="C39" s="26">
        <v>10.0</v>
      </c>
      <c r="D39" s="26">
        <v>105.7</v>
      </c>
      <c r="E39" s="26">
        <v>104.3</v>
      </c>
      <c r="F39" s="26">
        <v>107.2</v>
      </c>
      <c r="G39" s="26">
        <v>-4.66</v>
      </c>
      <c r="H39" s="26">
        <v>30.0</v>
      </c>
      <c r="I39" s="26"/>
      <c r="J39" s="26"/>
      <c r="K39" s="26">
        <v>10.0</v>
      </c>
      <c r="L39" s="26">
        <v>112.4</v>
      </c>
      <c r="M39" s="26">
        <v>111.1</v>
      </c>
      <c r="N39" s="26">
        <v>113.7</v>
      </c>
      <c r="O39" s="26">
        <v>-2.9</v>
      </c>
      <c r="P39" s="26">
        <v>56.0</v>
      </c>
      <c r="Q39" s="26"/>
      <c r="R39" s="26">
        <v>10.0</v>
      </c>
      <c r="S39" s="26">
        <v>112.8</v>
      </c>
      <c r="T39" s="26">
        <v>111.6</v>
      </c>
      <c r="U39" s="26">
        <v>113.9</v>
      </c>
      <c r="V39" s="26">
        <v>-4.23</v>
      </c>
      <c r="W39" s="26">
        <v>37.0</v>
      </c>
      <c r="X39" s="26"/>
      <c r="Y39" s="26"/>
      <c r="Z39" s="26">
        <v>10.0</v>
      </c>
      <c r="AA39" s="26">
        <v>103.6</v>
      </c>
      <c r="AB39" s="26">
        <v>99.3</v>
      </c>
      <c r="AC39" s="26">
        <v>107.8</v>
      </c>
      <c r="AD39" s="26">
        <v>-4.4</v>
      </c>
      <c r="AE39" s="26">
        <v>34.0</v>
      </c>
      <c r="AF39" s="26"/>
      <c r="AG39" s="26"/>
      <c r="AH39" s="26"/>
      <c r="AI39" s="26">
        <v>9.0</v>
      </c>
      <c r="AJ39" s="26">
        <v>121.5</v>
      </c>
      <c r="AK39" s="26">
        <v>120.7</v>
      </c>
      <c r="AL39" s="26">
        <v>122.4</v>
      </c>
      <c r="AM39" s="26">
        <v>-4.18</v>
      </c>
      <c r="AN39" s="26">
        <v>37.0</v>
      </c>
      <c r="AO39" s="26"/>
      <c r="AP39" s="26"/>
      <c r="AQ39" s="26"/>
      <c r="AR39" s="26"/>
      <c r="AS39" s="26">
        <v>10.0</v>
      </c>
      <c r="AT39" s="26">
        <v>125.1</v>
      </c>
      <c r="AU39" s="26">
        <v>123.4</v>
      </c>
      <c r="AV39" s="26">
        <v>126.8</v>
      </c>
      <c r="AW39" s="26">
        <v>-2.8</v>
      </c>
      <c r="AX39" s="26">
        <v>58.0</v>
      </c>
      <c r="AY39" s="26"/>
      <c r="AZ39" s="26"/>
      <c r="BA39" s="26">
        <v>10.0</v>
      </c>
      <c r="BB39" s="26">
        <v>93.9</v>
      </c>
      <c r="BC39" s="26">
        <v>92.8</v>
      </c>
      <c r="BD39" s="26">
        <v>95.0</v>
      </c>
      <c r="BE39" s="26">
        <v>-5.81</v>
      </c>
      <c r="BF39" s="26">
        <v>13.0</v>
      </c>
      <c r="BG39" s="26"/>
      <c r="BH39" s="26"/>
      <c r="BI39" s="26"/>
      <c r="BJ39" s="26"/>
    </row>
    <row r="40" ht="15.75" customHeight="1">
      <c r="A40" s="25"/>
      <c r="B40" s="26"/>
      <c r="C40" s="26">
        <v>11.0</v>
      </c>
      <c r="D40" s="26">
        <v>106.4</v>
      </c>
      <c r="E40" s="26">
        <v>105.1</v>
      </c>
      <c r="F40" s="26">
        <v>107.7</v>
      </c>
      <c r="G40" s="26">
        <v>-4.54</v>
      </c>
      <c r="H40" s="26">
        <v>32.0</v>
      </c>
      <c r="I40" s="26"/>
      <c r="J40" s="26"/>
      <c r="K40" s="26">
        <v>11.0</v>
      </c>
      <c r="L40" s="26">
        <v>113.0</v>
      </c>
      <c r="M40" s="26">
        <v>111.7</v>
      </c>
      <c r="N40" s="26">
        <v>114.4</v>
      </c>
      <c r="O40" s="26">
        <v>-2.77</v>
      </c>
      <c r="P40" s="26">
        <v>58.0</v>
      </c>
      <c r="Q40" s="26"/>
      <c r="R40" s="26">
        <v>11.0</v>
      </c>
      <c r="S40" s="26">
        <v>113.3</v>
      </c>
      <c r="T40" s="26">
        <v>112.2</v>
      </c>
      <c r="U40" s="26">
        <v>114.3</v>
      </c>
      <c r="V40" s="26">
        <v>-4.13</v>
      </c>
      <c r="W40" s="26">
        <v>38.0</v>
      </c>
      <c r="X40" s="26"/>
      <c r="Y40" s="26"/>
      <c r="Z40" s="26">
        <v>11.0</v>
      </c>
      <c r="AA40" s="26">
        <v>104.3</v>
      </c>
      <c r="AB40" s="26">
        <v>100.3</v>
      </c>
      <c r="AC40" s="26">
        <v>108.4</v>
      </c>
      <c r="AD40" s="26">
        <v>-4.32</v>
      </c>
      <c r="AE40" s="26">
        <v>35.0</v>
      </c>
      <c r="AF40" s="26"/>
      <c r="AG40" s="26"/>
      <c r="AH40" s="26"/>
      <c r="AI40" s="26">
        <v>10.0</v>
      </c>
      <c r="AJ40" s="26">
        <v>121.8</v>
      </c>
      <c r="AK40" s="26">
        <v>120.9</v>
      </c>
      <c r="AL40" s="26">
        <v>122.6</v>
      </c>
      <c r="AM40" s="26">
        <v>-4.14</v>
      </c>
      <c r="AN40" s="26">
        <v>38.0</v>
      </c>
      <c r="AO40" s="26"/>
      <c r="AP40" s="26"/>
      <c r="AQ40" s="26"/>
      <c r="AR40" s="26"/>
      <c r="AS40" s="26">
        <v>11.0</v>
      </c>
      <c r="AT40" s="26">
        <v>126.1</v>
      </c>
      <c r="AU40" s="26">
        <v>124.5</v>
      </c>
      <c r="AV40" s="26">
        <v>127.7</v>
      </c>
      <c r="AW40" s="26">
        <v>-2.6</v>
      </c>
      <c r="AX40" s="26">
        <v>61.0</v>
      </c>
      <c r="AY40" s="26"/>
      <c r="AZ40" s="26"/>
      <c r="BA40" s="26">
        <v>11.0</v>
      </c>
      <c r="BB40" s="26">
        <v>94.3</v>
      </c>
      <c r="BC40" s="26">
        <v>93.3</v>
      </c>
      <c r="BD40" s="26">
        <v>95.4</v>
      </c>
      <c r="BE40" s="26">
        <v>-5.68</v>
      </c>
      <c r="BF40" s="26">
        <v>15.0</v>
      </c>
      <c r="BG40" s="26"/>
      <c r="BH40" s="26"/>
      <c r="BI40" s="26"/>
      <c r="BJ40" s="26"/>
    </row>
    <row r="41" ht="15.75" customHeight="1">
      <c r="A41" s="25"/>
      <c r="B41" s="26"/>
      <c r="C41" s="26">
        <v>12.0</v>
      </c>
      <c r="D41" s="26">
        <v>107.0</v>
      </c>
      <c r="E41" s="26">
        <v>105.8</v>
      </c>
      <c r="F41" s="26">
        <v>108.1</v>
      </c>
      <c r="G41" s="26">
        <v>-4.45</v>
      </c>
      <c r="H41" s="26">
        <v>33.0</v>
      </c>
      <c r="I41" s="26"/>
      <c r="J41" s="26"/>
      <c r="K41" s="26">
        <v>12.0</v>
      </c>
      <c r="L41" s="26">
        <v>113.7</v>
      </c>
      <c r="M41" s="26">
        <v>112.4</v>
      </c>
      <c r="N41" s="26">
        <v>115.0</v>
      </c>
      <c r="O41" s="26">
        <v>-2.63</v>
      </c>
      <c r="P41" s="26">
        <v>60.0</v>
      </c>
      <c r="Q41" s="26"/>
      <c r="R41" s="26">
        <v>12.0</v>
      </c>
      <c r="S41" s="26">
        <v>113.7</v>
      </c>
      <c r="T41" s="26">
        <v>112.6</v>
      </c>
      <c r="U41" s="26">
        <v>114.7</v>
      </c>
      <c r="V41" s="26">
        <v>-4.05</v>
      </c>
      <c r="W41" s="26">
        <v>39.0</v>
      </c>
      <c r="X41" s="26"/>
      <c r="Y41" s="26"/>
      <c r="Z41" s="26">
        <v>12.0</v>
      </c>
      <c r="AA41" s="26">
        <v>105.1</v>
      </c>
      <c r="AB41" s="26">
        <v>101.1</v>
      </c>
      <c r="AC41" s="26">
        <v>109.0</v>
      </c>
      <c r="AD41" s="26">
        <v>-4.25</v>
      </c>
      <c r="AE41" s="26">
        <v>36.0</v>
      </c>
      <c r="AF41" s="26"/>
      <c r="AG41" s="26"/>
      <c r="AH41" s="26"/>
      <c r="AI41" s="26">
        <v>11.0</v>
      </c>
      <c r="AJ41" s="26">
        <v>122.0</v>
      </c>
      <c r="AK41" s="26">
        <v>121.2</v>
      </c>
      <c r="AL41" s="26">
        <v>122.9</v>
      </c>
      <c r="AM41" s="26">
        <v>-4.1</v>
      </c>
      <c r="AN41" s="26">
        <v>39.0</v>
      </c>
      <c r="AO41" s="26"/>
      <c r="AP41" s="26"/>
      <c r="AQ41" s="26"/>
      <c r="AR41" s="26"/>
      <c r="AS41" s="26">
        <v>12.0</v>
      </c>
      <c r="AT41" s="26">
        <v>127.1</v>
      </c>
      <c r="AU41" s="26">
        <v>125.5</v>
      </c>
      <c r="AV41" s="26">
        <v>128.6</v>
      </c>
      <c r="AW41" s="26">
        <v>-2.43</v>
      </c>
      <c r="AX41" s="26">
        <v>64.0</v>
      </c>
      <c r="AY41" s="26"/>
      <c r="AZ41" s="26"/>
      <c r="BA41" s="26">
        <v>12.0</v>
      </c>
      <c r="BB41" s="26">
        <v>94.7</v>
      </c>
      <c r="BC41" s="26">
        <v>93.7</v>
      </c>
      <c r="BD41" s="26">
        <v>95.7</v>
      </c>
      <c r="BE41" s="26">
        <v>-5.56</v>
      </c>
      <c r="BF41" s="26">
        <v>17.0</v>
      </c>
      <c r="BG41" s="26"/>
      <c r="BH41" s="26"/>
      <c r="BI41" s="26"/>
      <c r="BJ41" s="26"/>
    </row>
    <row r="42" ht="15.75" customHeight="1">
      <c r="A42" s="25"/>
      <c r="B42" s="26"/>
      <c r="C42" s="26">
        <v>13.0</v>
      </c>
      <c r="D42" s="26">
        <v>107.4</v>
      </c>
      <c r="E42" s="26">
        <v>106.3</v>
      </c>
      <c r="F42" s="26">
        <v>108.5</v>
      </c>
      <c r="G42" s="26">
        <v>-4.37</v>
      </c>
      <c r="H42" s="26">
        <v>34.0</v>
      </c>
      <c r="I42" s="26"/>
      <c r="J42" s="26"/>
      <c r="K42" s="26">
        <v>13.0</v>
      </c>
      <c r="L42" s="26">
        <v>114.3</v>
      </c>
      <c r="M42" s="26">
        <v>113.1</v>
      </c>
      <c r="N42" s="26">
        <v>115.4</v>
      </c>
      <c r="O42" s="26">
        <v>-2.53</v>
      </c>
      <c r="P42" s="26">
        <v>62.0</v>
      </c>
      <c r="Q42" s="26"/>
      <c r="R42" s="26">
        <v>13.0</v>
      </c>
      <c r="S42" s="26">
        <v>114.0</v>
      </c>
      <c r="T42" s="26">
        <v>113.1</v>
      </c>
      <c r="U42" s="26">
        <v>115.0</v>
      </c>
      <c r="V42" s="26">
        <v>-3.97</v>
      </c>
      <c r="W42" s="26">
        <v>40.0</v>
      </c>
      <c r="X42" s="26"/>
      <c r="Y42" s="26"/>
      <c r="Z42" s="26">
        <v>13.0</v>
      </c>
      <c r="AA42" s="26">
        <v>105.8</v>
      </c>
      <c r="AB42" s="26">
        <v>101.9</v>
      </c>
      <c r="AC42" s="26">
        <v>109.6</v>
      </c>
      <c r="AD42" s="26">
        <v>-4.18</v>
      </c>
      <c r="AE42" s="26">
        <v>37.0</v>
      </c>
      <c r="AF42" s="26"/>
      <c r="AG42" s="26"/>
      <c r="AH42" s="26"/>
      <c r="AI42" s="26">
        <v>12.0</v>
      </c>
      <c r="AJ42" s="26">
        <v>122.3</v>
      </c>
      <c r="AK42" s="26">
        <v>121.4</v>
      </c>
      <c r="AL42" s="26">
        <v>123.2</v>
      </c>
      <c r="AM42" s="26">
        <v>-4.05</v>
      </c>
      <c r="AN42" s="26">
        <v>39.0</v>
      </c>
      <c r="AO42" s="26"/>
      <c r="AP42" s="26"/>
      <c r="AQ42" s="26"/>
      <c r="AR42" s="26"/>
      <c r="AS42" s="26">
        <v>13.0</v>
      </c>
      <c r="AT42" s="26">
        <v>128.0</v>
      </c>
      <c r="AU42" s="26">
        <v>126.4</v>
      </c>
      <c r="AV42" s="26">
        <v>129.5</v>
      </c>
      <c r="AW42" s="26">
        <v>-2.25</v>
      </c>
      <c r="AX42" s="26">
        <v>66.0</v>
      </c>
      <c r="AY42" s="26"/>
      <c r="AZ42" s="26"/>
      <c r="BA42" s="26">
        <v>13.0</v>
      </c>
      <c r="BB42" s="26">
        <v>95.1</v>
      </c>
      <c r="BC42" s="26">
        <v>94.1</v>
      </c>
      <c r="BD42" s="26">
        <v>96.1</v>
      </c>
      <c r="BE42" s="26">
        <v>-5.44</v>
      </c>
      <c r="BF42" s="26">
        <v>18.0</v>
      </c>
      <c r="BG42" s="26"/>
      <c r="BH42" s="26"/>
      <c r="BI42" s="26"/>
      <c r="BJ42" s="26"/>
    </row>
    <row r="43" ht="15.75" customHeight="1">
      <c r="A43" s="25"/>
      <c r="B43" s="26"/>
      <c r="C43" s="26">
        <v>14.0</v>
      </c>
      <c r="D43" s="26">
        <v>107.8</v>
      </c>
      <c r="E43" s="26">
        <v>106.8</v>
      </c>
      <c r="F43" s="26">
        <v>108.8</v>
      </c>
      <c r="G43" s="26">
        <v>-4.31</v>
      </c>
      <c r="H43" s="26">
        <v>35.0</v>
      </c>
      <c r="I43" s="26"/>
      <c r="J43" s="26"/>
      <c r="K43" s="26">
        <v>14.0</v>
      </c>
      <c r="L43" s="26">
        <v>114.7</v>
      </c>
      <c r="M43" s="26">
        <v>113.7</v>
      </c>
      <c r="N43" s="26">
        <v>115.7</v>
      </c>
      <c r="O43" s="26">
        <v>-2.44</v>
      </c>
      <c r="P43" s="26">
        <v>63.0</v>
      </c>
      <c r="Q43" s="26"/>
      <c r="R43" s="26">
        <v>14.0</v>
      </c>
      <c r="S43" s="26">
        <v>114.4</v>
      </c>
      <c r="T43" s="26">
        <v>113.4</v>
      </c>
      <c r="U43" s="26">
        <v>115.3</v>
      </c>
      <c r="V43" s="26">
        <v>-3.9</v>
      </c>
      <c r="W43" s="26">
        <v>41.0</v>
      </c>
      <c r="X43" s="26"/>
      <c r="Y43" s="26"/>
      <c r="Z43" s="26">
        <v>14.0</v>
      </c>
      <c r="AA43" s="26">
        <v>106.4</v>
      </c>
      <c r="AB43" s="26">
        <v>102.7</v>
      </c>
      <c r="AC43" s="26">
        <v>110.1</v>
      </c>
      <c r="AD43" s="26">
        <v>-4.12</v>
      </c>
      <c r="AE43" s="26">
        <v>38.0</v>
      </c>
      <c r="AF43" s="26"/>
      <c r="AG43" s="26"/>
      <c r="AH43" s="26"/>
      <c r="AI43" s="26">
        <v>13.0</v>
      </c>
      <c r="AJ43" s="26">
        <v>122.6</v>
      </c>
      <c r="AK43" s="26">
        <v>121.7</v>
      </c>
      <c r="AL43" s="26">
        <v>123.5</v>
      </c>
      <c r="AM43" s="26">
        <v>-4.01</v>
      </c>
      <c r="AN43" s="26">
        <v>40.0</v>
      </c>
      <c r="AO43" s="26"/>
      <c r="AP43" s="26"/>
      <c r="AQ43" s="26"/>
      <c r="AR43" s="26"/>
      <c r="AS43" s="26">
        <v>14.0</v>
      </c>
      <c r="AT43" s="26">
        <v>128.8</v>
      </c>
      <c r="AU43" s="26">
        <v>127.3</v>
      </c>
      <c r="AV43" s="26">
        <v>130.3</v>
      </c>
      <c r="AW43" s="26">
        <v>-2.08</v>
      </c>
      <c r="AX43" s="26">
        <v>69.0</v>
      </c>
      <c r="AY43" s="26"/>
      <c r="AZ43" s="26"/>
      <c r="BA43" s="26">
        <v>14.0</v>
      </c>
      <c r="BB43" s="26">
        <v>95.5</v>
      </c>
      <c r="BC43" s="26">
        <v>94.4</v>
      </c>
      <c r="BD43" s="26">
        <v>96.6</v>
      </c>
      <c r="BE43" s="26">
        <v>-5.31</v>
      </c>
      <c r="BF43" s="26">
        <v>20.0</v>
      </c>
      <c r="BG43" s="26"/>
      <c r="BH43" s="26"/>
      <c r="BI43" s="26"/>
      <c r="BJ43" s="26"/>
    </row>
    <row r="44" ht="15.75" customHeight="1">
      <c r="A44" s="25"/>
      <c r="B44" s="26"/>
      <c r="C44" s="26">
        <v>15.0</v>
      </c>
      <c r="D44" s="26">
        <v>108.2</v>
      </c>
      <c r="E44" s="26">
        <v>107.2</v>
      </c>
      <c r="F44" s="26">
        <v>109.2</v>
      </c>
      <c r="G44" s="26">
        <v>-4.24</v>
      </c>
      <c r="H44" s="26">
        <v>36.0</v>
      </c>
      <c r="I44" s="26"/>
      <c r="J44" s="26"/>
      <c r="K44" s="26">
        <v>15.0</v>
      </c>
      <c r="L44" s="26">
        <v>115.0</v>
      </c>
      <c r="M44" s="26">
        <v>114.1</v>
      </c>
      <c r="N44" s="26">
        <v>116.0</v>
      </c>
      <c r="O44" s="26">
        <v>-2.38</v>
      </c>
      <c r="P44" s="26">
        <v>64.0</v>
      </c>
      <c r="Q44" s="26"/>
      <c r="R44" s="26">
        <v>15.0</v>
      </c>
      <c r="S44" s="26">
        <v>114.7</v>
      </c>
      <c r="T44" s="26">
        <v>113.8</v>
      </c>
      <c r="U44" s="26">
        <v>115.6</v>
      </c>
      <c r="V44" s="26">
        <v>-3.84</v>
      </c>
      <c r="W44" s="26">
        <v>42.0</v>
      </c>
      <c r="X44" s="26"/>
      <c r="Y44" s="26"/>
      <c r="Z44" s="26">
        <v>15.0</v>
      </c>
      <c r="AA44" s="26">
        <v>107.0</v>
      </c>
      <c r="AB44" s="26">
        <v>103.4</v>
      </c>
      <c r="AC44" s="26">
        <v>110.7</v>
      </c>
      <c r="AD44" s="26">
        <v>-4.05</v>
      </c>
      <c r="AE44" s="26">
        <v>39.0</v>
      </c>
      <c r="AF44" s="26"/>
      <c r="AG44" s="26"/>
      <c r="AH44" s="26"/>
      <c r="AI44" s="26">
        <v>14.0</v>
      </c>
      <c r="AJ44" s="26">
        <v>122.9</v>
      </c>
      <c r="AK44" s="26">
        <v>121.9</v>
      </c>
      <c r="AL44" s="26">
        <v>123.9</v>
      </c>
      <c r="AM44" s="26">
        <v>-3.96</v>
      </c>
      <c r="AN44" s="26">
        <v>41.0</v>
      </c>
      <c r="AO44" s="26"/>
      <c r="AP44" s="26"/>
      <c r="AQ44" s="26"/>
      <c r="AR44" s="26"/>
      <c r="AS44" s="26">
        <v>15.0</v>
      </c>
      <c r="AT44" s="26">
        <v>129.6</v>
      </c>
      <c r="AU44" s="26">
        <v>128.2</v>
      </c>
      <c r="AV44" s="26">
        <v>131.0</v>
      </c>
      <c r="AW44" s="26">
        <v>-1.93</v>
      </c>
      <c r="AX44" s="26">
        <v>71.0</v>
      </c>
      <c r="AY44" s="26"/>
      <c r="AZ44" s="26"/>
      <c r="BA44" s="26">
        <v>15.0</v>
      </c>
      <c r="BB44" s="26">
        <v>95.9</v>
      </c>
      <c r="BC44" s="26">
        <v>94.9</v>
      </c>
      <c r="BD44" s="26">
        <v>97.0</v>
      </c>
      <c r="BE44" s="26">
        <v>-5.18</v>
      </c>
      <c r="BF44" s="26">
        <v>22.0</v>
      </c>
      <c r="BG44" s="26"/>
      <c r="BH44" s="26"/>
      <c r="BI44" s="26"/>
      <c r="BJ44" s="26"/>
    </row>
    <row r="45" ht="15.75" customHeight="1">
      <c r="A45" s="25"/>
      <c r="B45" s="26"/>
      <c r="C45" s="26">
        <v>16.0</v>
      </c>
      <c r="D45" s="26">
        <v>108.6</v>
      </c>
      <c r="E45" s="26">
        <v>107.6</v>
      </c>
      <c r="F45" s="26">
        <v>109.6</v>
      </c>
      <c r="G45" s="26">
        <v>-4.18</v>
      </c>
      <c r="H45" s="26">
        <v>37.0</v>
      </c>
      <c r="I45" s="26"/>
      <c r="J45" s="26"/>
      <c r="K45" s="26">
        <v>16.0</v>
      </c>
      <c r="L45" s="26">
        <v>115.3</v>
      </c>
      <c r="M45" s="26">
        <v>114.4</v>
      </c>
      <c r="N45" s="26">
        <v>116.2</v>
      </c>
      <c r="O45" s="26">
        <v>-2.31</v>
      </c>
      <c r="P45" s="26">
        <v>65.0</v>
      </c>
      <c r="Q45" s="26"/>
      <c r="R45" s="26">
        <v>16.0</v>
      </c>
      <c r="S45" s="26">
        <v>115.0</v>
      </c>
      <c r="T45" s="26">
        <v>114.1</v>
      </c>
      <c r="U45" s="26">
        <v>115.9</v>
      </c>
      <c r="V45" s="26">
        <v>-3.78</v>
      </c>
      <c r="W45" s="26">
        <v>43.0</v>
      </c>
      <c r="X45" s="26"/>
      <c r="Y45" s="26"/>
      <c r="Z45" s="26">
        <v>16.0</v>
      </c>
      <c r="AA45" s="26">
        <v>107.6</v>
      </c>
      <c r="AB45" s="26">
        <v>104.0</v>
      </c>
      <c r="AC45" s="26">
        <v>111.2</v>
      </c>
      <c r="AD45" s="26">
        <v>-3.99</v>
      </c>
      <c r="AE45" s="26">
        <v>40.0</v>
      </c>
      <c r="AF45" s="26"/>
      <c r="AG45" s="26"/>
      <c r="AH45" s="26"/>
      <c r="AI45" s="26">
        <v>15.0</v>
      </c>
      <c r="AJ45" s="26">
        <v>123.3</v>
      </c>
      <c r="AK45" s="26">
        <v>122.2</v>
      </c>
      <c r="AL45" s="26">
        <v>124.3</v>
      </c>
      <c r="AM45" s="26">
        <v>-3.9</v>
      </c>
      <c r="AN45" s="26">
        <v>42.0</v>
      </c>
      <c r="AO45" s="26"/>
      <c r="AP45" s="26"/>
      <c r="AQ45" s="26"/>
      <c r="AR45" s="26"/>
      <c r="AS45" s="26">
        <v>16.0</v>
      </c>
      <c r="AT45" s="26">
        <v>130.3</v>
      </c>
      <c r="AU45" s="26">
        <v>128.9</v>
      </c>
      <c r="AV45" s="26">
        <v>131.6</v>
      </c>
      <c r="AW45" s="26">
        <v>-1.79</v>
      </c>
      <c r="AX45" s="26">
        <v>73.0</v>
      </c>
      <c r="AY45" s="26"/>
      <c r="AZ45" s="26"/>
      <c r="BA45" s="26">
        <v>16.0</v>
      </c>
      <c r="BB45" s="26">
        <v>96.4</v>
      </c>
      <c r="BC45" s="26">
        <v>95.3</v>
      </c>
      <c r="BD45" s="26">
        <v>97.4</v>
      </c>
      <c r="BE45" s="26">
        <v>-5.05</v>
      </c>
      <c r="BF45" s="26">
        <v>24.0</v>
      </c>
      <c r="BG45" s="26"/>
      <c r="BH45" s="26"/>
      <c r="BI45" s="26"/>
      <c r="BJ45" s="26"/>
    </row>
    <row r="46" ht="15.75" customHeight="1">
      <c r="A46" s="25"/>
      <c r="B46" s="26"/>
      <c r="C46" s="26">
        <v>17.0</v>
      </c>
      <c r="D46" s="26">
        <v>108.9</v>
      </c>
      <c r="E46" s="26">
        <v>108.0</v>
      </c>
      <c r="F46" s="26">
        <v>109.9</v>
      </c>
      <c r="G46" s="26">
        <v>-4.12</v>
      </c>
      <c r="H46" s="26">
        <v>38.0</v>
      </c>
      <c r="I46" s="26"/>
      <c r="J46" s="26"/>
      <c r="K46" s="26">
        <v>17.0</v>
      </c>
      <c r="L46" s="26">
        <v>115.6</v>
      </c>
      <c r="M46" s="26">
        <v>114.7</v>
      </c>
      <c r="N46" s="26">
        <v>116.5</v>
      </c>
      <c r="O46" s="26">
        <v>-2.25</v>
      </c>
      <c r="P46" s="26">
        <v>66.0</v>
      </c>
      <c r="Q46" s="26"/>
      <c r="R46" s="26">
        <v>17.0</v>
      </c>
      <c r="S46" s="26">
        <v>115.3</v>
      </c>
      <c r="T46" s="26">
        <v>114.4</v>
      </c>
      <c r="U46" s="26">
        <v>116.2</v>
      </c>
      <c r="V46" s="26">
        <v>-3.72</v>
      </c>
      <c r="W46" s="26">
        <v>44.0</v>
      </c>
      <c r="X46" s="26"/>
      <c r="Y46" s="26"/>
      <c r="Z46" s="26">
        <v>17.0</v>
      </c>
      <c r="AA46" s="26">
        <v>108.2</v>
      </c>
      <c r="AB46" s="26">
        <v>104.7</v>
      </c>
      <c r="AC46" s="26">
        <v>111.7</v>
      </c>
      <c r="AD46" s="26">
        <v>-3.94</v>
      </c>
      <c r="AE46" s="26">
        <v>41.0</v>
      </c>
      <c r="AF46" s="26"/>
      <c r="AG46" s="26"/>
      <c r="AH46" s="26"/>
      <c r="AI46" s="26">
        <v>16.0</v>
      </c>
      <c r="AJ46" s="26">
        <v>123.7</v>
      </c>
      <c r="AK46" s="26">
        <v>122.6</v>
      </c>
      <c r="AL46" s="26">
        <v>124.8</v>
      </c>
      <c r="AM46" s="26">
        <v>-3.83</v>
      </c>
      <c r="AN46" s="26">
        <v>43.0</v>
      </c>
      <c r="AO46" s="26"/>
      <c r="AP46" s="26"/>
      <c r="AQ46" s="26"/>
      <c r="AR46" s="26"/>
      <c r="AS46" s="26">
        <v>17.0</v>
      </c>
      <c r="AT46" s="26">
        <v>131.0</v>
      </c>
      <c r="AU46" s="26">
        <v>129.6</v>
      </c>
      <c r="AV46" s="26">
        <v>132.3</v>
      </c>
      <c r="AW46" s="26">
        <v>-1.66</v>
      </c>
      <c r="AX46" s="26">
        <v>75.0</v>
      </c>
      <c r="AY46" s="26"/>
      <c r="AZ46" s="26"/>
      <c r="BA46" s="26">
        <v>17.0</v>
      </c>
      <c r="BB46" s="26">
        <v>96.7</v>
      </c>
      <c r="BC46" s="26">
        <v>95.8</v>
      </c>
      <c r="BD46" s="26">
        <v>97.7</v>
      </c>
      <c r="BE46" s="26">
        <v>-4.92</v>
      </c>
      <c r="BF46" s="26">
        <v>26.0</v>
      </c>
      <c r="BG46" s="26"/>
      <c r="BH46" s="26"/>
      <c r="BI46" s="26"/>
      <c r="BJ46" s="26"/>
    </row>
    <row r="47" ht="15.75" customHeight="1">
      <c r="A47" s="25"/>
      <c r="B47" s="26"/>
      <c r="C47" s="26">
        <v>18.0</v>
      </c>
      <c r="D47" s="26">
        <v>109.3</v>
      </c>
      <c r="E47" s="26">
        <v>108.4</v>
      </c>
      <c r="F47" s="26">
        <v>110.2</v>
      </c>
      <c r="G47" s="26">
        <v>-4.06</v>
      </c>
      <c r="H47" s="26">
        <v>39.0</v>
      </c>
      <c r="I47" s="26"/>
      <c r="J47" s="26"/>
      <c r="K47" s="26">
        <v>18.0</v>
      </c>
      <c r="L47" s="26">
        <v>115.9</v>
      </c>
      <c r="M47" s="26">
        <v>115.0</v>
      </c>
      <c r="N47" s="26">
        <v>116.8</v>
      </c>
      <c r="O47" s="26">
        <v>-2.19</v>
      </c>
      <c r="P47" s="26">
        <v>67.0</v>
      </c>
      <c r="Q47" s="26"/>
      <c r="R47" s="26">
        <v>18.0</v>
      </c>
      <c r="S47" s="26">
        <v>115.6</v>
      </c>
      <c r="T47" s="26">
        <v>114.7</v>
      </c>
      <c r="U47" s="26">
        <v>116.4</v>
      </c>
      <c r="V47" s="26">
        <v>-3.66</v>
      </c>
      <c r="W47" s="26">
        <v>45.0</v>
      </c>
      <c r="X47" s="26"/>
      <c r="Y47" s="26"/>
      <c r="Z47" s="26">
        <v>18.0</v>
      </c>
      <c r="AA47" s="26">
        <v>108.8</v>
      </c>
      <c r="AB47" s="26">
        <v>105.3</v>
      </c>
      <c r="AC47" s="26">
        <v>112.2</v>
      </c>
      <c r="AD47" s="26">
        <v>-3.88</v>
      </c>
      <c r="AE47" s="26">
        <v>42.0</v>
      </c>
      <c r="AF47" s="26"/>
      <c r="AG47" s="26"/>
      <c r="AH47" s="26"/>
      <c r="AI47" s="26">
        <v>17.0</v>
      </c>
      <c r="AJ47" s="26">
        <v>124.2</v>
      </c>
      <c r="AK47" s="26">
        <v>122.9</v>
      </c>
      <c r="AL47" s="26">
        <v>125.5</v>
      </c>
      <c r="AM47" s="26">
        <v>-3.74</v>
      </c>
      <c r="AN47" s="26">
        <v>44.0</v>
      </c>
      <c r="AO47" s="26"/>
      <c r="AP47" s="26"/>
      <c r="AQ47" s="26"/>
      <c r="AR47" s="26"/>
      <c r="AS47" s="26">
        <v>18.0</v>
      </c>
      <c r="AT47" s="26">
        <v>131.6</v>
      </c>
      <c r="AU47" s="26">
        <v>130.3</v>
      </c>
      <c r="AV47" s="26">
        <v>132.9</v>
      </c>
      <c r="AW47" s="26">
        <v>-1.54</v>
      </c>
      <c r="AX47" s="26">
        <v>77.0</v>
      </c>
      <c r="AY47" s="26"/>
      <c r="AZ47" s="26"/>
      <c r="BA47" s="26">
        <v>18.0</v>
      </c>
      <c r="BB47" s="26">
        <v>97.1</v>
      </c>
      <c r="BC47" s="26">
        <v>96.2</v>
      </c>
      <c r="BD47" s="26">
        <v>98.0</v>
      </c>
      <c r="BE47" s="26">
        <v>-4.81</v>
      </c>
      <c r="BF47" s="26">
        <v>28.0</v>
      </c>
      <c r="BG47" s="26"/>
      <c r="BH47" s="26"/>
      <c r="BI47" s="26"/>
      <c r="BJ47" s="26"/>
    </row>
    <row r="48" ht="15.75" customHeight="1">
      <c r="A48" s="25"/>
      <c r="B48" s="26"/>
      <c r="C48" s="26">
        <v>19.0</v>
      </c>
      <c r="D48" s="26">
        <v>109.6</v>
      </c>
      <c r="E48" s="26">
        <v>108.7</v>
      </c>
      <c r="F48" s="26">
        <v>110.4</v>
      </c>
      <c r="G48" s="26">
        <v>-4.02</v>
      </c>
      <c r="H48" s="26">
        <v>40.0</v>
      </c>
      <c r="I48" s="26"/>
      <c r="J48" s="26"/>
      <c r="K48" s="26">
        <v>19.0</v>
      </c>
      <c r="L48" s="26">
        <v>116.2</v>
      </c>
      <c r="M48" s="26">
        <v>115.3</v>
      </c>
      <c r="N48" s="26">
        <v>117.1</v>
      </c>
      <c r="O48" s="26">
        <v>-2.13</v>
      </c>
      <c r="P48" s="26">
        <v>68.0</v>
      </c>
      <c r="Q48" s="26"/>
      <c r="R48" s="26">
        <v>19.0</v>
      </c>
      <c r="S48" s="26">
        <v>115.9</v>
      </c>
      <c r="T48" s="26">
        <v>115.0</v>
      </c>
      <c r="U48" s="26">
        <v>116.7</v>
      </c>
      <c r="V48" s="26">
        <v>-3.61</v>
      </c>
      <c r="W48" s="26">
        <v>46.0</v>
      </c>
      <c r="X48" s="26"/>
      <c r="Y48" s="26"/>
      <c r="Z48" s="26">
        <v>19.0</v>
      </c>
      <c r="AA48" s="26">
        <v>109.3</v>
      </c>
      <c r="AB48" s="26">
        <v>105.9</v>
      </c>
      <c r="AC48" s="26">
        <v>112.8</v>
      </c>
      <c r="AD48" s="26">
        <v>-3.83</v>
      </c>
      <c r="AE48" s="26">
        <v>43.0</v>
      </c>
      <c r="AF48" s="26"/>
      <c r="AG48" s="26"/>
      <c r="AH48" s="26"/>
      <c r="AI48" s="26">
        <v>18.0</v>
      </c>
      <c r="AJ48" s="26">
        <v>125.0</v>
      </c>
      <c r="AK48" s="26">
        <v>123.4</v>
      </c>
      <c r="AL48" s="26">
        <v>126.6</v>
      </c>
      <c r="AM48" s="26">
        <v>-3.62</v>
      </c>
      <c r="AN48" s="26">
        <v>46.0</v>
      </c>
      <c r="AO48" s="26"/>
      <c r="AP48" s="26"/>
      <c r="AQ48" s="26"/>
      <c r="AR48" s="26"/>
      <c r="AS48" s="26">
        <v>19.0</v>
      </c>
      <c r="AT48" s="26">
        <v>132.2</v>
      </c>
      <c r="AU48" s="26">
        <v>130.9</v>
      </c>
      <c r="AV48" s="26">
        <v>133.5</v>
      </c>
      <c r="AW48" s="26">
        <v>-1.42</v>
      </c>
      <c r="AX48" s="26">
        <v>79.0</v>
      </c>
      <c r="AY48" s="26"/>
      <c r="AZ48" s="26"/>
      <c r="BA48" s="26">
        <v>19.0</v>
      </c>
      <c r="BB48" s="26">
        <v>97.4</v>
      </c>
      <c r="BC48" s="26">
        <v>96.5</v>
      </c>
      <c r="BD48" s="26">
        <v>98.2</v>
      </c>
      <c r="BE48" s="26">
        <v>-4.72</v>
      </c>
      <c r="BF48" s="26">
        <v>29.0</v>
      </c>
      <c r="BG48" s="26"/>
      <c r="BH48" s="26"/>
      <c r="BI48" s="26"/>
      <c r="BJ48" s="26"/>
    </row>
    <row r="49" ht="15.75" customHeight="1">
      <c r="A49" s="25"/>
      <c r="B49" s="26"/>
      <c r="C49" s="26">
        <v>20.0</v>
      </c>
      <c r="D49" s="26">
        <v>109.8</v>
      </c>
      <c r="E49" s="26">
        <v>109.0</v>
      </c>
      <c r="F49" s="26">
        <v>110.6</v>
      </c>
      <c r="G49" s="26">
        <v>-3.97</v>
      </c>
      <c r="H49" s="26">
        <v>40.0</v>
      </c>
      <c r="I49" s="26"/>
      <c r="J49" s="26"/>
      <c r="K49" s="26">
        <v>20.0</v>
      </c>
      <c r="L49" s="26">
        <v>116.5</v>
      </c>
      <c r="M49" s="26">
        <v>115.6</v>
      </c>
      <c r="N49" s="26">
        <v>117.4</v>
      </c>
      <c r="O49" s="26">
        <v>-2.08</v>
      </c>
      <c r="P49" s="26">
        <v>69.0</v>
      </c>
      <c r="Q49" s="26"/>
      <c r="R49" s="26">
        <v>20.0</v>
      </c>
      <c r="S49" s="26">
        <v>116.1</v>
      </c>
      <c r="T49" s="26">
        <v>115.3</v>
      </c>
      <c r="U49" s="26">
        <v>117.0</v>
      </c>
      <c r="V49" s="26">
        <v>-3.56</v>
      </c>
      <c r="W49" s="26">
        <v>47.0</v>
      </c>
      <c r="X49" s="26"/>
      <c r="Y49" s="26"/>
      <c r="Z49" s="26">
        <v>20.0</v>
      </c>
      <c r="AA49" s="26">
        <v>109.9</v>
      </c>
      <c r="AB49" s="26">
        <v>106.5</v>
      </c>
      <c r="AC49" s="26">
        <v>113.2</v>
      </c>
      <c r="AD49" s="26">
        <v>-3.77</v>
      </c>
      <c r="AE49" s="26">
        <v>43.0</v>
      </c>
      <c r="AF49" s="26"/>
      <c r="AG49" s="26"/>
      <c r="AH49" s="26"/>
      <c r="AI49" s="26">
        <v>19.0</v>
      </c>
      <c r="AJ49" s="26">
        <v>126.4</v>
      </c>
      <c r="AK49" s="26">
        <v>124.2</v>
      </c>
      <c r="AL49" s="26">
        <v>128.6</v>
      </c>
      <c r="AM49" s="26">
        <v>-3.39</v>
      </c>
      <c r="AN49" s="26">
        <v>49.0</v>
      </c>
      <c r="AO49" s="26"/>
      <c r="AP49" s="26"/>
      <c r="AQ49" s="26"/>
      <c r="AR49" s="26"/>
      <c r="AS49" s="26">
        <v>20.0</v>
      </c>
      <c r="AT49" s="26">
        <v>132.8</v>
      </c>
      <c r="AU49" s="26">
        <v>131.5</v>
      </c>
      <c r="AV49" s="26">
        <v>134.0</v>
      </c>
      <c r="AW49" s="26">
        <v>-1.31</v>
      </c>
      <c r="AX49" s="26">
        <v>80.0</v>
      </c>
      <c r="AY49" s="26"/>
      <c r="AZ49" s="26"/>
      <c r="BA49" s="26">
        <v>20.0</v>
      </c>
      <c r="BB49" s="26">
        <v>97.6</v>
      </c>
      <c r="BC49" s="26">
        <v>96.8</v>
      </c>
      <c r="BD49" s="26">
        <v>98.4</v>
      </c>
      <c r="BE49" s="26">
        <v>-4.64</v>
      </c>
      <c r="BF49" s="26">
        <v>30.0</v>
      </c>
      <c r="BG49" s="26"/>
      <c r="BH49" s="26"/>
      <c r="BI49" s="26"/>
      <c r="BJ49" s="26"/>
    </row>
    <row r="50" ht="15.75" customHeight="1">
      <c r="A50" s="25"/>
      <c r="B50" s="26"/>
      <c r="C50" s="26">
        <v>21.0</v>
      </c>
      <c r="D50" s="26">
        <v>110.1</v>
      </c>
      <c r="E50" s="26">
        <v>109.3</v>
      </c>
      <c r="F50" s="26">
        <v>110.9</v>
      </c>
      <c r="G50" s="26">
        <v>-3.93</v>
      </c>
      <c r="H50" s="26">
        <v>41.0</v>
      </c>
      <c r="I50" s="26"/>
      <c r="J50" s="26"/>
      <c r="K50" s="26">
        <v>21.0</v>
      </c>
      <c r="L50" s="26">
        <v>116.8</v>
      </c>
      <c r="M50" s="26">
        <v>115.9</v>
      </c>
      <c r="N50" s="26">
        <v>117.7</v>
      </c>
      <c r="O50" s="26">
        <v>-2.02</v>
      </c>
      <c r="P50" s="26">
        <v>70.0</v>
      </c>
      <c r="Q50" s="26"/>
      <c r="R50" s="26">
        <v>21.0</v>
      </c>
      <c r="S50" s="26">
        <v>116.4</v>
      </c>
      <c r="T50" s="26">
        <v>115.5</v>
      </c>
      <c r="U50" s="26">
        <v>117.2</v>
      </c>
      <c r="V50" s="26">
        <v>-3.5</v>
      </c>
      <c r="W50" s="26">
        <v>47.0</v>
      </c>
      <c r="X50" s="26"/>
      <c r="Y50" s="26"/>
      <c r="Z50" s="26">
        <v>21.0</v>
      </c>
      <c r="AA50" s="26">
        <v>110.4</v>
      </c>
      <c r="AB50" s="26">
        <v>107.0</v>
      </c>
      <c r="AC50" s="26">
        <v>113.7</v>
      </c>
      <c r="AD50" s="26">
        <v>-3.72</v>
      </c>
      <c r="AE50" s="26">
        <v>44.0</v>
      </c>
      <c r="AF50" s="26"/>
      <c r="AG50" s="26"/>
      <c r="AH50" s="26"/>
      <c r="AI50" s="26">
        <v>20.0</v>
      </c>
      <c r="AJ50" s="26">
        <v>128.1</v>
      </c>
      <c r="AK50" s="26">
        <v>126.1</v>
      </c>
      <c r="AL50" s="26">
        <v>130.0</v>
      </c>
      <c r="AM50" s="26">
        <v>-3.12</v>
      </c>
      <c r="AN50" s="26">
        <v>53.0</v>
      </c>
      <c r="AO50" s="26"/>
      <c r="AP50" s="26"/>
      <c r="AQ50" s="26"/>
      <c r="AR50" s="26"/>
      <c r="AS50" s="26">
        <v>21.0</v>
      </c>
      <c r="AT50" s="26">
        <v>133.3</v>
      </c>
      <c r="AU50" s="26">
        <v>132.1</v>
      </c>
      <c r="AV50" s="26">
        <v>134.5</v>
      </c>
      <c r="AW50" s="26">
        <v>-1.21</v>
      </c>
      <c r="AX50" s="26">
        <v>82.0</v>
      </c>
      <c r="AY50" s="26"/>
      <c r="AZ50" s="26"/>
      <c r="BA50" s="26">
        <v>21.0</v>
      </c>
      <c r="BB50" s="26">
        <v>97.8</v>
      </c>
      <c r="BC50" s="26">
        <v>97.1</v>
      </c>
      <c r="BD50" s="26">
        <v>98.6</v>
      </c>
      <c r="BE50" s="26">
        <v>-4.58</v>
      </c>
      <c r="BF50" s="26">
        <v>31.0</v>
      </c>
      <c r="BG50" s="26"/>
      <c r="BH50" s="26"/>
      <c r="BI50" s="26"/>
      <c r="BJ50" s="26"/>
    </row>
    <row r="51" ht="15.75" customHeight="1">
      <c r="A51" s="25"/>
      <c r="B51" s="26"/>
      <c r="C51" s="26">
        <v>22.0</v>
      </c>
      <c r="D51" s="26">
        <v>110.3</v>
      </c>
      <c r="E51" s="26">
        <v>109.5</v>
      </c>
      <c r="F51" s="26">
        <v>111.1</v>
      </c>
      <c r="G51" s="26">
        <v>-3.89</v>
      </c>
      <c r="H51" s="26">
        <v>42.0</v>
      </c>
      <c r="I51" s="26"/>
      <c r="J51" s="26"/>
      <c r="K51" s="26">
        <v>22.0</v>
      </c>
      <c r="L51" s="26">
        <v>117.1</v>
      </c>
      <c r="M51" s="26">
        <v>116.2</v>
      </c>
      <c r="N51" s="26">
        <v>118.0</v>
      </c>
      <c r="O51" s="26">
        <v>-1.96</v>
      </c>
      <c r="P51" s="26">
        <v>71.0</v>
      </c>
      <c r="Q51" s="26"/>
      <c r="R51" s="26">
        <v>22.0</v>
      </c>
      <c r="S51" s="26">
        <v>116.6</v>
      </c>
      <c r="T51" s="26">
        <v>115.8</v>
      </c>
      <c r="U51" s="26">
        <v>117.5</v>
      </c>
      <c r="V51" s="26">
        <v>-3.45</v>
      </c>
      <c r="W51" s="26">
        <v>48.0</v>
      </c>
      <c r="X51" s="26"/>
      <c r="Y51" s="26"/>
      <c r="Z51" s="26">
        <v>22.0</v>
      </c>
      <c r="AA51" s="26">
        <v>110.9</v>
      </c>
      <c r="AB51" s="26">
        <v>107.6</v>
      </c>
      <c r="AC51" s="26">
        <v>114.2</v>
      </c>
      <c r="AD51" s="26">
        <v>-3.67</v>
      </c>
      <c r="AE51" s="26">
        <v>45.0</v>
      </c>
      <c r="AF51" s="26"/>
      <c r="AG51" s="26"/>
      <c r="AH51" s="26"/>
      <c r="AI51" s="26">
        <v>21.0</v>
      </c>
      <c r="AJ51" s="26">
        <v>129.4</v>
      </c>
      <c r="AK51" s="26">
        <v>127.5</v>
      </c>
      <c r="AL51" s="26">
        <v>131.3</v>
      </c>
      <c r="AM51" s="26">
        <v>-2.91</v>
      </c>
      <c r="AN51" s="26">
        <v>56.0</v>
      </c>
      <c r="AO51" s="26"/>
      <c r="AP51" s="26"/>
      <c r="AQ51" s="26"/>
      <c r="AR51" s="26"/>
      <c r="AS51" s="26">
        <v>22.0</v>
      </c>
      <c r="AT51" s="26">
        <v>133.8</v>
      </c>
      <c r="AU51" s="26">
        <v>132.6</v>
      </c>
      <c r="AV51" s="26">
        <v>135.0</v>
      </c>
      <c r="AW51" s="26">
        <v>-1.11</v>
      </c>
      <c r="AX51" s="26">
        <v>83.0</v>
      </c>
      <c r="AY51" s="26"/>
      <c r="AZ51" s="26"/>
      <c r="BA51" s="26">
        <v>22.0</v>
      </c>
      <c r="BB51" s="26">
        <v>98.0</v>
      </c>
      <c r="BC51" s="26">
        <v>97.3</v>
      </c>
      <c r="BD51" s="26">
        <v>98.7</v>
      </c>
      <c r="BE51" s="26">
        <v>-4.52</v>
      </c>
      <c r="BF51" s="26">
        <v>32.0</v>
      </c>
      <c r="BG51" s="26"/>
      <c r="BH51" s="26"/>
      <c r="BI51" s="26"/>
      <c r="BJ51" s="26"/>
    </row>
    <row r="52" ht="15.75" customHeight="1">
      <c r="A52" s="25"/>
      <c r="B52" s="26"/>
      <c r="C52" s="26">
        <v>23.0</v>
      </c>
      <c r="D52" s="26">
        <v>110.5</v>
      </c>
      <c r="E52" s="26">
        <v>109.7</v>
      </c>
      <c r="F52" s="26">
        <v>111.3</v>
      </c>
      <c r="G52" s="26">
        <v>-3.85</v>
      </c>
      <c r="H52" s="26">
        <v>42.0</v>
      </c>
      <c r="I52" s="26"/>
      <c r="J52" s="26"/>
      <c r="K52" s="26">
        <v>23.0</v>
      </c>
      <c r="L52" s="26">
        <v>117.4</v>
      </c>
      <c r="M52" s="26">
        <v>116.5</v>
      </c>
      <c r="N52" s="26">
        <v>118.2</v>
      </c>
      <c r="O52" s="26">
        <v>-1.91</v>
      </c>
      <c r="P52" s="26">
        <v>71.0</v>
      </c>
      <c r="Q52" s="26"/>
      <c r="R52" s="26">
        <v>23.0</v>
      </c>
      <c r="S52" s="26">
        <v>116.9</v>
      </c>
      <c r="T52" s="26">
        <v>116.1</v>
      </c>
      <c r="U52" s="26">
        <v>117.7</v>
      </c>
      <c r="V52" s="26">
        <v>-3.4</v>
      </c>
      <c r="W52" s="26">
        <v>49.0</v>
      </c>
      <c r="X52" s="26"/>
      <c r="Y52" s="26"/>
      <c r="Z52" s="26">
        <v>23.0</v>
      </c>
      <c r="AA52" s="26">
        <v>111.4</v>
      </c>
      <c r="AB52" s="26">
        <v>108.1</v>
      </c>
      <c r="AC52" s="26">
        <v>114.7</v>
      </c>
      <c r="AD52" s="26">
        <v>-3.62</v>
      </c>
      <c r="AE52" s="26">
        <v>46.0</v>
      </c>
      <c r="AF52" s="26"/>
      <c r="AG52" s="26"/>
      <c r="AH52" s="26"/>
      <c r="AI52" s="26">
        <v>22.0</v>
      </c>
      <c r="AJ52" s="26">
        <v>130.7</v>
      </c>
      <c r="AK52" s="26">
        <v>128.7</v>
      </c>
      <c r="AL52" s="26">
        <v>132.7</v>
      </c>
      <c r="AM52" s="26">
        <v>-2.69</v>
      </c>
      <c r="AN52" s="26">
        <v>60.0</v>
      </c>
      <c r="AO52" s="26"/>
      <c r="AP52" s="26"/>
      <c r="AQ52" s="26"/>
      <c r="AR52" s="26"/>
      <c r="AS52" s="26">
        <v>23.0</v>
      </c>
      <c r="AT52" s="26">
        <v>134.3</v>
      </c>
      <c r="AU52" s="26">
        <v>133.1</v>
      </c>
      <c r="AV52" s="26">
        <v>135.4</v>
      </c>
      <c r="AW52" s="26">
        <v>-1.01</v>
      </c>
      <c r="AX52" s="26">
        <v>85.0</v>
      </c>
      <c r="AY52" s="26"/>
      <c r="AZ52" s="26"/>
      <c r="BA52" s="26">
        <v>23.0</v>
      </c>
      <c r="BB52" s="26">
        <v>98.2</v>
      </c>
      <c r="BC52" s="26">
        <v>97.5</v>
      </c>
      <c r="BD52" s="26">
        <v>98.9</v>
      </c>
      <c r="BE52" s="26">
        <v>-4.46</v>
      </c>
      <c r="BF52" s="26">
        <v>33.0</v>
      </c>
      <c r="BG52" s="26"/>
      <c r="BH52" s="26"/>
      <c r="BI52" s="26"/>
      <c r="BJ52" s="26"/>
    </row>
    <row r="53" ht="15.75" customHeight="1">
      <c r="A53" s="25"/>
      <c r="B53" s="26"/>
      <c r="C53" s="26">
        <v>24.0</v>
      </c>
      <c r="D53" s="26">
        <v>110.7</v>
      </c>
      <c r="E53" s="26">
        <v>110.0</v>
      </c>
      <c r="F53" s="26">
        <v>111.5</v>
      </c>
      <c r="G53" s="26">
        <v>-3.81</v>
      </c>
      <c r="H53" s="26">
        <v>43.0</v>
      </c>
      <c r="I53" s="26"/>
      <c r="J53" s="26"/>
      <c r="K53" s="26">
        <v>24.0</v>
      </c>
      <c r="L53" s="26">
        <v>117.6</v>
      </c>
      <c r="M53" s="26">
        <v>116.8</v>
      </c>
      <c r="N53" s="26">
        <v>118.4</v>
      </c>
      <c r="O53" s="26">
        <v>-1.86</v>
      </c>
      <c r="P53" s="26">
        <v>72.0</v>
      </c>
      <c r="Q53" s="26"/>
      <c r="R53" s="26">
        <v>24.0</v>
      </c>
      <c r="S53" s="26">
        <v>117.2</v>
      </c>
      <c r="T53" s="26">
        <v>116.3</v>
      </c>
      <c r="U53" s="26">
        <v>118.0</v>
      </c>
      <c r="V53" s="26">
        <v>-3.34</v>
      </c>
      <c r="W53" s="26">
        <v>50.0</v>
      </c>
      <c r="X53" s="26"/>
      <c r="Y53" s="26"/>
      <c r="Z53" s="26">
        <v>24.0</v>
      </c>
      <c r="AA53" s="26">
        <v>111.9</v>
      </c>
      <c r="AB53" s="26">
        <v>108.6</v>
      </c>
      <c r="AC53" s="26">
        <v>115.2</v>
      </c>
      <c r="AD53" s="26">
        <v>-3.57</v>
      </c>
      <c r="AE53" s="26">
        <v>46.0</v>
      </c>
      <c r="AF53" s="26"/>
      <c r="AG53" s="26"/>
      <c r="AH53" s="26"/>
      <c r="AI53" s="26">
        <v>23.0</v>
      </c>
      <c r="AJ53" s="26">
        <v>132.3</v>
      </c>
      <c r="AK53" s="26">
        <v>130.1</v>
      </c>
      <c r="AL53" s="26">
        <v>134.5</v>
      </c>
      <c r="AM53" s="26">
        <v>-2.43</v>
      </c>
      <c r="AN53" s="26">
        <v>63.0</v>
      </c>
      <c r="AO53" s="26"/>
      <c r="AP53" s="26"/>
      <c r="AQ53" s="26"/>
      <c r="AR53" s="26"/>
      <c r="AS53" s="26">
        <v>24.0</v>
      </c>
      <c r="AT53" s="26">
        <v>134.8</v>
      </c>
      <c r="AU53" s="26">
        <v>133.6</v>
      </c>
      <c r="AV53" s="26">
        <v>136.0</v>
      </c>
      <c r="AW53" s="26">
        <v>-0.92</v>
      </c>
      <c r="AX53" s="26">
        <v>86.0</v>
      </c>
      <c r="AY53" s="26"/>
      <c r="AZ53" s="26"/>
      <c r="BA53" s="26">
        <v>24.0</v>
      </c>
      <c r="BB53" s="26">
        <v>98.4</v>
      </c>
      <c r="BC53" s="26">
        <v>97.7</v>
      </c>
      <c r="BD53" s="26">
        <v>99.0</v>
      </c>
      <c r="BE53" s="26">
        <v>-4.41</v>
      </c>
      <c r="BF53" s="26">
        <v>34.0</v>
      </c>
      <c r="BG53" s="26"/>
      <c r="BH53" s="26"/>
      <c r="BI53" s="26"/>
      <c r="BJ53" s="26"/>
    </row>
    <row r="54" ht="15.75" customHeight="1">
      <c r="A54" s="25"/>
      <c r="B54" s="26"/>
      <c r="C54" s="26">
        <v>25.0</v>
      </c>
      <c r="D54" s="26">
        <v>111.0</v>
      </c>
      <c r="E54" s="26">
        <v>110.2</v>
      </c>
      <c r="F54" s="26">
        <v>111.7</v>
      </c>
      <c r="G54" s="26">
        <v>-3.78</v>
      </c>
      <c r="H54" s="26">
        <v>43.0</v>
      </c>
      <c r="I54" s="26"/>
      <c r="J54" s="26"/>
      <c r="K54" s="26">
        <v>25.0</v>
      </c>
      <c r="L54" s="26">
        <v>117.9</v>
      </c>
      <c r="M54" s="26">
        <v>117.1</v>
      </c>
      <c r="N54" s="26">
        <v>118.7</v>
      </c>
      <c r="O54" s="26">
        <v>-1.81</v>
      </c>
      <c r="P54" s="26">
        <v>73.0</v>
      </c>
      <c r="Q54" s="26"/>
      <c r="R54" s="26">
        <v>25.0</v>
      </c>
      <c r="S54" s="26">
        <v>117.4</v>
      </c>
      <c r="T54" s="26">
        <v>116.6</v>
      </c>
      <c r="U54" s="26">
        <v>118.3</v>
      </c>
      <c r="V54" s="26">
        <v>-3.29</v>
      </c>
      <c r="W54" s="26">
        <v>51.0</v>
      </c>
      <c r="X54" s="26"/>
      <c r="Y54" s="26"/>
      <c r="Z54" s="26">
        <v>25.0</v>
      </c>
      <c r="AA54" s="26">
        <v>112.4</v>
      </c>
      <c r="AB54" s="26">
        <v>109.1</v>
      </c>
      <c r="AC54" s="26">
        <v>115.7</v>
      </c>
      <c r="AD54" s="26">
        <v>-3.52</v>
      </c>
      <c r="AE54" s="26">
        <v>47.0</v>
      </c>
      <c r="AF54" s="26"/>
      <c r="AG54" s="26"/>
      <c r="AH54" s="26"/>
      <c r="AI54" s="26">
        <v>24.0</v>
      </c>
      <c r="AJ54" s="26">
        <v>134.0</v>
      </c>
      <c r="AK54" s="26">
        <v>132.0</v>
      </c>
      <c r="AL54" s="26">
        <v>136.0</v>
      </c>
      <c r="AM54" s="26">
        <v>-2.16</v>
      </c>
      <c r="AN54" s="26">
        <v>68.0</v>
      </c>
      <c r="AO54" s="26"/>
      <c r="AP54" s="26"/>
      <c r="AQ54" s="26"/>
      <c r="AR54" s="26"/>
      <c r="AS54" s="26">
        <v>25.0</v>
      </c>
      <c r="AT54" s="26">
        <v>135.3</v>
      </c>
      <c r="AU54" s="26">
        <v>134.1</v>
      </c>
      <c r="AV54" s="26">
        <v>136.5</v>
      </c>
      <c r="AW54" s="26">
        <v>-0.82</v>
      </c>
      <c r="AX54" s="26">
        <v>88.0</v>
      </c>
      <c r="AY54" s="26"/>
      <c r="AZ54" s="26"/>
      <c r="BA54" s="26">
        <v>25.0</v>
      </c>
      <c r="BB54" s="26">
        <v>98.5</v>
      </c>
      <c r="BC54" s="26">
        <v>97.9</v>
      </c>
      <c r="BD54" s="26">
        <v>99.1</v>
      </c>
      <c r="BE54" s="26">
        <v>-4.36</v>
      </c>
      <c r="BF54" s="26">
        <v>35.0</v>
      </c>
      <c r="BG54" s="26"/>
      <c r="BH54" s="26"/>
      <c r="BI54" s="26"/>
      <c r="BJ54" s="26"/>
    </row>
    <row r="55" ht="15.75" customHeight="1">
      <c r="A55" s="25"/>
      <c r="B55" s="26"/>
      <c r="C55" s="26">
        <v>26.0</v>
      </c>
      <c r="D55" s="26">
        <v>111.2</v>
      </c>
      <c r="E55" s="26">
        <v>110.4</v>
      </c>
      <c r="F55" s="26">
        <v>112.0</v>
      </c>
      <c r="G55" s="26">
        <v>-3.74</v>
      </c>
      <c r="H55" s="26">
        <v>44.0</v>
      </c>
      <c r="I55" s="26"/>
      <c r="J55" s="26"/>
      <c r="K55" s="26">
        <v>26.0</v>
      </c>
      <c r="L55" s="26">
        <v>118.1</v>
      </c>
      <c r="M55" s="26">
        <v>117.3</v>
      </c>
      <c r="N55" s="26">
        <v>118.8</v>
      </c>
      <c r="O55" s="26">
        <v>-1.77</v>
      </c>
      <c r="P55" s="26">
        <v>73.0</v>
      </c>
      <c r="Q55" s="26"/>
      <c r="R55" s="26">
        <v>26.0</v>
      </c>
      <c r="S55" s="26">
        <v>117.7</v>
      </c>
      <c r="T55" s="26">
        <v>116.8</v>
      </c>
      <c r="U55" s="26">
        <v>118.6</v>
      </c>
      <c r="V55" s="26">
        <v>-3.23</v>
      </c>
      <c r="W55" s="26">
        <v>52.0</v>
      </c>
      <c r="X55" s="26"/>
      <c r="Y55" s="26"/>
      <c r="Z55" s="26">
        <v>26.0</v>
      </c>
      <c r="AA55" s="26">
        <v>112.9</v>
      </c>
      <c r="AB55" s="26">
        <v>109.6</v>
      </c>
      <c r="AC55" s="26">
        <v>116.2</v>
      </c>
      <c r="AD55" s="26">
        <v>-3.47</v>
      </c>
      <c r="AE55" s="26">
        <v>48.0</v>
      </c>
      <c r="AF55" s="26"/>
      <c r="AG55" s="26"/>
      <c r="AH55" s="26"/>
      <c r="AI55" s="26">
        <v>25.0</v>
      </c>
      <c r="AJ55" s="26">
        <v>135.2</v>
      </c>
      <c r="AK55" s="26">
        <v>133.6</v>
      </c>
      <c r="AL55" s="26">
        <v>136.8</v>
      </c>
      <c r="AM55" s="26">
        <v>-1.96</v>
      </c>
      <c r="AN55" s="26">
        <v>71.0</v>
      </c>
      <c r="AO55" s="26"/>
      <c r="AP55" s="26"/>
      <c r="AQ55" s="26"/>
      <c r="AR55" s="26"/>
      <c r="AS55" s="26">
        <v>26.0</v>
      </c>
      <c r="AT55" s="26">
        <v>135.9</v>
      </c>
      <c r="AU55" s="26">
        <v>134.6</v>
      </c>
      <c r="AV55" s="26">
        <v>137.1</v>
      </c>
      <c r="AW55" s="26">
        <v>-0.71</v>
      </c>
      <c r="AX55" s="26">
        <v>89.0</v>
      </c>
      <c r="AY55" s="26"/>
      <c r="AZ55" s="26"/>
      <c r="BA55" s="26">
        <v>26.0</v>
      </c>
      <c r="BB55" s="26">
        <v>98.6</v>
      </c>
      <c r="BC55" s="26">
        <v>98.0</v>
      </c>
      <c r="BD55" s="26">
        <v>99.3</v>
      </c>
      <c r="BE55" s="26">
        <v>-4.32</v>
      </c>
      <c r="BF55" s="26">
        <v>35.0</v>
      </c>
      <c r="BG55" s="26"/>
      <c r="BH55" s="26"/>
      <c r="BI55" s="26"/>
      <c r="BJ55" s="26"/>
    </row>
    <row r="56" ht="15.75" customHeight="1">
      <c r="A56" s="25"/>
      <c r="B56" s="26"/>
      <c r="C56" s="26">
        <v>27.0</v>
      </c>
      <c r="D56" s="26">
        <v>111.4</v>
      </c>
      <c r="E56" s="26">
        <v>110.6</v>
      </c>
      <c r="F56" s="26">
        <v>112.2</v>
      </c>
      <c r="G56" s="26">
        <v>-3.7</v>
      </c>
      <c r="H56" s="26">
        <v>44.0</v>
      </c>
      <c r="I56" s="26"/>
      <c r="J56" s="26"/>
      <c r="K56" s="26">
        <v>27.0</v>
      </c>
      <c r="L56" s="26">
        <v>118.3</v>
      </c>
      <c r="M56" s="26">
        <v>117.6</v>
      </c>
      <c r="N56" s="26">
        <v>119.0</v>
      </c>
      <c r="O56" s="26">
        <v>-1.73</v>
      </c>
      <c r="P56" s="26">
        <v>74.0</v>
      </c>
      <c r="Q56" s="26"/>
      <c r="R56" s="26">
        <v>27.0</v>
      </c>
      <c r="S56" s="26">
        <v>118.0</v>
      </c>
      <c r="T56" s="26">
        <v>117.1</v>
      </c>
      <c r="U56" s="26">
        <v>119.0</v>
      </c>
      <c r="V56" s="26">
        <v>-3.17</v>
      </c>
      <c r="W56" s="26">
        <v>52.0</v>
      </c>
      <c r="X56" s="26"/>
      <c r="Y56" s="26"/>
      <c r="Z56" s="26">
        <v>27.0</v>
      </c>
      <c r="AA56" s="26">
        <v>113.4</v>
      </c>
      <c r="AB56" s="26">
        <v>110.1</v>
      </c>
      <c r="AC56" s="26">
        <v>116.7</v>
      </c>
      <c r="AD56" s="26">
        <v>-3.42</v>
      </c>
      <c r="AE56" s="26">
        <v>49.0</v>
      </c>
      <c r="AF56" s="26"/>
      <c r="AG56" s="26"/>
      <c r="AH56" s="26"/>
      <c r="AI56" s="26">
        <v>26.0</v>
      </c>
      <c r="AJ56" s="26">
        <v>136.0</v>
      </c>
      <c r="AK56" s="26">
        <v>134.7</v>
      </c>
      <c r="AL56" s="26">
        <v>137.4</v>
      </c>
      <c r="AM56" s="26">
        <v>-1.83</v>
      </c>
      <c r="AN56" s="26">
        <v>73.0</v>
      </c>
      <c r="AO56" s="26"/>
      <c r="AP56" s="26"/>
      <c r="AQ56" s="26"/>
      <c r="AR56" s="26"/>
      <c r="AS56" s="26">
        <v>27.0</v>
      </c>
      <c r="AT56" s="26">
        <v>136.5</v>
      </c>
      <c r="AU56" s="26">
        <v>135.1</v>
      </c>
      <c r="AV56" s="26">
        <v>137.8</v>
      </c>
      <c r="AW56" s="26">
        <v>-0.58</v>
      </c>
      <c r="AX56" s="26">
        <v>91.0</v>
      </c>
      <c r="AY56" s="26"/>
      <c r="AZ56" s="26"/>
      <c r="BA56" s="26">
        <v>27.0</v>
      </c>
      <c r="BB56" s="26">
        <v>98.8</v>
      </c>
      <c r="BC56" s="26">
        <v>98.2</v>
      </c>
      <c r="BD56" s="26">
        <v>99.4</v>
      </c>
      <c r="BE56" s="26">
        <v>-4.28</v>
      </c>
      <c r="BF56" s="26">
        <v>36.0</v>
      </c>
      <c r="BG56" s="26"/>
      <c r="BH56" s="26"/>
      <c r="BI56" s="26"/>
      <c r="BJ56" s="26"/>
    </row>
    <row r="57" ht="15.75" customHeight="1">
      <c r="A57" s="25"/>
      <c r="B57" s="26"/>
      <c r="C57" s="26">
        <v>28.0</v>
      </c>
      <c r="D57" s="26">
        <v>111.7</v>
      </c>
      <c r="E57" s="26">
        <v>110.8</v>
      </c>
      <c r="F57" s="26">
        <v>112.5</v>
      </c>
      <c r="G57" s="26">
        <v>-3.66</v>
      </c>
      <c r="H57" s="26">
        <v>45.0</v>
      </c>
      <c r="I57" s="26"/>
      <c r="J57" s="26"/>
      <c r="K57" s="26">
        <v>28.0</v>
      </c>
      <c r="L57" s="26">
        <v>118.5</v>
      </c>
      <c r="M57" s="26">
        <v>117.8</v>
      </c>
      <c r="N57" s="26">
        <v>119.2</v>
      </c>
      <c r="O57" s="26">
        <v>-1.69</v>
      </c>
      <c r="P57" s="26">
        <v>75.0</v>
      </c>
      <c r="Q57" s="26"/>
      <c r="R57" s="26">
        <v>28.0</v>
      </c>
      <c r="S57" s="26">
        <v>118.4</v>
      </c>
      <c r="T57" s="26">
        <v>117.4</v>
      </c>
      <c r="U57" s="26">
        <v>119.3</v>
      </c>
      <c r="V57" s="26">
        <v>-3.11</v>
      </c>
      <c r="W57" s="26">
        <v>53.0</v>
      </c>
      <c r="X57" s="26"/>
      <c r="Y57" s="26"/>
      <c r="Z57" s="26">
        <v>28.0</v>
      </c>
      <c r="AA57" s="26">
        <v>113.9</v>
      </c>
      <c r="AB57" s="26">
        <v>110.6</v>
      </c>
      <c r="AC57" s="26">
        <v>117.2</v>
      </c>
      <c r="AD57" s="26">
        <v>-3.37</v>
      </c>
      <c r="AE57" s="26">
        <v>49.0</v>
      </c>
      <c r="AF57" s="26"/>
      <c r="AG57" s="26"/>
      <c r="AH57" s="26"/>
      <c r="AI57" s="26">
        <v>27.0</v>
      </c>
      <c r="AJ57" s="26">
        <v>136.7</v>
      </c>
      <c r="AK57" s="26">
        <v>135.4</v>
      </c>
      <c r="AL57" s="26">
        <v>137.9</v>
      </c>
      <c r="AM57" s="26">
        <v>-1.73</v>
      </c>
      <c r="AN57" s="26">
        <v>74.0</v>
      </c>
      <c r="AO57" s="26"/>
      <c r="AP57" s="26"/>
      <c r="AQ57" s="26"/>
      <c r="AR57" s="26"/>
      <c r="AS57" s="26">
        <v>28.0</v>
      </c>
      <c r="AT57" s="26">
        <v>137.2</v>
      </c>
      <c r="AU57" s="26">
        <v>135.8</v>
      </c>
      <c r="AV57" s="26">
        <v>138.6</v>
      </c>
      <c r="AW57" s="26">
        <v>-0.44</v>
      </c>
      <c r="AX57" s="26">
        <v>93.0</v>
      </c>
      <c r="AY57" s="26"/>
      <c r="AZ57" s="26"/>
      <c r="BA57" s="26">
        <v>28.0</v>
      </c>
      <c r="BB57" s="26">
        <v>98.9</v>
      </c>
      <c r="BC57" s="26">
        <v>98.3</v>
      </c>
      <c r="BD57" s="26">
        <v>99.5</v>
      </c>
      <c r="BE57" s="26">
        <v>-4.23</v>
      </c>
      <c r="BF57" s="26">
        <v>37.0</v>
      </c>
      <c r="BG57" s="26"/>
      <c r="BH57" s="26"/>
      <c r="BI57" s="26"/>
      <c r="BJ57" s="26"/>
    </row>
    <row r="58" ht="15.75" customHeight="1">
      <c r="A58" s="25"/>
      <c r="B58" s="26"/>
      <c r="C58" s="26">
        <v>29.0</v>
      </c>
      <c r="D58" s="26">
        <v>112.0</v>
      </c>
      <c r="E58" s="26">
        <v>111.0</v>
      </c>
      <c r="F58" s="26">
        <v>112.9</v>
      </c>
      <c r="G58" s="26">
        <v>-3.61</v>
      </c>
      <c r="H58" s="26">
        <v>46.0</v>
      </c>
      <c r="I58" s="26"/>
      <c r="J58" s="26"/>
      <c r="K58" s="26">
        <v>29.0</v>
      </c>
      <c r="L58" s="26">
        <v>118.6</v>
      </c>
      <c r="M58" s="26">
        <v>118.0</v>
      </c>
      <c r="N58" s="26">
        <v>119.3</v>
      </c>
      <c r="O58" s="26">
        <v>-1.66</v>
      </c>
      <c r="P58" s="26">
        <v>75.0</v>
      </c>
      <c r="Q58" s="26"/>
      <c r="R58" s="26">
        <v>29.0</v>
      </c>
      <c r="S58" s="26">
        <v>118.7</v>
      </c>
      <c r="T58" s="26">
        <v>117.7</v>
      </c>
      <c r="U58" s="26">
        <v>119.7</v>
      </c>
      <c r="V58" s="26">
        <v>-3.04</v>
      </c>
      <c r="W58" s="26">
        <v>54.0</v>
      </c>
      <c r="X58" s="26"/>
      <c r="Y58" s="26"/>
      <c r="Z58" s="26">
        <v>29.0</v>
      </c>
      <c r="AA58" s="26">
        <v>114.4</v>
      </c>
      <c r="AB58" s="26">
        <v>111.1</v>
      </c>
      <c r="AC58" s="26">
        <v>117.7</v>
      </c>
      <c r="AD58" s="26">
        <v>-3.32</v>
      </c>
      <c r="AE58" s="26">
        <v>50.0</v>
      </c>
      <c r="AF58" s="26"/>
      <c r="AG58" s="26"/>
      <c r="AH58" s="26"/>
      <c r="AI58" s="26">
        <v>28.0</v>
      </c>
      <c r="AJ58" s="26">
        <v>137.2</v>
      </c>
      <c r="AK58" s="26">
        <v>136.0</v>
      </c>
      <c r="AL58" s="26">
        <v>138.3</v>
      </c>
      <c r="AM58" s="26">
        <v>-1.65</v>
      </c>
      <c r="AN58" s="26">
        <v>75.0</v>
      </c>
      <c r="AO58" s="26"/>
      <c r="AP58" s="26"/>
      <c r="AQ58" s="26"/>
      <c r="AR58" s="26"/>
      <c r="AS58" s="26">
        <v>29.0</v>
      </c>
      <c r="AT58" s="26">
        <v>138.0</v>
      </c>
      <c r="AU58" s="26">
        <v>136.5</v>
      </c>
      <c r="AV58" s="26">
        <v>139.4</v>
      </c>
      <c r="AW58" s="26">
        <v>-0.29</v>
      </c>
      <c r="AX58" s="26">
        <v>96.0</v>
      </c>
      <c r="AY58" s="26"/>
      <c r="AZ58" s="26"/>
      <c r="BA58" s="26">
        <v>29.0</v>
      </c>
      <c r="BB58" s="26">
        <v>99.1</v>
      </c>
      <c r="BC58" s="26">
        <v>98.4</v>
      </c>
      <c r="BD58" s="26">
        <v>99.7</v>
      </c>
      <c r="BE58" s="26">
        <v>-4.18</v>
      </c>
      <c r="BF58" s="26">
        <v>37.0</v>
      </c>
      <c r="BG58" s="26"/>
      <c r="BH58" s="26"/>
      <c r="BI58" s="26"/>
      <c r="BJ58" s="26"/>
    </row>
    <row r="59" ht="15.75" customHeight="1">
      <c r="A59" s="25"/>
      <c r="B59" s="26"/>
      <c r="C59" s="26">
        <v>30.0</v>
      </c>
      <c r="D59" s="26">
        <v>112.3</v>
      </c>
      <c r="E59" s="26">
        <v>111.3</v>
      </c>
      <c r="F59" s="26">
        <v>113.3</v>
      </c>
      <c r="G59" s="26">
        <v>-3.55</v>
      </c>
      <c r="H59" s="26">
        <v>47.0</v>
      </c>
      <c r="I59" s="26"/>
      <c r="J59" s="26"/>
      <c r="K59" s="26">
        <v>30.0</v>
      </c>
      <c r="L59" s="26">
        <v>118.8</v>
      </c>
      <c r="M59" s="26">
        <v>118.1</v>
      </c>
      <c r="N59" s="26">
        <v>119.5</v>
      </c>
      <c r="O59" s="26">
        <v>-1.63</v>
      </c>
      <c r="P59" s="26">
        <v>76.0</v>
      </c>
      <c r="Q59" s="26"/>
      <c r="R59" s="26">
        <v>30.0</v>
      </c>
      <c r="S59" s="26">
        <v>119.1</v>
      </c>
      <c r="T59" s="26">
        <v>118.1</v>
      </c>
      <c r="U59" s="26">
        <v>120.1</v>
      </c>
      <c r="V59" s="26">
        <v>-2.96</v>
      </c>
      <c r="W59" s="26">
        <v>56.0</v>
      </c>
      <c r="X59" s="26"/>
      <c r="Y59" s="26"/>
      <c r="Z59" s="26">
        <v>30.0</v>
      </c>
      <c r="AA59" s="26">
        <v>114.9</v>
      </c>
      <c r="AB59" s="26">
        <v>111.6</v>
      </c>
      <c r="AC59" s="26">
        <v>118.2</v>
      </c>
      <c r="AD59" s="26">
        <v>-3.27</v>
      </c>
      <c r="AE59" s="26">
        <v>51.0</v>
      </c>
      <c r="AF59" s="26"/>
      <c r="AG59" s="26"/>
      <c r="AH59" s="26"/>
      <c r="AI59" s="26">
        <v>29.0</v>
      </c>
      <c r="AJ59" s="26">
        <v>137.6</v>
      </c>
      <c r="AK59" s="26">
        <v>136.5</v>
      </c>
      <c r="AL59" s="26">
        <v>138.7</v>
      </c>
      <c r="AM59" s="26">
        <v>-1.58</v>
      </c>
      <c r="AN59" s="26">
        <v>76.0</v>
      </c>
      <c r="AO59" s="26"/>
      <c r="AP59" s="26"/>
      <c r="AQ59" s="26"/>
      <c r="AR59" s="26"/>
      <c r="AS59" s="26">
        <v>30.0</v>
      </c>
      <c r="AT59" s="26">
        <v>138.8</v>
      </c>
      <c r="AU59" s="26">
        <v>137.3</v>
      </c>
      <c r="AV59" s="26">
        <v>140.3</v>
      </c>
      <c r="AW59" s="26">
        <v>-0.13</v>
      </c>
      <c r="AX59" s="26">
        <v>98.0</v>
      </c>
      <c r="AY59" s="26"/>
      <c r="AZ59" s="26"/>
      <c r="BA59" s="26">
        <v>30.0</v>
      </c>
      <c r="BB59" s="26">
        <v>99.2</v>
      </c>
      <c r="BC59" s="26">
        <v>98.6</v>
      </c>
      <c r="BD59" s="26">
        <v>99.9</v>
      </c>
      <c r="BE59" s="26">
        <v>-4.14</v>
      </c>
      <c r="BF59" s="26">
        <v>38.0</v>
      </c>
      <c r="BG59" s="26"/>
      <c r="BH59" s="26"/>
      <c r="BI59" s="26"/>
      <c r="BJ59" s="26"/>
    </row>
    <row r="60" ht="15.75" customHeight="1">
      <c r="A60" s="25"/>
      <c r="B60" s="26"/>
      <c r="C60" s="26">
        <v>31.0</v>
      </c>
      <c r="D60" s="26">
        <v>112.7</v>
      </c>
      <c r="E60" s="26">
        <v>111.7</v>
      </c>
      <c r="F60" s="26">
        <v>113.6</v>
      </c>
      <c r="G60" s="26">
        <v>-3.49</v>
      </c>
      <c r="H60" s="26">
        <v>48.0</v>
      </c>
      <c r="I60" s="26"/>
      <c r="J60" s="26"/>
      <c r="K60" s="26">
        <v>31.0</v>
      </c>
      <c r="L60" s="26">
        <v>119.0</v>
      </c>
      <c r="M60" s="26">
        <v>118.3</v>
      </c>
      <c r="N60" s="26">
        <v>119.6</v>
      </c>
      <c r="O60" s="26">
        <v>-1.59</v>
      </c>
      <c r="P60" s="26">
        <v>76.0</v>
      </c>
      <c r="Q60" s="26"/>
      <c r="R60" s="26">
        <v>31.0</v>
      </c>
      <c r="S60" s="26">
        <v>119.5</v>
      </c>
      <c r="T60" s="26">
        <v>118.4</v>
      </c>
      <c r="U60" s="26">
        <v>120.6</v>
      </c>
      <c r="V60" s="26">
        <v>-2.88</v>
      </c>
      <c r="W60" s="26">
        <v>57.0</v>
      </c>
      <c r="X60" s="26"/>
      <c r="Y60" s="26"/>
      <c r="Z60" s="26">
        <v>31.0</v>
      </c>
      <c r="AA60" s="26">
        <v>115.4</v>
      </c>
      <c r="AB60" s="26">
        <v>112.1</v>
      </c>
      <c r="AC60" s="26">
        <v>118.7</v>
      </c>
      <c r="AD60" s="26">
        <v>-3.22</v>
      </c>
      <c r="AE60" s="26">
        <v>52.0</v>
      </c>
      <c r="AF60" s="26"/>
      <c r="AG60" s="26"/>
      <c r="AH60" s="26"/>
      <c r="AI60" s="26">
        <v>30.0</v>
      </c>
      <c r="AJ60" s="26">
        <v>138.1</v>
      </c>
      <c r="AK60" s="26">
        <v>137.0</v>
      </c>
      <c r="AL60" s="26">
        <v>139.1</v>
      </c>
      <c r="AM60" s="26">
        <v>-1.51</v>
      </c>
      <c r="AN60" s="26">
        <v>77.0</v>
      </c>
      <c r="AO60" s="26"/>
      <c r="AP60" s="26"/>
      <c r="AQ60" s="26"/>
      <c r="AR60" s="26"/>
      <c r="AS60" s="26">
        <v>31.0</v>
      </c>
      <c r="AT60" s="26">
        <v>139.7</v>
      </c>
      <c r="AU60" s="26">
        <v>138.1</v>
      </c>
      <c r="AV60" s="26">
        <v>141.3</v>
      </c>
      <c r="AW60" s="26">
        <v>0.04</v>
      </c>
      <c r="AX60" s="26">
        <v>101.0</v>
      </c>
      <c r="AY60" s="26"/>
      <c r="AZ60" s="26"/>
      <c r="BA60" s="26">
        <v>31.0</v>
      </c>
      <c r="BB60" s="26">
        <v>99.4</v>
      </c>
      <c r="BC60" s="26">
        <v>98.7</v>
      </c>
      <c r="BD60" s="26">
        <v>100.0</v>
      </c>
      <c r="BE60" s="26">
        <v>-4.09</v>
      </c>
      <c r="BF60" s="26">
        <v>39.0</v>
      </c>
      <c r="BG60" s="26"/>
      <c r="BH60" s="26"/>
      <c r="BI60" s="26"/>
      <c r="BJ60" s="26"/>
    </row>
    <row r="61" ht="15.75" customHeight="1">
      <c r="A61" s="25"/>
      <c r="B61" s="26"/>
      <c r="C61" s="26">
        <v>32.0</v>
      </c>
      <c r="D61" s="26">
        <v>113.0</v>
      </c>
      <c r="E61" s="26">
        <v>112.0</v>
      </c>
      <c r="F61" s="26">
        <v>114.0</v>
      </c>
      <c r="G61" s="26">
        <v>-3.43</v>
      </c>
      <c r="H61" s="26">
        <v>48.0</v>
      </c>
      <c r="I61" s="26"/>
      <c r="J61" s="26"/>
      <c r="K61" s="26">
        <v>32.0</v>
      </c>
      <c r="L61" s="26">
        <v>119.1</v>
      </c>
      <c r="M61" s="26">
        <v>118.5</v>
      </c>
      <c r="N61" s="26">
        <v>119.8</v>
      </c>
      <c r="O61" s="26">
        <v>-1.56</v>
      </c>
      <c r="P61" s="26">
        <v>77.0</v>
      </c>
      <c r="Q61" s="26"/>
      <c r="R61" s="26">
        <v>32.0</v>
      </c>
      <c r="S61" s="26">
        <v>119.9</v>
      </c>
      <c r="T61" s="26">
        <v>118.8</v>
      </c>
      <c r="U61" s="26">
        <v>121.0</v>
      </c>
      <c r="V61" s="26">
        <v>-2.79</v>
      </c>
      <c r="W61" s="26">
        <v>58.0</v>
      </c>
      <c r="X61" s="26"/>
      <c r="Y61" s="26"/>
      <c r="Z61" s="26">
        <v>32.0</v>
      </c>
      <c r="AA61" s="26">
        <v>115.9</v>
      </c>
      <c r="AB61" s="26">
        <v>112.6</v>
      </c>
      <c r="AC61" s="26">
        <v>119.2</v>
      </c>
      <c r="AD61" s="26">
        <v>-3.17</v>
      </c>
      <c r="AE61" s="26">
        <v>52.0</v>
      </c>
      <c r="AF61" s="26"/>
      <c r="AG61" s="26"/>
      <c r="AH61" s="26"/>
      <c r="AI61" s="26">
        <v>31.0</v>
      </c>
      <c r="AJ61" s="26">
        <v>138.5</v>
      </c>
      <c r="AK61" s="26">
        <v>137.4</v>
      </c>
      <c r="AL61" s="26">
        <v>139.5</v>
      </c>
      <c r="AM61" s="26">
        <v>-1.44</v>
      </c>
      <c r="AN61" s="26">
        <v>78.0</v>
      </c>
      <c r="AO61" s="26"/>
      <c r="AP61" s="26"/>
      <c r="AQ61" s="26"/>
      <c r="AR61" s="26"/>
      <c r="AS61" s="26">
        <v>32.0</v>
      </c>
      <c r="AT61" s="26">
        <v>140.8</v>
      </c>
      <c r="AU61" s="26">
        <v>138.9</v>
      </c>
      <c r="AV61" s="26">
        <v>142.7</v>
      </c>
      <c r="AW61" s="26">
        <v>0.26</v>
      </c>
      <c r="AX61" s="26">
        <v>104.0</v>
      </c>
      <c r="AY61" s="26"/>
      <c r="AZ61" s="26"/>
      <c r="BA61" s="26">
        <v>32.0</v>
      </c>
      <c r="BB61" s="26">
        <v>99.5</v>
      </c>
      <c r="BC61" s="26">
        <v>98.9</v>
      </c>
      <c r="BD61" s="26">
        <v>100.2</v>
      </c>
      <c r="BE61" s="26">
        <v>-4.04</v>
      </c>
      <c r="BF61" s="26">
        <v>39.0</v>
      </c>
      <c r="BG61" s="26"/>
      <c r="BH61" s="26"/>
      <c r="BI61" s="26"/>
      <c r="BJ61" s="26"/>
    </row>
    <row r="62" ht="15.75" customHeight="1">
      <c r="A62" s="25"/>
      <c r="B62" s="26"/>
      <c r="C62" s="26">
        <v>33.0</v>
      </c>
      <c r="D62" s="26">
        <v>113.3</v>
      </c>
      <c r="E62" s="26">
        <v>112.4</v>
      </c>
      <c r="F62" s="26">
        <v>114.3</v>
      </c>
      <c r="G62" s="26">
        <v>-3.38</v>
      </c>
      <c r="H62" s="26">
        <v>49.0</v>
      </c>
      <c r="I62" s="26"/>
      <c r="J62" s="26"/>
      <c r="K62" s="26">
        <v>33.0</v>
      </c>
      <c r="L62" s="26">
        <v>119.3</v>
      </c>
      <c r="M62" s="26">
        <v>118.6</v>
      </c>
      <c r="N62" s="26">
        <v>119.9</v>
      </c>
      <c r="O62" s="26">
        <v>-1.53</v>
      </c>
      <c r="P62" s="26">
        <v>77.0</v>
      </c>
      <c r="Q62" s="26"/>
      <c r="R62" s="26">
        <v>33.0</v>
      </c>
      <c r="S62" s="26">
        <v>120.4</v>
      </c>
      <c r="T62" s="26">
        <v>119.2</v>
      </c>
      <c r="U62" s="26">
        <v>121.6</v>
      </c>
      <c r="V62" s="26">
        <v>-2.7</v>
      </c>
      <c r="W62" s="26">
        <v>60.0</v>
      </c>
      <c r="X62" s="26"/>
      <c r="Y62" s="26"/>
      <c r="Z62" s="26">
        <v>33.0</v>
      </c>
      <c r="AA62" s="26">
        <v>116.4</v>
      </c>
      <c r="AB62" s="26">
        <v>113.1</v>
      </c>
      <c r="AC62" s="26">
        <v>119.7</v>
      </c>
      <c r="AD62" s="26">
        <v>-3.12</v>
      </c>
      <c r="AE62" s="26">
        <v>53.0</v>
      </c>
      <c r="AF62" s="26"/>
      <c r="AG62" s="26"/>
      <c r="AH62" s="26"/>
      <c r="AI62" s="26">
        <v>32.0</v>
      </c>
      <c r="AJ62" s="26">
        <v>138.9</v>
      </c>
      <c r="AK62" s="26">
        <v>137.8</v>
      </c>
      <c r="AL62" s="26">
        <v>140.0</v>
      </c>
      <c r="AM62" s="26">
        <v>-1.37</v>
      </c>
      <c r="AN62" s="26">
        <v>79.0</v>
      </c>
      <c r="AO62" s="26"/>
      <c r="AP62" s="26"/>
      <c r="AQ62" s="26"/>
      <c r="AR62" s="26"/>
      <c r="AS62" s="26">
        <v>33.0</v>
      </c>
      <c r="AT62" s="26">
        <v>142.2</v>
      </c>
      <c r="AU62" s="26">
        <v>140.2</v>
      </c>
      <c r="AV62" s="26">
        <v>144.3</v>
      </c>
      <c r="AW62" s="26">
        <v>0.54</v>
      </c>
      <c r="AX62" s="26">
        <v>108.0</v>
      </c>
      <c r="AY62" s="26"/>
      <c r="AZ62" s="26"/>
      <c r="BA62" s="26">
        <v>33.0</v>
      </c>
      <c r="BB62" s="26">
        <v>99.7</v>
      </c>
      <c r="BC62" s="26">
        <v>99.0</v>
      </c>
      <c r="BD62" s="26">
        <v>100.4</v>
      </c>
      <c r="BE62" s="26">
        <v>-3.98</v>
      </c>
      <c r="BF62" s="26">
        <v>40.0</v>
      </c>
      <c r="BG62" s="26"/>
      <c r="BH62" s="26"/>
      <c r="BI62" s="26"/>
      <c r="BJ62" s="26"/>
    </row>
    <row r="63" ht="15.75" customHeight="1">
      <c r="A63" s="25"/>
      <c r="B63" s="26"/>
      <c r="C63" s="26">
        <v>34.0</v>
      </c>
      <c r="D63" s="26">
        <v>113.7</v>
      </c>
      <c r="E63" s="26">
        <v>112.7</v>
      </c>
      <c r="F63" s="26">
        <v>114.7</v>
      </c>
      <c r="G63" s="26">
        <v>-3.31</v>
      </c>
      <c r="H63" s="26">
        <v>50.0</v>
      </c>
      <c r="I63" s="26"/>
      <c r="J63" s="26"/>
      <c r="K63" s="26">
        <v>34.0</v>
      </c>
      <c r="L63" s="26">
        <v>119.4</v>
      </c>
      <c r="M63" s="26">
        <v>118.8</v>
      </c>
      <c r="N63" s="26">
        <v>120.1</v>
      </c>
      <c r="O63" s="26">
        <v>-1.5</v>
      </c>
      <c r="P63" s="26">
        <v>77.0</v>
      </c>
      <c r="Q63" s="26"/>
      <c r="R63" s="26">
        <v>34.0</v>
      </c>
      <c r="S63" s="26">
        <v>121.0</v>
      </c>
      <c r="T63" s="26">
        <v>119.7</v>
      </c>
      <c r="U63" s="26">
        <v>122.2</v>
      </c>
      <c r="V63" s="26">
        <v>-2.58</v>
      </c>
      <c r="W63" s="26">
        <v>61.0</v>
      </c>
      <c r="X63" s="26"/>
      <c r="Y63" s="26"/>
      <c r="Z63" s="26">
        <v>34.0</v>
      </c>
      <c r="AA63" s="26">
        <v>116.9</v>
      </c>
      <c r="AB63" s="26">
        <v>113.6</v>
      </c>
      <c r="AC63" s="26">
        <v>120.2</v>
      </c>
      <c r="AD63" s="26">
        <v>-3.07</v>
      </c>
      <c r="AE63" s="26">
        <v>54.0</v>
      </c>
      <c r="AF63" s="26"/>
      <c r="AG63" s="26"/>
      <c r="AH63" s="26"/>
      <c r="AI63" s="26">
        <v>33.0</v>
      </c>
      <c r="AJ63" s="26">
        <v>139.3</v>
      </c>
      <c r="AK63" s="26">
        <v>138.2</v>
      </c>
      <c r="AL63" s="26">
        <v>140.4</v>
      </c>
      <c r="AM63" s="26">
        <v>-1.3</v>
      </c>
      <c r="AN63" s="26">
        <v>80.0</v>
      </c>
      <c r="AO63" s="26"/>
      <c r="AP63" s="26"/>
      <c r="AQ63" s="26"/>
      <c r="AR63" s="26"/>
      <c r="AS63" s="26">
        <v>34.0</v>
      </c>
      <c r="AT63" s="26">
        <v>143.8</v>
      </c>
      <c r="AU63" s="26">
        <v>141.6</v>
      </c>
      <c r="AV63" s="26">
        <v>146.0</v>
      </c>
      <c r="AW63" s="26">
        <v>0.85</v>
      </c>
      <c r="AX63" s="26">
        <v>113.0</v>
      </c>
      <c r="AY63" s="26"/>
      <c r="AZ63" s="26"/>
      <c r="BA63" s="26">
        <v>34.0</v>
      </c>
      <c r="BB63" s="26">
        <v>99.9</v>
      </c>
      <c r="BC63" s="26">
        <v>99.2</v>
      </c>
      <c r="BD63" s="26">
        <v>100.6</v>
      </c>
      <c r="BE63" s="26">
        <v>-3.93</v>
      </c>
      <c r="BF63" s="26">
        <v>41.0</v>
      </c>
      <c r="BG63" s="26"/>
      <c r="BH63" s="26"/>
      <c r="BI63" s="26"/>
      <c r="BJ63" s="26"/>
    </row>
    <row r="64" ht="15.75" customHeight="1">
      <c r="A64" s="25"/>
      <c r="B64" s="26"/>
      <c r="C64" s="26">
        <v>35.0</v>
      </c>
      <c r="D64" s="26">
        <v>114.2</v>
      </c>
      <c r="E64" s="26">
        <v>112.9</v>
      </c>
      <c r="F64" s="26">
        <v>115.5</v>
      </c>
      <c r="G64" s="26">
        <v>-3.24</v>
      </c>
      <c r="H64" s="26">
        <v>51.0</v>
      </c>
      <c r="I64" s="26"/>
      <c r="J64" s="26"/>
      <c r="K64" s="26">
        <v>35.0</v>
      </c>
      <c r="L64" s="26">
        <v>119.6</v>
      </c>
      <c r="M64" s="26">
        <v>118.9</v>
      </c>
      <c r="N64" s="26">
        <v>120.2</v>
      </c>
      <c r="O64" s="26">
        <v>-1.47</v>
      </c>
      <c r="P64" s="26">
        <v>78.0</v>
      </c>
      <c r="Q64" s="26"/>
      <c r="R64" s="26">
        <v>35.0</v>
      </c>
      <c r="S64" s="26">
        <v>121.6</v>
      </c>
      <c r="T64" s="26">
        <v>120.3</v>
      </c>
      <c r="U64" s="26">
        <v>122.9</v>
      </c>
      <c r="V64" s="26">
        <v>-2.46</v>
      </c>
      <c r="W64" s="26">
        <v>63.0</v>
      </c>
      <c r="X64" s="26"/>
      <c r="Y64" s="26"/>
      <c r="Z64" s="26">
        <v>35.0</v>
      </c>
      <c r="AA64" s="26">
        <v>117.4</v>
      </c>
      <c r="AB64" s="26">
        <v>114.0</v>
      </c>
      <c r="AC64" s="26">
        <v>120.7</v>
      </c>
      <c r="AD64" s="26">
        <v>-3.02</v>
      </c>
      <c r="AE64" s="26">
        <v>55.0</v>
      </c>
      <c r="AF64" s="26"/>
      <c r="AG64" s="26"/>
      <c r="AH64" s="26"/>
      <c r="AI64" s="26">
        <v>34.0</v>
      </c>
      <c r="AJ64" s="26">
        <v>139.8</v>
      </c>
      <c r="AK64" s="26">
        <v>138.6</v>
      </c>
      <c r="AL64" s="26">
        <v>140.9</v>
      </c>
      <c r="AM64" s="26">
        <v>-1.23</v>
      </c>
      <c r="AN64" s="26">
        <v>82.0</v>
      </c>
      <c r="AO64" s="26"/>
      <c r="AP64" s="26"/>
      <c r="AQ64" s="26"/>
      <c r="AR64" s="26"/>
      <c r="AS64" s="26">
        <v>35.0</v>
      </c>
      <c r="AT64" s="26">
        <v>146.2</v>
      </c>
      <c r="AU64" s="26">
        <v>143.1</v>
      </c>
      <c r="AV64" s="26">
        <v>149.3</v>
      </c>
      <c r="AW64" s="26">
        <v>1.31</v>
      </c>
      <c r="AX64" s="26">
        <v>120.0</v>
      </c>
      <c r="AY64" s="26"/>
      <c r="AZ64" s="26"/>
      <c r="BA64" s="26">
        <v>35.0</v>
      </c>
      <c r="BB64" s="26">
        <v>100.1</v>
      </c>
      <c r="BC64" s="26">
        <v>99.3</v>
      </c>
      <c r="BD64" s="26">
        <v>100.8</v>
      </c>
      <c r="BE64" s="26">
        <v>-3.86</v>
      </c>
      <c r="BF64" s="26">
        <v>42.0</v>
      </c>
      <c r="BG64" s="26"/>
      <c r="BH64" s="26"/>
      <c r="BI64" s="26"/>
      <c r="BJ64" s="26"/>
    </row>
    <row r="65" ht="15.75" customHeight="1">
      <c r="A65" s="25"/>
      <c r="B65" s="26"/>
      <c r="C65" s="26">
        <v>36.0</v>
      </c>
      <c r="D65" s="26">
        <v>115.0</v>
      </c>
      <c r="E65" s="26">
        <v>113.3</v>
      </c>
      <c r="F65" s="26">
        <v>116.8</v>
      </c>
      <c r="G65" s="26">
        <v>-3.09</v>
      </c>
      <c r="H65" s="26">
        <v>54.0</v>
      </c>
      <c r="I65" s="26"/>
      <c r="J65" s="26"/>
      <c r="K65" s="26">
        <v>36.0</v>
      </c>
      <c r="L65" s="26">
        <v>119.7</v>
      </c>
      <c r="M65" s="26">
        <v>119.1</v>
      </c>
      <c r="N65" s="26">
        <v>120.4</v>
      </c>
      <c r="O65" s="26">
        <v>-1.44</v>
      </c>
      <c r="P65" s="26">
        <v>78.0</v>
      </c>
      <c r="Q65" s="26"/>
      <c r="R65" s="26">
        <v>36.0</v>
      </c>
      <c r="S65" s="26">
        <v>122.3</v>
      </c>
      <c r="T65" s="26">
        <v>120.9</v>
      </c>
      <c r="U65" s="26">
        <v>123.6</v>
      </c>
      <c r="V65" s="26">
        <v>-2.32</v>
      </c>
      <c r="W65" s="26">
        <v>65.0</v>
      </c>
      <c r="X65" s="26"/>
      <c r="Y65" s="26"/>
      <c r="Z65" s="26">
        <v>36.0</v>
      </c>
      <c r="AA65" s="26">
        <v>117.9</v>
      </c>
      <c r="AB65" s="26">
        <v>114.5</v>
      </c>
      <c r="AC65" s="26">
        <v>121.2</v>
      </c>
      <c r="AD65" s="26">
        <v>-2.97</v>
      </c>
      <c r="AE65" s="26">
        <v>55.0</v>
      </c>
      <c r="AF65" s="26"/>
      <c r="AG65" s="26"/>
      <c r="AH65" s="26"/>
      <c r="AI65" s="26">
        <v>35.0</v>
      </c>
      <c r="AJ65" s="26">
        <v>140.3</v>
      </c>
      <c r="AK65" s="26">
        <v>139.1</v>
      </c>
      <c r="AL65" s="26">
        <v>141.5</v>
      </c>
      <c r="AM65" s="26">
        <v>-1.15</v>
      </c>
      <c r="AN65" s="26">
        <v>83.0</v>
      </c>
      <c r="AO65" s="26"/>
      <c r="AP65" s="26"/>
      <c r="AQ65" s="26"/>
      <c r="AR65" s="26"/>
      <c r="AS65" s="26">
        <v>36.0</v>
      </c>
      <c r="AT65" s="26">
        <v>148.7</v>
      </c>
      <c r="AU65" s="26">
        <v>145.2</v>
      </c>
      <c r="AV65" s="26">
        <v>152.3</v>
      </c>
      <c r="AW65" s="26">
        <v>1.81</v>
      </c>
      <c r="AX65" s="26">
        <v>127.0</v>
      </c>
      <c r="AY65" s="26"/>
      <c r="AZ65" s="26"/>
      <c r="BA65" s="26">
        <v>36.0</v>
      </c>
      <c r="BB65" s="26">
        <v>100.3</v>
      </c>
      <c r="BC65" s="26">
        <v>99.5</v>
      </c>
      <c r="BD65" s="26">
        <v>101.0</v>
      </c>
      <c r="BE65" s="26">
        <v>-3.8</v>
      </c>
      <c r="BF65" s="26">
        <v>43.0</v>
      </c>
      <c r="BG65" s="26"/>
      <c r="BH65" s="26"/>
      <c r="BI65" s="26"/>
      <c r="BJ65" s="26"/>
    </row>
    <row r="66" ht="15.75" customHeight="1">
      <c r="A66" s="25"/>
      <c r="B66" s="26"/>
      <c r="C66" s="26">
        <v>37.0</v>
      </c>
      <c r="D66" s="26">
        <v>116.0</v>
      </c>
      <c r="E66" s="26">
        <v>114.5</v>
      </c>
      <c r="F66" s="26">
        <v>117.5</v>
      </c>
      <c r="G66" s="26">
        <v>-2.93</v>
      </c>
      <c r="H66" s="26">
        <v>56.0</v>
      </c>
      <c r="I66" s="26"/>
      <c r="J66" s="26"/>
      <c r="K66" s="26">
        <v>37.0</v>
      </c>
      <c r="L66" s="26">
        <v>119.9</v>
      </c>
      <c r="M66" s="26">
        <v>119.2</v>
      </c>
      <c r="N66" s="26">
        <v>120.6</v>
      </c>
      <c r="O66" s="26">
        <v>-1.41</v>
      </c>
      <c r="P66" s="26">
        <v>79.0</v>
      </c>
      <c r="Q66" s="26"/>
      <c r="R66" s="26">
        <v>37.0</v>
      </c>
      <c r="S66" s="26">
        <v>123.0</v>
      </c>
      <c r="T66" s="26">
        <v>121.6</v>
      </c>
      <c r="U66" s="26">
        <v>124.4</v>
      </c>
      <c r="V66" s="26">
        <v>-2.18</v>
      </c>
      <c r="W66" s="26">
        <v>67.0</v>
      </c>
      <c r="X66" s="26"/>
      <c r="Y66" s="26"/>
      <c r="Z66" s="26">
        <v>37.0</v>
      </c>
      <c r="AA66" s="26">
        <v>118.4</v>
      </c>
      <c r="AB66" s="26">
        <v>115.0</v>
      </c>
      <c r="AC66" s="26">
        <v>121.8</v>
      </c>
      <c r="AD66" s="26">
        <v>-2.92</v>
      </c>
      <c r="AE66" s="26">
        <v>56.0</v>
      </c>
      <c r="AF66" s="26"/>
      <c r="AG66" s="26"/>
      <c r="AH66" s="26"/>
      <c r="AI66" s="26">
        <v>36.0</v>
      </c>
      <c r="AJ66" s="26">
        <v>140.8</v>
      </c>
      <c r="AK66" s="26">
        <v>139.6</v>
      </c>
      <c r="AL66" s="26">
        <v>142.0</v>
      </c>
      <c r="AM66" s="26">
        <v>-1.06</v>
      </c>
      <c r="AN66" s="26">
        <v>84.0</v>
      </c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>
        <v>37.0</v>
      </c>
      <c r="BB66" s="26">
        <v>100.5</v>
      </c>
      <c r="BC66" s="26">
        <v>99.7</v>
      </c>
      <c r="BD66" s="26">
        <v>101.2</v>
      </c>
      <c r="BE66" s="26">
        <v>-3.74</v>
      </c>
      <c r="BF66" s="26">
        <v>44.0</v>
      </c>
      <c r="BG66" s="26"/>
      <c r="BH66" s="26"/>
      <c r="BI66" s="26"/>
      <c r="BJ66" s="26"/>
    </row>
    <row r="67" ht="15.75" customHeight="1">
      <c r="A67" s="25"/>
      <c r="B67" s="26"/>
      <c r="C67" s="26">
        <v>38.0</v>
      </c>
      <c r="D67" s="26">
        <v>117.0</v>
      </c>
      <c r="E67" s="26">
        <v>115.2</v>
      </c>
      <c r="F67" s="26">
        <v>118.7</v>
      </c>
      <c r="G67" s="26">
        <v>-2.77</v>
      </c>
      <c r="H67" s="26">
        <v>58.0</v>
      </c>
      <c r="I67" s="26"/>
      <c r="J67" s="26"/>
      <c r="K67" s="26">
        <v>38.0</v>
      </c>
      <c r="L67" s="26">
        <v>120.1</v>
      </c>
      <c r="M67" s="26">
        <v>119.4</v>
      </c>
      <c r="N67" s="26">
        <v>120.8</v>
      </c>
      <c r="O67" s="26">
        <v>-1.38</v>
      </c>
      <c r="P67" s="26">
        <v>79.0</v>
      </c>
      <c r="Q67" s="26"/>
      <c r="R67" s="26">
        <v>38.0</v>
      </c>
      <c r="S67" s="26">
        <v>123.7</v>
      </c>
      <c r="T67" s="26">
        <v>122.3</v>
      </c>
      <c r="U67" s="26">
        <v>125.2</v>
      </c>
      <c r="V67" s="26">
        <v>-2.03</v>
      </c>
      <c r="W67" s="26">
        <v>70.0</v>
      </c>
      <c r="X67" s="26"/>
      <c r="Y67" s="26"/>
      <c r="Z67" s="26">
        <v>38.0</v>
      </c>
      <c r="AA67" s="26">
        <v>118.9</v>
      </c>
      <c r="AB67" s="26">
        <v>115.5</v>
      </c>
      <c r="AC67" s="26">
        <v>122.3</v>
      </c>
      <c r="AD67" s="26">
        <v>-2.87</v>
      </c>
      <c r="AE67" s="26">
        <v>57.0</v>
      </c>
      <c r="AF67" s="26"/>
      <c r="AG67" s="26"/>
      <c r="AH67" s="26"/>
      <c r="AI67" s="26">
        <v>37.0</v>
      </c>
      <c r="AJ67" s="26">
        <v>141.4</v>
      </c>
      <c r="AK67" s="26">
        <v>104.1</v>
      </c>
      <c r="AL67" s="26">
        <v>142.6</v>
      </c>
      <c r="AM67" s="26">
        <v>-0.97</v>
      </c>
      <c r="AN67" s="26">
        <v>85.0</v>
      </c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>
        <v>38.0</v>
      </c>
      <c r="BB67" s="26">
        <v>100.7</v>
      </c>
      <c r="BC67" s="26">
        <v>100.0</v>
      </c>
      <c r="BD67" s="26">
        <v>101.4</v>
      </c>
      <c r="BE67" s="26">
        <v>-3.67</v>
      </c>
      <c r="BF67" s="26">
        <v>45.0</v>
      </c>
      <c r="BG67" s="26"/>
      <c r="BH67" s="26"/>
      <c r="BI67" s="26"/>
      <c r="BJ67" s="26"/>
    </row>
    <row r="68" ht="15.75" customHeight="1">
      <c r="A68" s="25"/>
      <c r="B68" s="26"/>
      <c r="C68" s="26">
        <v>39.0</v>
      </c>
      <c r="D68" s="26">
        <v>118.0</v>
      </c>
      <c r="E68" s="26">
        <v>116.5</v>
      </c>
      <c r="F68" s="26">
        <v>119.4</v>
      </c>
      <c r="G68" s="26">
        <v>-2.6</v>
      </c>
      <c r="H68" s="26">
        <v>61.0</v>
      </c>
      <c r="I68" s="26"/>
      <c r="J68" s="26"/>
      <c r="K68" s="26">
        <v>39.0</v>
      </c>
      <c r="L68" s="26">
        <v>120.2</v>
      </c>
      <c r="M68" s="26">
        <v>119.5</v>
      </c>
      <c r="N68" s="26">
        <v>120.9</v>
      </c>
      <c r="O68" s="26">
        <v>-1.34</v>
      </c>
      <c r="P68" s="26">
        <v>80.0</v>
      </c>
      <c r="Q68" s="26"/>
      <c r="R68" s="26">
        <v>39.0</v>
      </c>
      <c r="S68" s="26">
        <v>124.6</v>
      </c>
      <c r="T68" s="26">
        <v>122.9</v>
      </c>
      <c r="U68" s="26">
        <v>126.3</v>
      </c>
      <c r="V68" s="26">
        <v>-1.85</v>
      </c>
      <c r="W68" s="26">
        <v>72.0</v>
      </c>
      <c r="X68" s="26"/>
      <c r="Y68" s="26"/>
      <c r="Z68" s="26">
        <v>39.0</v>
      </c>
      <c r="AA68" s="26">
        <v>119.5</v>
      </c>
      <c r="AB68" s="26">
        <v>116.0</v>
      </c>
      <c r="AC68" s="26">
        <v>122.9</v>
      </c>
      <c r="AD68" s="26">
        <v>-2.81</v>
      </c>
      <c r="AE68" s="26">
        <v>58.0</v>
      </c>
      <c r="AF68" s="26"/>
      <c r="AG68" s="26"/>
      <c r="AH68" s="26"/>
      <c r="AI68" s="26">
        <v>38.0</v>
      </c>
      <c r="AJ68" s="26">
        <v>142.0</v>
      </c>
      <c r="AK68" s="26">
        <v>104.6</v>
      </c>
      <c r="AL68" s="26">
        <v>143.4</v>
      </c>
      <c r="AM68" s="26">
        <v>-0.86</v>
      </c>
      <c r="AN68" s="26">
        <v>87.0</v>
      </c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>
        <v>39.0</v>
      </c>
      <c r="BB68" s="26">
        <v>100.9</v>
      </c>
      <c r="BC68" s="26">
        <v>100.2</v>
      </c>
      <c r="BD68" s="26">
        <v>101.6</v>
      </c>
      <c r="BE68" s="26">
        <v>-3.61</v>
      </c>
      <c r="BF68" s="26">
        <v>46.0</v>
      </c>
      <c r="BG68" s="26"/>
      <c r="BH68" s="26"/>
      <c r="BI68" s="26"/>
      <c r="BJ68" s="26"/>
    </row>
    <row r="69" ht="15.75" customHeight="1">
      <c r="A69" s="25"/>
      <c r="B69" s="26"/>
      <c r="C69" s="26">
        <v>40.0</v>
      </c>
      <c r="D69" s="26">
        <v>118.6</v>
      </c>
      <c r="E69" s="26">
        <v>117.3</v>
      </c>
      <c r="F69" s="26">
        <v>120.0</v>
      </c>
      <c r="G69" s="26">
        <v>-2.48</v>
      </c>
      <c r="H69" s="26">
        <v>63.0</v>
      </c>
      <c r="I69" s="26"/>
      <c r="J69" s="26"/>
      <c r="K69" s="26">
        <v>40.0</v>
      </c>
      <c r="L69" s="26">
        <v>120.4</v>
      </c>
      <c r="M69" s="26">
        <v>119.7</v>
      </c>
      <c r="N69" s="26">
        <v>121.2</v>
      </c>
      <c r="O69" s="26">
        <v>-1.3</v>
      </c>
      <c r="P69" s="26">
        <v>80.0</v>
      </c>
      <c r="Q69" s="26"/>
      <c r="R69" s="26">
        <v>40.0</v>
      </c>
      <c r="S69" s="26">
        <v>125.9</v>
      </c>
      <c r="T69" s="26">
        <v>123.9</v>
      </c>
      <c r="U69" s="26">
        <v>127.9</v>
      </c>
      <c r="V69" s="26">
        <v>-1.59</v>
      </c>
      <c r="W69" s="26">
        <v>76.0</v>
      </c>
      <c r="X69" s="26"/>
      <c r="Y69" s="26"/>
      <c r="Z69" s="26">
        <v>40.0</v>
      </c>
      <c r="AA69" s="26">
        <v>120.0</v>
      </c>
      <c r="AB69" s="26">
        <v>116.6</v>
      </c>
      <c r="AC69" s="26">
        <v>123.5</v>
      </c>
      <c r="AD69" s="26">
        <v>-2.76</v>
      </c>
      <c r="AE69" s="26">
        <v>59.0</v>
      </c>
      <c r="AF69" s="26"/>
      <c r="AG69" s="26"/>
      <c r="AH69" s="26"/>
      <c r="AI69" s="26">
        <v>39.0</v>
      </c>
      <c r="AJ69" s="26">
        <v>142.8</v>
      </c>
      <c r="AK69" s="26">
        <v>141.3</v>
      </c>
      <c r="AL69" s="26">
        <v>144.3</v>
      </c>
      <c r="AM69" s="26">
        <v>-0.74</v>
      </c>
      <c r="AN69" s="26">
        <v>89.0</v>
      </c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>
        <v>40.0</v>
      </c>
      <c r="BB69" s="26">
        <v>101.1</v>
      </c>
      <c r="BC69" s="26">
        <v>100.4</v>
      </c>
      <c r="BD69" s="26">
        <v>101.8</v>
      </c>
      <c r="BE69" s="26">
        <v>-3.55</v>
      </c>
      <c r="BF69" s="26">
        <v>47.0</v>
      </c>
      <c r="BG69" s="26"/>
      <c r="BH69" s="26"/>
      <c r="BI69" s="26"/>
      <c r="BJ69" s="26"/>
    </row>
    <row r="70" ht="15.75" customHeight="1">
      <c r="A70" s="25"/>
      <c r="B70" s="26"/>
      <c r="C70" s="26">
        <v>41.0</v>
      </c>
      <c r="D70" s="26">
        <v>119.3</v>
      </c>
      <c r="E70" s="26">
        <v>117.9</v>
      </c>
      <c r="F70" s="26">
        <v>120.7</v>
      </c>
      <c r="G70" s="26">
        <v>-2.37</v>
      </c>
      <c r="H70" s="26">
        <v>64.0</v>
      </c>
      <c r="I70" s="26"/>
      <c r="J70" s="26"/>
      <c r="K70" s="26">
        <v>41.0</v>
      </c>
      <c r="L70" s="26">
        <v>120.6</v>
      </c>
      <c r="M70" s="26">
        <v>119.9</v>
      </c>
      <c r="N70" s="26">
        <v>121.4</v>
      </c>
      <c r="O70" s="26">
        <v>-1.26</v>
      </c>
      <c r="P70" s="26">
        <v>81.0</v>
      </c>
      <c r="Q70" s="26"/>
      <c r="R70" s="26">
        <v>41.0</v>
      </c>
      <c r="S70" s="26">
        <v>127.5</v>
      </c>
      <c r="T70" s="26">
        <v>125.5</v>
      </c>
      <c r="U70" s="26">
        <v>129.4</v>
      </c>
      <c r="V70" s="26">
        <v>-1.28</v>
      </c>
      <c r="W70" s="26">
        <v>81.0</v>
      </c>
      <c r="X70" s="26"/>
      <c r="Y70" s="26"/>
      <c r="Z70" s="26">
        <v>41.0</v>
      </c>
      <c r="AA70" s="26">
        <v>120.6</v>
      </c>
      <c r="AB70" s="26">
        <v>117.1</v>
      </c>
      <c r="AC70" s="26">
        <v>124.1</v>
      </c>
      <c r="AD70" s="26">
        <v>-2.7</v>
      </c>
      <c r="AE70" s="26">
        <v>59.0</v>
      </c>
      <c r="AF70" s="26"/>
      <c r="AG70" s="26"/>
      <c r="AH70" s="26"/>
      <c r="AI70" s="26">
        <v>40.0</v>
      </c>
      <c r="AJ70" s="26">
        <v>143.7</v>
      </c>
      <c r="AK70" s="26">
        <v>142.0</v>
      </c>
      <c r="AL70" s="26">
        <v>145.4</v>
      </c>
      <c r="AM70" s="26">
        <v>-0.59</v>
      </c>
      <c r="AN70" s="26">
        <v>91.0</v>
      </c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101.2</v>
      </c>
      <c r="BC70" s="26">
        <v>100.5</v>
      </c>
      <c r="BD70" s="26">
        <v>101.9</v>
      </c>
      <c r="BE70" s="26">
        <v>-3.49</v>
      </c>
      <c r="BF70" s="26">
        <v>48.0</v>
      </c>
      <c r="BG70" s="26"/>
      <c r="BH70" s="26"/>
      <c r="BI70" s="26"/>
      <c r="BJ70" s="26"/>
    </row>
    <row r="71" ht="15.75" customHeight="1">
      <c r="A71" s="25"/>
      <c r="B71" s="26"/>
      <c r="C71" s="26">
        <v>42.0</v>
      </c>
      <c r="D71" s="26">
        <v>120.0</v>
      </c>
      <c r="E71" s="26">
        <v>118.7</v>
      </c>
      <c r="F71" s="26">
        <v>121.2</v>
      </c>
      <c r="G71" s="26">
        <v>-2.26</v>
      </c>
      <c r="H71" s="26">
        <v>66.0</v>
      </c>
      <c r="I71" s="26"/>
      <c r="J71" s="26"/>
      <c r="K71" s="26">
        <v>42.0</v>
      </c>
      <c r="L71" s="26">
        <v>120.9</v>
      </c>
      <c r="M71" s="26">
        <v>120.1</v>
      </c>
      <c r="N71" s="26">
        <v>121.7</v>
      </c>
      <c r="O71" s="26">
        <v>-1.22</v>
      </c>
      <c r="P71" s="26">
        <v>82.0</v>
      </c>
      <c r="Q71" s="26"/>
      <c r="R71" s="26">
        <v>42.0</v>
      </c>
      <c r="S71" s="26">
        <v>128.7</v>
      </c>
      <c r="T71" s="26">
        <v>127.0</v>
      </c>
      <c r="U71" s="26">
        <v>130.4</v>
      </c>
      <c r="V71" s="26">
        <v>-1.03</v>
      </c>
      <c r="W71" s="26">
        <v>85.0</v>
      </c>
      <c r="X71" s="26"/>
      <c r="Y71" s="26"/>
      <c r="Z71" s="26">
        <v>42.0</v>
      </c>
      <c r="AA71" s="26">
        <v>121.2</v>
      </c>
      <c r="AB71" s="26">
        <v>117.6</v>
      </c>
      <c r="AC71" s="26">
        <v>124.7</v>
      </c>
      <c r="AD71" s="26">
        <v>-2.64</v>
      </c>
      <c r="AE71" s="26">
        <v>60.0</v>
      </c>
      <c r="AF71" s="26"/>
      <c r="AG71" s="26"/>
      <c r="AH71" s="26"/>
      <c r="AI71" s="26">
        <v>41.0</v>
      </c>
      <c r="AJ71" s="26">
        <v>144.8</v>
      </c>
      <c r="AK71" s="26">
        <v>143.0</v>
      </c>
      <c r="AL71" s="26">
        <v>146.5</v>
      </c>
      <c r="AM71" s="26">
        <v>-0.42</v>
      </c>
      <c r="AN71" s="26">
        <v>94.0</v>
      </c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101.4</v>
      </c>
      <c r="BC71" s="26">
        <v>100.7</v>
      </c>
      <c r="BD71" s="26">
        <v>102.1</v>
      </c>
      <c r="BE71" s="26">
        <v>-3.44</v>
      </c>
      <c r="BF71" s="26">
        <v>48.0</v>
      </c>
      <c r="BG71" s="26"/>
      <c r="BH71" s="26"/>
      <c r="BI71" s="26"/>
      <c r="BJ71" s="26"/>
    </row>
    <row r="72" ht="15.75" customHeight="1">
      <c r="A72" s="25"/>
      <c r="B72" s="26"/>
      <c r="C72" s="26">
        <v>43.0</v>
      </c>
      <c r="D72" s="26">
        <v>120.5</v>
      </c>
      <c r="E72" s="26">
        <v>119.3</v>
      </c>
      <c r="F72" s="26">
        <v>121.7</v>
      </c>
      <c r="G72" s="26">
        <v>-2.17</v>
      </c>
      <c r="H72" s="26">
        <v>67.0</v>
      </c>
      <c r="I72" s="26"/>
      <c r="J72" s="26"/>
      <c r="K72" s="26">
        <v>43.0</v>
      </c>
      <c r="L72" s="26">
        <v>121.1</v>
      </c>
      <c r="M72" s="26">
        <v>120.3</v>
      </c>
      <c r="N72" s="26">
        <v>121.9</v>
      </c>
      <c r="O72" s="26">
        <v>-1.17</v>
      </c>
      <c r="P72" s="26">
        <v>82.0</v>
      </c>
      <c r="Q72" s="26"/>
      <c r="R72" s="26">
        <v>43.0</v>
      </c>
      <c r="S72" s="26">
        <v>129.7</v>
      </c>
      <c r="T72" s="26">
        <v>128.1</v>
      </c>
      <c r="U72" s="26">
        <v>131.4</v>
      </c>
      <c r="V72" s="26">
        <v>-0.83</v>
      </c>
      <c r="W72" s="26">
        <v>88.0</v>
      </c>
      <c r="X72" s="26"/>
      <c r="Y72" s="26"/>
      <c r="Z72" s="26">
        <v>43.0</v>
      </c>
      <c r="AA72" s="26">
        <v>121.7</v>
      </c>
      <c r="AB72" s="26">
        <v>118.1</v>
      </c>
      <c r="AC72" s="26">
        <v>125.3</v>
      </c>
      <c r="AD72" s="26">
        <v>-2.59</v>
      </c>
      <c r="AE72" s="26">
        <v>61.0</v>
      </c>
      <c r="AF72" s="26"/>
      <c r="AG72" s="26"/>
      <c r="AH72" s="26"/>
      <c r="AI72" s="26">
        <v>42.0</v>
      </c>
      <c r="AJ72" s="26">
        <v>145.9</v>
      </c>
      <c r="AK72" s="26">
        <v>144.0</v>
      </c>
      <c r="AL72" s="26">
        <v>147.8</v>
      </c>
      <c r="AM72" s="26">
        <v>-0.23</v>
      </c>
      <c r="AN72" s="26">
        <v>97.0</v>
      </c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101.6</v>
      </c>
      <c r="BC72" s="26">
        <v>100.9</v>
      </c>
      <c r="BD72" s="26">
        <v>102.3</v>
      </c>
      <c r="BE72" s="26">
        <v>-3.39</v>
      </c>
      <c r="BF72" s="26">
        <v>49.0</v>
      </c>
      <c r="BG72" s="26"/>
      <c r="BH72" s="26"/>
      <c r="BI72" s="26"/>
      <c r="BJ72" s="26"/>
    </row>
    <row r="73" ht="15.75" customHeight="1">
      <c r="A73" s="25"/>
      <c r="B73" s="26"/>
      <c r="C73" s="26">
        <v>44.0</v>
      </c>
      <c r="D73" s="26">
        <v>121.0</v>
      </c>
      <c r="E73" s="26">
        <v>119.9</v>
      </c>
      <c r="F73" s="26">
        <v>122.1</v>
      </c>
      <c r="G73" s="26">
        <v>-2.09</v>
      </c>
      <c r="H73" s="26">
        <v>69.0</v>
      </c>
      <c r="I73" s="26"/>
      <c r="J73" s="26"/>
      <c r="K73" s="26">
        <v>44.0</v>
      </c>
      <c r="L73" s="26">
        <v>121.4</v>
      </c>
      <c r="M73" s="26">
        <v>120.5</v>
      </c>
      <c r="N73" s="26">
        <v>122.2</v>
      </c>
      <c r="O73" s="26">
        <v>-1.12</v>
      </c>
      <c r="P73" s="26">
        <v>83.0</v>
      </c>
      <c r="Q73" s="26"/>
      <c r="R73" s="26">
        <v>44.0</v>
      </c>
      <c r="S73" s="26">
        <v>130.8</v>
      </c>
      <c r="T73" s="26">
        <v>129.0</v>
      </c>
      <c r="U73" s="26">
        <v>132.5</v>
      </c>
      <c r="V73" s="26">
        <v>-0.62</v>
      </c>
      <c r="W73" s="26">
        <v>91.0</v>
      </c>
      <c r="X73" s="26"/>
      <c r="Y73" s="26"/>
      <c r="Z73" s="26">
        <v>44.0</v>
      </c>
      <c r="AA73" s="26">
        <v>122.3</v>
      </c>
      <c r="AB73" s="26">
        <v>118.7</v>
      </c>
      <c r="AC73" s="26">
        <v>126.0</v>
      </c>
      <c r="AD73" s="26">
        <v>-2.53</v>
      </c>
      <c r="AE73" s="26">
        <v>62.0</v>
      </c>
      <c r="AF73" s="26"/>
      <c r="AG73" s="26"/>
      <c r="AH73" s="26"/>
      <c r="AI73" s="26">
        <v>43.0</v>
      </c>
      <c r="AJ73" s="26">
        <v>147.6</v>
      </c>
      <c r="AK73" s="26">
        <v>145.2</v>
      </c>
      <c r="AL73" s="26">
        <v>150.0</v>
      </c>
      <c r="AM73" s="26">
        <v>0.04</v>
      </c>
      <c r="AN73" s="26">
        <v>101.0</v>
      </c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101.8</v>
      </c>
      <c r="BC73" s="26">
        <v>101.1</v>
      </c>
      <c r="BD73" s="26">
        <v>102.4</v>
      </c>
      <c r="BE73" s="26">
        <v>-3.33</v>
      </c>
      <c r="BF73" s="26">
        <v>50.0</v>
      </c>
      <c r="BG73" s="26"/>
      <c r="BH73" s="26"/>
      <c r="BI73" s="26"/>
      <c r="BJ73" s="26"/>
    </row>
    <row r="74" ht="15.75" customHeight="1">
      <c r="A74" s="25"/>
      <c r="B74" s="26"/>
      <c r="C74" s="26">
        <v>45.0</v>
      </c>
      <c r="D74" s="26">
        <v>121.5</v>
      </c>
      <c r="E74" s="26">
        <v>120.3</v>
      </c>
      <c r="F74" s="26">
        <v>122.6</v>
      </c>
      <c r="G74" s="26">
        <v>-2.01</v>
      </c>
      <c r="H74" s="26">
        <v>70.0</v>
      </c>
      <c r="I74" s="26"/>
      <c r="J74" s="26"/>
      <c r="K74" s="26">
        <v>45.0</v>
      </c>
      <c r="L74" s="26">
        <v>121.6</v>
      </c>
      <c r="M74" s="26">
        <v>120.8</v>
      </c>
      <c r="N74" s="26">
        <v>122.5</v>
      </c>
      <c r="O74" s="26">
        <v>-1.07</v>
      </c>
      <c r="P74" s="26">
        <v>84.0</v>
      </c>
      <c r="Q74" s="26"/>
      <c r="R74" s="26">
        <v>45.0</v>
      </c>
      <c r="S74" s="26">
        <v>132.0</v>
      </c>
      <c r="T74" s="26">
        <v>130.0</v>
      </c>
      <c r="U74" s="26">
        <v>134.0</v>
      </c>
      <c r="V74" s="26">
        <v>-0.37</v>
      </c>
      <c r="W74" s="26">
        <v>94.0</v>
      </c>
      <c r="X74" s="26"/>
      <c r="Y74" s="26"/>
      <c r="Z74" s="26">
        <v>45.0</v>
      </c>
      <c r="AA74" s="26">
        <v>123.0</v>
      </c>
      <c r="AB74" s="26">
        <v>119.2</v>
      </c>
      <c r="AC74" s="26">
        <v>126.7</v>
      </c>
      <c r="AD74" s="26">
        <v>-2.46</v>
      </c>
      <c r="AE74" s="26">
        <v>63.0</v>
      </c>
      <c r="AF74" s="26"/>
      <c r="AG74" s="26"/>
      <c r="AH74" s="26"/>
      <c r="AI74" s="26">
        <v>44.0</v>
      </c>
      <c r="AJ74" s="26">
        <v>149.7</v>
      </c>
      <c r="AK74" s="26">
        <v>147.4</v>
      </c>
      <c r="AL74" s="26">
        <v>151.9</v>
      </c>
      <c r="AM74" s="26">
        <v>0.37</v>
      </c>
      <c r="AN74" s="26">
        <v>106.0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45.0</v>
      </c>
      <c r="BB74" s="26">
        <v>101.9</v>
      </c>
      <c r="BC74" s="26">
        <v>101.2</v>
      </c>
      <c r="BD74" s="26">
        <v>102.6</v>
      </c>
      <c r="BE74" s="26">
        <v>-3.28</v>
      </c>
      <c r="BF74" s="26">
        <v>51.0</v>
      </c>
      <c r="BG74" s="26"/>
      <c r="BH74" s="26"/>
      <c r="BI74" s="26"/>
      <c r="BJ74" s="26"/>
    </row>
    <row r="75" ht="15.75" customHeight="1">
      <c r="A75" s="25"/>
      <c r="B75" s="26"/>
      <c r="C75" s="26">
        <v>46.0</v>
      </c>
      <c r="D75" s="26">
        <v>121.9</v>
      </c>
      <c r="E75" s="26">
        <v>120.8</v>
      </c>
      <c r="F75" s="26">
        <v>123.1</v>
      </c>
      <c r="G75" s="26">
        <v>-1.93</v>
      </c>
      <c r="H75" s="26">
        <v>71.0</v>
      </c>
      <c r="I75" s="26"/>
      <c r="J75" s="26"/>
      <c r="K75" s="26">
        <v>46.0</v>
      </c>
      <c r="L75" s="26">
        <v>121.9</v>
      </c>
      <c r="M75" s="26">
        <v>121.0</v>
      </c>
      <c r="N75" s="26">
        <v>122.7</v>
      </c>
      <c r="O75" s="26">
        <v>-1.02</v>
      </c>
      <c r="P75" s="26">
        <v>85.0</v>
      </c>
      <c r="Q75" s="26"/>
      <c r="R75" s="26">
        <v>46.0</v>
      </c>
      <c r="S75" s="26">
        <v>134.1</v>
      </c>
      <c r="T75" s="26">
        <v>131.3</v>
      </c>
      <c r="U75" s="26">
        <v>137.0</v>
      </c>
      <c r="V75" s="26">
        <v>0.05</v>
      </c>
      <c r="W75" s="26">
        <v>101.0</v>
      </c>
      <c r="X75" s="26"/>
      <c r="Y75" s="26"/>
      <c r="Z75" s="26">
        <v>46.0</v>
      </c>
      <c r="AA75" s="26">
        <v>123.6</v>
      </c>
      <c r="AB75" s="26">
        <v>119.8</v>
      </c>
      <c r="AC75" s="26">
        <v>127.4</v>
      </c>
      <c r="AD75" s="26">
        <v>-2.4</v>
      </c>
      <c r="AE75" s="26">
        <v>64.0</v>
      </c>
      <c r="AF75" s="26"/>
      <c r="AG75" s="26"/>
      <c r="AH75" s="26"/>
      <c r="AI75" s="26">
        <v>45.0</v>
      </c>
      <c r="AJ75" s="26">
        <v>151.5</v>
      </c>
      <c r="AK75" s="26">
        <v>149.2</v>
      </c>
      <c r="AL75" s="26">
        <v>153.9</v>
      </c>
      <c r="AM75" s="26">
        <v>0.67</v>
      </c>
      <c r="AN75" s="26">
        <v>110.0</v>
      </c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>
        <v>46.0</v>
      </c>
      <c r="BB75" s="26">
        <v>102.1</v>
      </c>
      <c r="BC75" s="26">
        <v>101.4</v>
      </c>
      <c r="BD75" s="26">
        <v>102.8</v>
      </c>
      <c r="BE75" s="26">
        <v>-3.23</v>
      </c>
      <c r="BF75" s="26">
        <v>52.0</v>
      </c>
      <c r="BG75" s="26"/>
      <c r="BH75" s="26"/>
      <c r="BI75" s="26"/>
      <c r="BJ75" s="26"/>
    </row>
    <row r="76" ht="15.75" customHeight="1">
      <c r="A76" s="25"/>
      <c r="B76" s="26"/>
      <c r="C76" s="26">
        <v>47.0</v>
      </c>
      <c r="D76" s="26">
        <v>122.4</v>
      </c>
      <c r="E76" s="26">
        <v>121.3</v>
      </c>
      <c r="F76" s="26">
        <v>123.5</v>
      </c>
      <c r="G76" s="26">
        <v>-1.85</v>
      </c>
      <c r="H76" s="26">
        <v>72.0</v>
      </c>
      <c r="I76" s="26"/>
      <c r="J76" s="26"/>
      <c r="K76" s="26">
        <v>47.0</v>
      </c>
      <c r="L76" s="26">
        <v>122.1</v>
      </c>
      <c r="M76" s="26">
        <v>121.3</v>
      </c>
      <c r="N76" s="26">
        <v>123.0</v>
      </c>
      <c r="O76" s="26">
        <v>-0.96</v>
      </c>
      <c r="P76" s="26">
        <v>86.0</v>
      </c>
      <c r="Q76" s="26"/>
      <c r="R76" s="26">
        <v>47.0</v>
      </c>
      <c r="S76" s="26">
        <v>137.0</v>
      </c>
      <c r="T76" s="26">
        <v>134.2</v>
      </c>
      <c r="U76" s="26">
        <v>139.9</v>
      </c>
      <c r="V76" s="26">
        <v>0.64</v>
      </c>
      <c r="W76" s="26">
        <v>110.0</v>
      </c>
      <c r="X76" s="26"/>
      <c r="Y76" s="26"/>
      <c r="Z76" s="26">
        <v>47.0</v>
      </c>
      <c r="AA76" s="26">
        <v>124.3</v>
      </c>
      <c r="AB76" s="26">
        <v>120.4</v>
      </c>
      <c r="AC76" s="26">
        <v>128.1</v>
      </c>
      <c r="AD76" s="26">
        <v>-2.33</v>
      </c>
      <c r="AE76" s="26">
        <v>65.0</v>
      </c>
      <c r="AF76" s="26"/>
      <c r="AG76" s="26"/>
      <c r="AH76" s="26"/>
      <c r="AI76" s="26">
        <v>46.0</v>
      </c>
      <c r="AJ76" s="26">
        <v>154.1</v>
      </c>
      <c r="AK76" s="26">
        <v>151.1</v>
      </c>
      <c r="AL76" s="26">
        <v>157.1</v>
      </c>
      <c r="AM76" s="26">
        <v>1.09</v>
      </c>
      <c r="AN76" s="26">
        <v>116.0</v>
      </c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>
        <v>47.0</v>
      </c>
      <c r="BB76" s="26">
        <v>102.3</v>
      </c>
      <c r="BC76" s="26">
        <v>101.6</v>
      </c>
      <c r="BD76" s="26">
        <v>102.9</v>
      </c>
      <c r="BE76" s="26">
        <v>-3.17</v>
      </c>
      <c r="BF76" s="26">
        <v>52.0</v>
      </c>
      <c r="BG76" s="26"/>
      <c r="BH76" s="26"/>
      <c r="BI76" s="26"/>
      <c r="BJ76" s="26"/>
    </row>
    <row r="77" ht="15.75" customHeight="1">
      <c r="A77" s="25"/>
      <c r="B77" s="26"/>
      <c r="C77" s="26">
        <v>48.0</v>
      </c>
      <c r="D77" s="26">
        <v>122.9</v>
      </c>
      <c r="E77" s="26">
        <v>121.7</v>
      </c>
      <c r="F77" s="26">
        <v>124.0</v>
      </c>
      <c r="G77" s="26">
        <v>-1.77</v>
      </c>
      <c r="H77" s="26">
        <v>73.0</v>
      </c>
      <c r="I77" s="26"/>
      <c r="J77" s="26"/>
      <c r="K77" s="26">
        <v>48.0</v>
      </c>
      <c r="L77" s="26">
        <v>122.4</v>
      </c>
      <c r="M77" s="26">
        <v>121.6</v>
      </c>
      <c r="N77" s="26">
        <v>123.2</v>
      </c>
      <c r="O77" s="26">
        <v>-0.91</v>
      </c>
      <c r="P77" s="26">
        <v>86.0</v>
      </c>
      <c r="Q77" s="26"/>
      <c r="R77" s="26">
        <v>48.0</v>
      </c>
      <c r="S77" s="26">
        <v>139.3</v>
      </c>
      <c r="T77" s="26">
        <v>135.8</v>
      </c>
      <c r="U77" s="26">
        <v>142.8</v>
      </c>
      <c r="V77" s="26">
        <v>1.1</v>
      </c>
      <c r="W77" s="26">
        <v>116.0</v>
      </c>
      <c r="X77" s="26"/>
      <c r="Y77" s="26"/>
      <c r="Z77" s="26">
        <v>48.0</v>
      </c>
      <c r="AA77" s="26">
        <v>125.0</v>
      </c>
      <c r="AB77" s="26">
        <v>121.0</v>
      </c>
      <c r="AC77" s="26">
        <v>128.9</v>
      </c>
      <c r="AD77" s="26">
        <v>-2.26</v>
      </c>
      <c r="AE77" s="26">
        <v>66.0</v>
      </c>
      <c r="AF77" s="26"/>
      <c r="AG77" s="26"/>
      <c r="AH77" s="26"/>
      <c r="AI77" s="26">
        <v>47.0</v>
      </c>
      <c r="AJ77" s="26">
        <v>157.8</v>
      </c>
      <c r="AK77" s="26">
        <v>154.1</v>
      </c>
      <c r="AL77" s="26">
        <v>161.4</v>
      </c>
      <c r="AM77" s="26">
        <v>1.68</v>
      </c>
      <c r="AN77" s="26">
        <v>125.0</v>
      </c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>
        <v>48.0</v>
      </c>
      <c r="BB77" s="26">
        <v>102.4</v>
      </c>
      <c r="BC77" s="26">
        <v>101.7</v>
      </c>
      <c r="BD77" s="26">
        <v>103.1</v>
      </c>
      <c r="BE77" s="26">
        <v>-3.12</v>
      </c>
      <c r="BF77" s="26">
        <v>53.0</v>
      </c>
      <c r="BG77" s="26"/>
      <c r="BH77" s="26"/>
      <c r="BI77" s="26"/>
      <c r="BJ77" s="26"/>
    </row>
    <row r="78" ht="15.75" customHeight="1">
      <c r="A78" s="25"/>
      <c r="B78" s="26"/>
      <c r="C78" s="26">
        <v>49.0</v>
      </c>
      <c r="D78" s="26">
        <v>123.4</v>
      </c>
      <c r="E78" s="26">
        <v>122.2</v>
      </c>
      <c r="F78" s="26">
        <v>124.7</v>
      </c>
      <c r="G78" s="26">
        <v>-1.68</v>
      </c>
      <c r="H78" s="26">
        <v>75.0</v>
      </c>
      <c r="I78" s="26"/>
      <c r="J78" s="26"/>
      <c r="K78" s="26">
        <v>49.0</v>
      </c>
      <c r="L78" s="26">
        <v>122.6</v>
      </c>
      <c r="M78" s="26">
        <v>121.8</v>
      </c>
      <c r="N78" s="26">
        <v>123.5</v>
      </c>
      <c r="O78" s="26">
        <v>-0.87</v>
      </c>
      <c r="P78" s="26">
        <v>87.0</v>
      </c>
      <c r="Q78" s="26"/>
      <c r="R78" s="26"/>
      <c r="S78" s="26"/>
      <c r="T78" s="26"/>
      <c r="U78" s="26"/>
      <c r="V78" s="26"/>
      <c r="W78" s="26"/>
      <c r="X78" s="26"/>
      <c r="Y78" s="26"/>
      <c r="Z78" s="26">
        <v>49.0</v>
      </c>
      <c r="AA78" s="26">
        <v>125.7</v>
      </c>
      <c r="AB78" s="26">
        <v>121.6</v>
      </c>
      <c r="AC78" s="26">
        <v>129.8</v>
      </c>
      <c r="AD78" s="26">
        <v>-2.19</v>
      </c>
      <c r="AE78" s="26">
        <v>67.0</v>
      </c>
      <c r="AF78" s="26"/>
      <c r="AG78" s="26"/>
      <c r="AH78" s="26"/>
      <c r="AI78" s="26">
        <v>48.0</v>
      </c>
      <c r="AJ78" s="26">
        <v>160.7</v>
      </c>
      <c r="AK78" s="26">
        <v>157.1</v>
      </c>
      <c r="AL78" s="26">
        <v>164.2</v>
      </c>
      <c r="AM78" s="26">
        <v>2.15</v>
      </c>
      <c r="AN78" s="26">
        <v>132.0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>
        <v>49.0</v>
      </c>
      <c r="BB78" s="26">
        <v>102.6</v>
      </c>
      <c r="BC78" s="26">
        <v>101.9</v>
      </c>
      <c r="BD78" s="26">
        <v>103.3</v>
      </c>
      <c r="BE78" s="26">
        <v>-3.07</v>
      </c>
      <c r="BF78" s="26">
        <v>54.0</v>
      </c>
      <c r="BG78" s="26"/>
      <c r="BH78" s="26"/>
      <c r="BI78" s="26"/>
      <c r="BJ78" s="26"/>
    </row>
    <row r="79" ht="15.75" customHeight="1">
      <c r="A79" s="25"/>
      <c r="B79" s="26"/>
      <c r="C79" s="26">
        <v>50.0</v>
      </c>
      <c r="D79" s="26">
        <v>124.0</v>
      </c>
      <c r="E79" s="26">
        <v>122.7</v>
      </c>
      <c r="F79" s="26">
        <v>125.3</v>
      </c>
      <c r="G79" s="26">
        <v>-1.58</v>
      </c>
      <c r="H79" s="26">
        <v>76.0</v>
      </c>
      <c r="I79" s="26"/>
      <c r="J79" s="26"/>
      <c r="K79" s="26">
        <v>50.0</v>
      </c>
      <c r="L79" s="26">
        <v>122.9</v>
      </c>
      <c r="M79" s="26">
        <v>122.0</v>
      </c>
      <c r="N79" s="26">
        <v>123.8</v>
      </c>
      <c r="O79" s="26">
        <v>-0.81</v>
      </c>
      <c r="P79" s="26">
        <v>88.0</v>
      </c>
      <c r="Q79" s="26"/>
      <c r="R79" s="26"/>
      <c r="S79" s="26"/>
      <c r="T79" s="26"/>
      <c r="U79" s="26"/>
      <c r="V79" s="26"/>
      <c r="W79" s="26"/>
      <c r="X79" s="26"/>
      <c r="Y79" s="26"/>
      <c r="Z79" s="26">
        <v>50.0</v>
      </c>
      <c r="AA79" s="26">
        <v>126.5</v>
      </c>
      <c r="AB79" s="26">
        <v>122.3</v>
      </c>
      <c r="AC79" s="26">
        <v>130.7</v>
      </c>
      <c r="AD79" s="26">
        <v>-2.11</v>
      </c>
      <c r="AE79" s="26">
        <v>68.0</v>
      </c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>
        <v>50.0</v>
      </c>
      <c r="BB79" s="26">
        <v>102.8</v>
      </c>
      <c r="BC79" s="26">
        <v>102.1</v>
      </c>
      <c r="BD79" s="26">
        <v>103.4</v>
      </c>
      <c r="BE79" s="26">
        <v>-3.02</v>
      </c>
      <c r="BF79" s="26">
        <v>55.0</v>
      </c>
      <c r="BG79" s="26"/>
      <c r="BH79" s="26"/>
      <c r="BI79" s="26"/>
      <c r="BJ79" s="26"/>
    </row>
    <row r="80" ht="15.75" customHeight="1">
      <c r="A80" s="25"/>
      <c r="B80" s="26"/>
      <c r="C80" s="26">
        <v>51.0</v>
      </c>
      <c r="D80" s="26">
        <v>124.6</v>
      </c>
      <c r="E80" s="26">
        <v>123.4</v>
      </c>
      <c r="F80" s="26">
        <v>125.8</v>
      </c>
      <c r="G80" s="26">
        <v>-1.48</v>
      </c>
      <c r="H80" s="26">
        <v>78.0</v>
      </c>
      <c r="I80" s="26"/>
      <c r="J80" s="26"/>
      <c r="K80" s="26">
        <v>51.0</v>
      </c>
      <c r="L80" s="26">
        <v>123.2</v>
      </c>
      <c r="M80" s="26">
        <v>122.3</v>
      </c>
      <c r="N80" s="26">
        <v>124.1</v>
      </c>
      <c r="O80" s="26">
        <v>-0.76</v>
      </c>
      <c r="P80" s="26">
        <v>89.0</v>
      </c>
      <c r="Q80" s="26"/>
      <c r="R80" s="26"/>
      <c r="S80" s="26"/>
      <c r="T80" s="26"/>
      <c r="U80" s="26"/>
      <c r="V80" s="26"/>
      <c r="W80" s="26"/>
      <c r="X80" s="26"/>
      <c r="Y80" s="26"/>
      <c r="Z80" s="26">
        <v>51.0</v>
      </c>
      <c r="AA80" s="26">
        <v>127.3</v>
      </c>
      <c r="AB80" s="26">
        <v>123.0</v>
      </c>
      <c r="AC80" s="26">
        <v>131.6</v>
      </c>
      <c r="AD80" s="26">
        <v>-2.03</v>
      </c>
      <c r="AE80" s="26">
        <v>70.0</v>
      </c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>
        <v>51.0</v>
      </c>
      <c r="BB80" s="26">
        <v>102.9</v>
      </c>
      <c r="BC80" s="26">
        <v>102.2</v>
      </c>
      <c r="BD80" s="26">
        <v>103.6</v>
      </c>
      <c r="BE80" s="26">
        <v>-2.96</v>
      </c>
      <c r="BF80" s="26">
        <v>56.0</v>
      </c>
      <c r="BG80" s="26"/>
      <c r="BH80" s="26"/>
      <c r="BI80" s="26"/>
      <c r="BJ80" s="26"/>
    </row>
    <row r="81" ht="15.75" customHeight="1">
      <c r="A81" s="25"/>
      <c r="B81" s="26"/>
      <c r="C81" s="26">
        <v>52.0</v>
      </c>
      <c r="D81" s="26">
        <v>125.1</v>
      </c>
      <c r="E81" s="26">
        <v>123.9</v>
      </c>
      <c r="F81" s="26">
        <v>126.3</v>
      </c>
      <c r="G81" s="26">
        <v>-1.39</v>
      </c>
      <c r="H81" s="26">
        <v>79.0</v>
      </c>
      <c r="I81" s="26"/>
      <c r="J81" s="26"/>
      <c r="K81" s="26">
        <v>52.0</v>
      </c>
      <c r="L81" s="26">
        <v>123.5</v>
      </c>
      <c r="M81" s="26">
        <v>122.6</v>
      </c>
      <c r="N81" s="26">
        <v>124.5</v>
      </c>
      <c r="O81" s="26">
        <v>-0.69</v>
      </c>
      <c r="P81" s="26">
        <v>90.0</v>
      </c>
      <c r="Q81" s="26"/>
      <c r="R81" s="26"/>
      <c r="S81" s="26"/>
      <c r="T81" s="26"/>
      <c r="U81" s="26"/>
      <c r="V81" s="26"/>
      <c r="W81" s="26"/>
      <c r="X81" s="26"/>
      <c r="Y81" s="26"/>
      <c r="Z81" s="26">
        <v>52.0</v>
      </c>
      <c r="AA81" s="26">
        <v>128.2</v>
      </c>
      <c r="AB81" s="26">
        <v>123.7</v>
      </c>
      <c r="AC81" s="26">
        <v>132.7</v>
      </c>
      <c r="AD81" s="26">
        <v>-1.94</v>
      </c>
      <c r="AE81" s="26">
        <v>71.0</v>
      </c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>
        <v>52.0</v>
      </c>
      <c r="BB81" s="26">
        <v>103.1</v>
      </c>
      <c r="BC81" s="26">
        <v>102.4</v>
      </c>
      <c r="BD81" s="26">
        <v>103.8</v>
      </c>
      <c r="BE81" s="26">
        <v>-2.91</v>
      </c>
      <c r="BF81" s="26">
        <v>56.0</v>
      </c>
      <c r="BG81" s="26"/>
      <c r="BH81" s="26"/>
      <c r="BI81" s="26"/>
      <c r="BJ81" s="26"/>
    </row>
    <row r="82" ht="15.75" customHeight="1">
      <c r="A82" s="25"/>
      <c r="B82" s="26"/>
      <c r="C82" s="26">
        <v>53.0</v>
      </c>
      <c r="D82" s="26">
        <v>125.7</v>
      </c>
      <c r="E82" s="26">
        <v>124.4</v>
      </c>
      <c r="F82" s="26">
        <v>127.0</v>
      </c>
      <c r="G82" s="26">
        <v>-1.29</v>
      </c>
      <c r="H82" s="26">
        <v>81.0</v>
      </c>
      <c r="I82" s="26"/>
      <c r="J82" s="26"/>
      <c r="K82" s="26">
        <v>53.0</v>
      </c>
      <c r="L82" s="26">
        <v>123.9</v>
      </c>
      <c r="M82" s="26">
        <v>122.8</v>
      </c>
      <c r="N82" s="26">
        <v>124.9</v>
      </c>
      <c r="O82" s="26">
        <v>-0.62</v>
      </c>
      <c r="P82" s="26">
        <v>91.0</v>
      </c>
      <c r="Q82" s="26"/>
      <c r="R82" s="26"/>
      <c r="S82" s="26"/>
      <c r="T82" s="26"/>
      <c r="U82" s="26"/>
      <c r="V82" s="26"/>
      <c r="W82" s="26"/>
      <c r="X82" s="26"/>
      <c r="Y82" s="26"/>
      <c r="Z82" s="26">
        <v>53.0</v>
      </c>
      <c r="AA82" s="26">
        <v>129.2</v>
      </c>
      <c r="AB82" s="26">
        <v>124.5</v>
      </c>
      <c r="AC82" s="26">
        <v>133.9</v>
      </c>
      <c r="AD82" s="26">
        <v>-1.84</v>
      </c>
      <c r="AE82" s="26">
        <v>72.0</v>
      </c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>
        <v>53.0</v>
      </c>
      <c r="BB82" s="26">
        <v>103.3</v>
      </c>
      <c r="BC82" s="26">
        <v>102.6</v>
      </c>
      <c r="BD82" s="26">
        <v>104.0</v>
      </c>
      <c r="BE82" s="26">
        <v>-2.85</v>
      </c>
      <c r="BF82" s="26">
        <v>57.0</v>
      </c>
      <c r="BG82" s="26"/>
      <c r="BH82" s="26"/>
      <c r="BI82" s="26"/>
      <c r="BJ82" s="26"/>
    </row>
    <row r="83" ht="15.75" customHeight="1">
      <c r="A83" s="25"/>
      <c r="B83" s="26"/>
      <c r="C83" s="26">
        <v>54.0</v>
      </c>
      <c r="D83" s="26">
        <v>126.6</v>
      </c>
      <c r="E83" s="26">
        <v>124.9</v>
      </c>
      <c r="F83" s="26">
        <v>128.2</v>
      </c>
      <c r="G83" s="26">
        <v>-1.15</v>
      </c>
      <c r="H83" s="26">
        <v>83.0</v>
      </c>
      <c r="I83" s="26"/>
      <c r="J83" s="26"/>
      <c r="K83" s="26">
        <v>54.0</v>
      </c>
      <c r="L83" s="26">
        <v>124.3</v>
      </c>
      <c r="M83" s="26">
        <v>123.2</v>
      </c>
      <c r="N83" s="26">
        <v>125.4</v>
      </c>
      <c r="O83" s="26">
        <v>-0.54</v>
      </c>
      <c r="P83" s="26">
        <v>92.0</v>
      </c>
      <c r="Q83" s="26"/>
      <c r="R83" s="26"/>
      <c r="S83" s="26"/>
      <c r="T83" s="26"/>
      <c r="U83" s="26"/>
      <c r="V83" s="26"/>
      <c r="W83" s="26"/>
      <c r="X83" s="26"/>
      <c r="Y83" s="26"/>
      <c r="Z83" s="26">
        <v>54.0</v>
      </c>
      <c r="AA83" s="26">
        <v>130.3</v>
      </c>
      <c r="AB83" s="26">
        <v>125.3</v>
      </c>
      <c r="AC83" s="26">
        <v>135.2</v>
      </c>
      <c r="AD83" s="26">
        <v>-1.74</v>
      </c>
      <c r="AE83" s="26">
        <v>74.0</v>
      </c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>
        <v>54.0</v>
      </c>
      <c r="BB83" s="26">
        <v>103.4</v>
      </c>
      <c r="BC83" s="26">
        <v>102.7</v>
      </c>
      <c r="BD83" s="26">
        <v>104.1</v>
      </c>
      <c r="BE83" s="26">
        <v>-2.8</v>
      </c>
      <c r="BF83" s="26">
        <v>58.0</v>
      </c>
      <c r="BG83" s="26"/>
      <c r="BH83" s="26"/>
      <c r="BI83" s="26"/>
      <c r="BJ83" s="26"/>
    </row>
    <row r="84" ht="15.75" customHeight="1">
      <c r="A84" s="25"/>
      <c r="B84" s="26"/>
      <c r="C84" s="26">
        <v>55.0</v>
      </c>
      <c r="D84" s="26">
        <v>127.4</v>
      </c>
      <c r="E84" s="26">
        <v>126.1</v>
      </c>
      <c r="F84" s="26">
        <v>128.6</v>
      </c>
      <c r="G84" s="26">
        <v>-1.02</v>
      </c>
      <c r="H84" s="26">
        <v>85.0</v>
      </c>
      <c r="I84" s="26"/>
      <c r="J84" s="26"/>
      <c r="K84" s="26">
        <v>55.0</v>
      </c>
      <c r="L84" s="26">
        <v>124.7</v>
      </c>
      <c r="M84" s="26">
        <v>123.6</v>
      </c>
      <c r="N84" s="26">
        <v>125.9</v>
      </c>
      <c r="O84" s="26">
        <v>-0.45</v>
      </c>
      <c r="P84" s="26">
        <v>93.0</v>
      </c>
      <c r="Q84" s="26"/>
      <c r="R84" s="26"/>
      <c r="S84" s="26"/>
      <c r="T84" s="26"/>
      <c r="U84" s="26"/>
      <c r="V84" s="26"/>
      <c r="W84" s="26"/>
      <c r="X84" s="26"/>
      <c r="Y84" s="26"/>
      <c r="Z84" s="26">
        <v>55.0</v>
      </c>
      <c r="AA84" s="26">
        <v>131.5</v>
      </c>
      <c r="AB84" s="26">
        <v>126.2</v>
      </c>
      <c r="AC84" s="26">
        <v>136.7</v>
      </c>
      <c r="AD84" s="26">
        <v>-1.62</v>
      </c>
      <c r="AE84" s="26">
        <v>76.0</v>
      </c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>
        <v>55.0</v>
      </c>
      <c r="BB84" s="26">
        <v>103.6</v>
      </c>
      <c r="BC84" s="26">
        <v>102.9</v>
      </c>
      <c r="BD84" s="26">
        <v>104.3</v>
      </c>
      <c r="BE84" s="26">
        <v>-2.74</v>
      </c>
      <c r="BF84" s="26">
        <v>59.0</v>
      </c>
      <c r="BG84" s="26"/>
      <c r="BH84" s="26"/>
      <c r="BI84" s="26"/>
      <c r="BJ84" s="26"/>
    </row>
    <row r="85" ht="15.75" customHeight="1">
      <c r="A85" s="25"/>
      <c r="B85" s="26"/>
      <c r="C85" s="26">
        <v>56.0</v>
      </c>
      <c r="D85" s="26">
        <v>127.9</v>
      </c>
      <c r="E85" s="26">
        <v>126.8</v>
      </c>
      <c r="F85" s="26">
        <v>128.9</v>
      </c>
      <c r="G85" s="26">
        <v>-0.93</v>
      </c>
      <c r="H85" s="26">
        <v>86.0</v>
      </c>
      <c r="I85" s="26"/>
      <c r="J85" s="26"/>
      <c r="K85" s="26">
        <v>56.0</v>
      </c>
      <c r="L85" s="26">
        <v>125.2</v>
      </c>
      <c r="M85" s="26">
        <v>124.1</v>
      </c>
      <c r="N85" s="26">
        <v>126.4</v>
      </c>
      <c r="O85" s="26">
        <v>-0.35</v>
      </c>
      <c r="P85" s="26">
        <v>95.0</v>
      </c>
      <c r="Q85" s="26"/>
      <c r="R85" s="26"/>
      <c r="S85" s="26"/>
      <c r="T85" s="26"/>
      <c r="U85" s="26"/>
      <c r="V85" s="26"/>
      <c r="W85" s="26"/>
      <c r="X85" s="26"/>
      <c r="Y85" s="26"/>
      <c r="Z85" s="26">
        <v>56.0</v>
      </c>
      <c r="AA85" s="26">
        <v>132.8</v>
      </c>
      <c r="AB85" s="26">
        <v>127.2</v>
      </c>
      <c r="AC85" s="26">
        <v>138.5</v>
      </c>
      <c r="AD85" s="26">
        <v>-1.48</v>
      </c>
      <c r="AE85" s="26">
        <v>78.0</v>
      </c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>
        <v>56.0</v>
      </c>
      <c r="BB85" s="26">
        <v>103.8</v>
      </c>
      <c r="BC85" s="26">
        <v>103.1</v>
      </c>
      <c r="BD85" s="26">
        <v>104.5</v>
      </c>
      <c r="BE85" s="26">
        <v>-2.68</v>
      </c>
      <c r="BF85" s="26">
        <v>60.0</v>
      </c>
      <c r="BG85" s="26"/>
      <c r="BH85" s="26"/>
      <c r="BI85" s="26"/>
      <c r="BJ85" s="26"/>
    </row>
    <row r="86" ht="15.75" customHeight="1">
      <c r="A86" s="25"/>
      <c r="B86" s="26"/>
      <c r="C86" s="26">
        <v>57.0</v>
      </c>
      <c r="D86" s="26">
        <v>128.3</v>
      </c>
      <c r="E86" s="26">
        <v>127.2</v>
      </c>
      <c r="F86" s="26">
        <v>129.3</v>
      </c>
      <c r="G86" s="26">
        <v>-0.86</v>
      </c>
      <c r="H86" s="26">
        <v>87.0</v>
      </c>
      <c r="I86" s="26"/>
      <c r="J86" s="26"/>
      <c r="K86" s="26">
        <v>57.0</v>
      </c>
      <c r="L86" s="26">
        <v>125.8</v>
      </c>
      <c r="M86" s="26">
        <v>124.6</v>
      </c>
      <c r="N86" s="26">
        <v>127.0</v>
      </c>
      <c r="O86" s="26">
        <v>-0.24</v>
      </c>
      <c r="P86" s="26">
        <v>96.0</v>
      </c>
      <c r="Q86" s="26"/>
      <c r="R86" s="26"/>
      <c r="S86" s="26"/>
      <c r="T86" s="26"/>
      <c r="U86" s="26"/>
      <c r="V86" s="26"/>
      <c r="W86" s="26"/>
      <c r="X86" s="26"/>
      <c r="Y86" s="26"/>
      <c r="Z86" s="26">
        <v>57.0</v>
      </c>
      <c r="AA86" s="26">
        <v>134.4</v>
      </c>
      <c r="AB86" s="26">
        <v>128.3</v>
      </c>
      <c r="AC86" s="26">
        <v>140.6</v>
      </c>
      <c r="AD86" s="26">
        <v>-1.32</v>
      </c>
      <c r="AE86" s="26">
        <v>80.0</v>
      </c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>
        <v>57.0</v>
      </c>
      <c r="BB86" s="26">
        <v>104.0</v>
      </c>
      <c r="BC86" s="26">
        <v>103.3</v>
      </c>
      <c r="BD86" s="26">
        <v>104.7</v>
      </c>
      <c r="BE86" s="26">
        <v>-2.63</v>
      </c>
      <c r="BF86" s="26">
        <v>61.0</v>
      </c>
      <c r="BG86" s="26"/>
      <c r="BH86" s="26"/>
      <c r="BI86" s="26"/>
      <c r="BJ86" s="26"/>
    </row>
    <row r="87" ht="15.75" customHeight="1">
      <c r="A87" s="25"/>
      <c r="B87" s="26"/>
      <c r="C87" s="26">
        <v>58.0</v>
      </c>
      <c r="D87" s="26">
        <v>128.7</v>
      </c>
      <c r="E87" s="26">
        <v>127.6</v>
      </c>
      <c r="F87" s="26">
        <v>129.8</v>
      </c>
      <c r="G87" s="26">
        <v>-0.79</v>
      </c>
      <c r="H87" s="26">
        <v>88.0</v>
      </c>
      <c r="I87" s="26"/>
      <c r="J87" s="26"/>
      <c r="K87" s="26">
        <v>58.0</v>
      </c>
      <c r="L87" s="26">
        <v>126.4</v>
      </c>
      <c r="M87" s="26">
        <v>125.1</v>
      </c>
      <c r="N87" s="26">
        <v>127.6</v>
      </c>
      <c r="O87" s="26">
        <v>-0.12</v>
      </c>
      <c r="P87" s="26">
        <v>98.0</v>
      </c>
      <c r="Q87" s="26"/>
      <c r="R87" s="26"/>
      <c r="S87" s="26"/>
      <c r="T87" s="26"/>
      <c r="U87" s="26"/>
      <c r="V87" s="26"/>
      <c r="W87" s="26"/>
      <c r="X87" s="26"/>
      <c r="Y87" s="26"/>
      <c r="Z87" s="26">
        <v>58.0</v>
      </c>
      <c r="AA87" s="26">
        <v>136.4</v>
      </c>
      <c r="AB87" s="26">
        <v>129.5</v>
      </c>
      <c r="AC87" s="26">
        <v>143.2</v>
      </c>
      <c r="AD87" s="26">
        <v>-1.12</v>
      </c>
      <c r="AE87" s="26">
        <v>83.0</v>
      </c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58.0</v>
      </c>
      <c r="BB87" s="26">
        <v>104.2</v>
      </c>
      <c r="BC87" s="26">
        <v>103.5</v>
      </c>
      <c r="BD87" s="26">
        <v>104.9</v>
      </c>
      <c r="BE87" s="26">
        <v>-2.57</v>
      </c>
      <c r="BF87" s="26">
        <v>61.0</v>
      </c>
      <c r="BG87" s="26"/>
      <c r="BH87" s="26"/>
      <c r="BI87" s="26"/>
      <c r="BJ87" s="26"/>
    </row>
    <row r="88" ht="15.75" customHeight="1">
      <c r="A88" s="25"/>
      <c r="B88" s="26"/>
      <c r="C88" s="26">
        <v>59.0</v>
      </c>
      <c r="D88" s="26">
        <v>129.2</v>
      </c>
      <c r="E88" s="26">
        <v>128.0</v>
      </c>
      <c r="F88" s="26">
        <v>130.5</v>
      </c>
      <c r="G88" s="26">
        <v>-0.7</v>
      </c>
      <c r="H88" s="26">
        <v>89.0</v>
      </c>
      <c r="I88" s="26"/>
      <c r="J88" s="26"/>
      <c r="K88" s="26">
        <v>59.0</v>
      </c>
      <c r="L88" s="26">
        <v>127.0</v>
      </c>
      <c r="M88" s="26">
        <v>125.6</v>
      </c>
      <c r="N88" s="26">
        <v>128.4</v>
      </c>
      <c r="O88" s="26">
        <v>0.01</v>
      </c>
      <c r="P88" s="26">
        <v>100.0</v>
      </c>
      <c r="Q88" s="26"/>
      <c r="R88" s="26"/>
      <c r="S88" s="26"/>
      <c r="T88" s="26"/>
      <c r="U88" s="26"/>
      <c r="V88" s="26"/>
      <c r="W88" s="26"/>
      <c r="X88" s="26"/>
      <c r="Y88" s="26"/>
      <c r="Z88" s="26">
        <v>59.0</v>
      </c>
      <c r="AA88" s="26">
        <v>138.9</v>
      </c>
      <c r="AB88" s="26">
        <v>131.0</v>
      </c>
      <c r="AC88" s="26">
        <v>146.7</v>
      </c>
      <c r="AD88" s="26">
        <v>-0.88</v>
      </c>
      <c r="AE88" s="26">
        <v>87.0</v>
      </c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>
        <v>59.0</v>
      </c>
      <c r="BB88" s="26">
        <v>104.4</v>
      </c>
      <c r="BC88" s="26">
        <v>103.6</v>
      </c>
      <c r="BD88" s="26">
        <v>105.1</v>
      </c>
      <c r="BE88" s="26">
        <v>-2.51</v>
      </c>
      <c r="BF88" s="26">
        <v>62.0</v>
      </c>
      <c r="BG88" s="26"/>
      <c r="BH88" s="26"/>
      <c r="BI88" s="26"/>
      <c r="BJ88" s="26"/>
    </row>
    <row r="89" ht="15.75" customHeight="1">
      <c r="A89" s="25"/>
      <c r="B89" s="26"/>
      <c r="C89" s="26">
        <v>60.0</v>
      </c>
      <c r="D89" s="26">
        <v>129.9</v>
      </c>
      <c r="E89" s="26">
        <v>128.4</v>
      </c>
      <c r="F89" s="26">
        <v>131.3</v>
      </c>
      <c r="G89" s="26">
        <v>-0.59</v>
      </c>
      <c r="H89" s="26">
        <v>91.0</v>
      </c>
      <c r="I89" s="26"/>
      <c r="J89" s="26"/>
      <c r="K89" s="26">
        <v>60.0</v>
      </c>
      <c r="L89" s="26">
        <v>127.9</v>
      </c>
      <c r="M89" s="26">
        <v>126.1</v>
      </c>
      <c r="N89" s="26">
        <v>129.7</v>
      </c>
      <c r="O89" s="26">
        <v>0.19</v>
      </c>
      <c r="P89" s="26">
        <v>103.0</v>
      </c>
      <c r="Q89" s="26"/>
      <c r="R89" s="26"/>
      <c r="S89" s="26"/>
      <c r="T89" s="26"/>
      <c r="U89" s="26"/>
      <c r="V89" s="26"/>
      <c r="W89" s="26"/>
      <c r="X89" s="26"/>
      <c r="Y89" s="26"/>
      <c r="Z89" s="26">
        <v>60.0</v>
      </c>
      <c r="AA89" s="26">
        <v>142.3</v>
      </c>
      <c r="AB89" s="26">
        <v>132.7</v>
      </c>
      <c r="AC89" s="26">
        <v>151.9</v>
      </c>
      <c r="AD89" s="26">
        <v>-0.53</v>
      </c>
      <c r="AE89" s="26">
        <v>92.0</v>
      </c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>
        <v>60.0</v>
      </c>
      <c r="BB89" s="26">
        <v>104.5</v>
      </c>
      <c r="BC89" s="26">
        <v>103.8</v>
      </c>
      <c r="BD89" s="26">
        <v>105.3</v>
      </c>
      <c r="BE89" s="26">
        <v>-2.45</v>
      </c>
      <c r="BF89" s="26">
        <v>63.0</v>
      </c>
      <c r="BG89" s="26"/>
      <c r="BH89" s="26"/>
      <c r="BI89" s="26"/>
      <c r="BJ89" s="26"/>
    </row>
    <row r="90" ht="15.75" customHeight="1">
      <c r="A90" s="25"/>
      <c r="B90" s="26"/>
      <c r="C90" s="26">
        <v>61.0</v>
      </c>
      <c r="D90" s="26">
        <v>131.4</v>
      </c>
      <c r="E90" s="26">
        <v>128.6</v>
      </c>
      <c r="F90" s="26">
        <v>134.2</v>
      </c>
      <c r="G90" s="26">
        <v>-0.34</v>
      </c>
      <c r="H90" s="26">
        <v>95.0</v>
      </c>
      <c r="I90" s="26"/>
      <c r="J90" s="26"/>
      <c r="K90" s="26">
        <v>61.0</v>
      </c>
      <c r="L90" s="26">
        <v>130.3</v>
      </c>
      <c r="M90" s="26">
        <v>126.8</v>
      </c>
      <c r="N90" s="26">
        <v>133.8</v>
      </c>
      <c r="O90" s="26">
        <v>0.65</v>
      </c>
      <c r="P90" s="26">
        <v>110.0</v>
      </c>
      <c r="Q90" s="26"/>
      <c r="R90" s="26"/>
      <c r="S90" s="26"/>
      <c r="T90" s="26"/>
      <c r="U90" s="26"/>
      <c r="V90" s="26"/>
      <c r="W90" s="26"/>
      <c r="X90" s="26"/>
      <c r="Y90" s="26"/>
      <c r="Z90" s="26">
        <v>61.0</v>
      </c>
      <c r="AA90" s="26">
        <v>148.1</v>
      </c>
      <c r="AB90" s="26">
        <v>134.7</v>
      </c>
      <c r="AC90" s="26">
        <v>161.5</v>
      </c>
      <c r="AD90" s="26">
        <v>0.05</v>
      </c>
      <c r="AE90" s="26">
        <v>101.0</v>
      </c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>
        <v>61.0</v>
      </c>
      <c r="BB90" s="26">
        <v>104.7</v>
      </c>
      <c r="BC90" s="26">
        <v>104.0</v>
      </c>
      <c r="BD90" s="26">
        <v>105.5</v>
      </c>
      <c r="BE90" s="26">
        <v>-2.38</v>
      </c>
      <c r="BF90" s="26">
        <v>64.0</v>
      </c>
      <c r="BG90" s="26"/>
      <c r="BH90" s="26"/>
      <c r="BI90" s="26"/>
      <c r="BJ90" s="26"/>
    </row>
    <row r="91" ht="15.75" customHeight="1">
      <c r="A91" s="25"/>
      <c r="B91" s="26"/>
      <c r="C91" s="26">
        <v>62.0</v>
      </c>
      <c r="D91" s="26">
        <v>132.8</v>
      </c>
      <c r="E91" s="26">
        <v>131.4</v>
      </c>
      <c r="F91" s="26">
        <v>134.2</v>
      </c>
      <c r="G91" s="26">
        <v>-0.1</v>
      </c>
      <c r="H91" s="26">
        <v>98.0</v>
      </c>
      <c r="I91" s="26"/>
      <c r="J91" s="26"/>
      <c r="K91" s="26">
        <v>62.0</v>
      </c>
      <c r="L91" s="26">
        <v>134.1</v>
      </c>
      <c r="M91" s="26">
        <v>130.8</v>
      </c>
      <c r="N91" s="26">
        <v>137.3</v>
      </c>
      <c r="O91" s="26">
        <v>1.4</v>
      </c>
      <c r="P91" s="26">
        <v>121.0</v>
      </c>
      <c r="Q91" s="26"/>
      <c r="R91" s="26"/>
      <c r="S91" s="26"/>
      <c r="T91" s="26"/>
      <c r="U91" s="26"/>
      <c r="V91" s="26"/>
      <c r="W91" s="26"/>
      <c r="X91" s="26"/>
      <c r="Y91" s="26"/>
      <c r="Z91" s="26">
        <v>62.0</v>
      </c>
      <c r="AA91" s="26">
        <v>158.0</v>
      </c>
      <c r="AB91" s="26">
        <v>133.7</v>
      </c>
      <c r="AC91" s="26">
        <v>182.2</v>
      </c>
      <c r="AD91" s="26">
        <v>1.03</v>
      </c>
      <c r="AE91" s="26">
        <v>115.0</v>
      </c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62.0</v>
      </c>
      <c r="BB91" s="26">
        <v>104.9</v>
      </c>
      <c r="BC91" s="26">
        <v>104.2</v>
      </c>
      <c r="BD91" s="26">
        <v>105.7</v>
      </c>
      <c r="BE91" s="26">
        <v>-2.32</v>
      </c>
      <c r="BF91" s="26">
        <v>65.0</v>
      </c>
      <c r="BG91" s="26"/>
      <c r="BH91" s="26"/>
      <c r="BI91" s="26"/>
      <c r="BJ91" s="26"/>
    </row>
    <row r="92" ht="15.75" customHeight="1">
      <c r="A92" s="25"/>
      <c r="B92" s="26"/>
      <c r="C92" s="26">
        <v>63.0</v>
      </c>
      <c r="D92" s="26">
        <v>133.4</v>
      </c>
      <c r="E92" s="26">
        <v>132.2</v>
      </c>
      <c r="F92" s="26">
        <v>134.5</v>
      </c>
      <c r="G92" s="26">
        <v>-0.01</v>
      </c>
      <c r="H92" s="26">
        <v>100.0</v>
      </c>
      <c r="I92" s="26"/>
      <c r="J92" s="26"/>
      <c r="K92" s="26">
        <v>63.0</v>
      </c>
      <c r="L92" s="26">
        <v>136.7</v>
      </c>
      <c r="M92" s="26">
        <v>134.3</v>
      </c>
      <c r="N92" s="26">
        <v>139.0</v>
      </c>
      <c r="O92" s="26">
        <v>1.92</v>
      </c>
      <c r="P92" s="26">
        <v>129.0</v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>
        <v>63.0</v>
      </c>
      <c r="BB92" s="26">
        <v>105.2</v>
      </c>
      <c r="BC92" s="26">
        <v>104.4</v>
      </c>
      <c r="BD92" s="26">
        <v>105.9</v>
      </c>
      <c r="BE92" s="26">
        <v>-2.25</v>
      </c>
      <c r="BF92" s="26">
        <v>66.0</v>
      </c>
      <c r="BG92" s="26"/>
      <c r="BH92" s="26"/>
      <c r="BI92" s="26"/>
      <c r="BJ92" s="26"/>
    </row>
    <row r="93" ht="15.75" customHeight="1">
      <c r="A93" s="25"/>
      <c r="B93" s="26"/>
      <c r="C93" s="26">
        <v>64.0</v>
      </c>
      <c r="D93" s="26">
        <v>133.8</v>
      </c>
      <c r="E93" s="26">
        <v>132.7</v>
      </c>
      <c r="F93" s="26">
        <v>134.8</v>
      </c>
      <c r="G93" s="26">
        <v>0.06</v>
      </c>
      <c r="H93" s="26">
        <v>101.0</v>
      </c>
      <c r="I93" s="26"/>
      <c r="J93" s="26"/>
      <c r="K93" s="26">
        <v>64.0</v>
      </c>
      <c r="L93" s="26">
        <v>138.9</v>
      </c>
      <c r="M93" s="26">
        <v>136.3</v>
      </c>
      <c r="N93" s="26">
        <v>141.6</v>
      </c>
      <c r="O93" s="26">
        <v>2.37</v>
      </c>
      <c r="P93" s="26">
        <v>136.0</v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>
        <v>64.0</v>
      </c>
      <c r="BB93" s="26">
        <v>105.4</v>
      </c>
      <c r="BC93" s="26">
        <v>104.6</v>
      </c>
      <c r="BD93" s="26">
        <v>106.2</v>
      </c>
      <c r="BE93" s="26">
        <v>-2.18</v>
      </c>
      <c r="BF93" s="26">
        <v>67.0</v>
      </c>
      <c r="BG93" s="26"/>
      <c r="BH93" s="26"/>
      <c r="BI93" s="26"/>
      <c r="BJ93" s="26"/>
    </row>
    <row r="94" ht="15.75" customHeight="1">
      <c r="A94" s="25"/>
      <c r="B94" s="26"/>
      <c r="C94" s="26">
        <v>65.0</v>
      </c>
      <c r="D94" s="26">
        <v>134.1</v>
      </c>
      <c r="E94" s="26">
        <v>133.2</v>
      </c>
      <c r="F94" s="26">
        <v>135.1</v>
      </c>
      <c r="G94" s="26">
        <v>0.12</v>
      </c>
      <c r="H94" s="26">
        <v>102.0</v>
      </c>
      <c r="I94" s="26"/>
      <c r="J94" s="26"/>
      <c r="K94" s="26">
        <v>65.0</v>
      </c>
      <c r="L94" s="26">
        <v>141.4</v>
      </c>
      <c r="M94" s="26">
        <v>138.9</v>
      </c>
      <c r="N94" s="26">
        <v>143.9</v>
      </c>
      <c r="O94" s="26">
        <v>2.85</v>
      </c>
      <c r="P94" s="26">
        <v>143.0</v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>
        <v>65.0</v>
      </c>
      <c r="BB94" s="26">
        <v>105.6</v>
      </c>
      <c r="BC94" s="26">
        <v>104.8</v>
      </c>
      <c r="BD94" s="26">
        <v>106.4</v>
      </c>
      <c r="BE94" s="26">
        <v>-2.11</v>
      </c>
      <c r="BF94" s="26">
        <v>68.0</v>
      </c>
      <c r="BG94" s="26"/>
      <c r="BH94" s="26"/>
      <c r="BI94" s="26"/>
      <c r="BJ94" s="26"/>
    </row>
    <row r="95" ht="15.75" customHeight="1">
      <c r="A95" s="25"/>
      <c r="B95" s="26"/>
      <c r="C95" s="26">
        <v>66.0</v>
      </c>
      <c r="D95" s="26">
        <v>134.5</v>
      </c>
      <c r="E95" s="26">
        <v>133.5</v>
      </c>
      <c r="F95" s="26">
        <v>135.4</v>
      </c>
      <c r="G95" s="26">
        <v>0.18</v>
      </c>
      <c r="H95" s="26">
        <v>103.0</v>
      </c>
      <c r="I95" s="26"/>
      <c r="J95" s="26"/>
      <c r="K95" s="26">
        <v>66.0</v>
      </c>
      <c r="L95" s="26">
        <v>143.3</v>
      </c>
      <c r="M95" s="26">
        <v>139.9</v>
      </c>
      <c r="N95" s="26">
        <v>146.7</v>
      </c>
      <c r="O95" s="26">
        <v>3.24</v>
      </c>
      <c r="P95" s="26">
        <v>149.0</v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>
        <v>66.0</v>
      </c>
      <c r="BB95" s="26">
        <v>105.9</v>
      </c>
      <c r="BC95" s="26">
        <v>105.0</v>
      </c>
      <c r="BD95" s="26">
        <v>106.7</v>
      </c>
      <c r="BE95" s="26">
        <v>-2.03</v>
      </c>
      <c r="BF95" s="26">
        <v>70.0</v>
      </c>
      <c r="BG95" s="26"/>
      <c r="BH95" s="26"/>
      <c r="BI95" s="26"/>
      <c r="BJ95" s="26"/>
    </row>
    <row r="96" ht="15.75" customHeight="1">
      <c r="A96" s="25"/>
      <c r="B96" s="26"/>
      <c r="C96" s="26">
        <v>67.0</v>
      </c>
      <c r="D96" s="26">
        <v>134.8</v>
      </c>
      <c r="E96" s="26">
        <v>133.8</v>
      </c>
      <c r="F96" s="26">
        <v>135.8</v>
      </c>
      <c r="G96" s="26">
        <v>0.24</v>
      </c>
      <c r="H96" s="26">
        <v>104.0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>
        <v>67.0</v>
      </c>
      <c r="BB96" s="26">
        <v>106.1</v>
      </c>
      <c r="BC96" s="26">
        <v>105.3</v>
      </c>
      <c r="BD96" s="26">
        <v>107.0</v>
      </c>
      <c r="BE96" s="26">
        <v>-1.94</v>
      </c>
      <c r="BF96" s="26">
        <v>71.0</v>
      </c>
      <c r="BG96" s="26"/>
      <c r="BH96" s="26"/>
      <c r="BI96" s="26"/>
      <c r="BJ96" s="26"/>
    </row>
    <row r="97" ht="15.75" customHeight="1">
      <c r="A97" s="25"/>
      <c r="B97" s="26"/>
      <c r="C97" s="26">
        <v>68.0</v>
      </c>
      <c r="D97" s="26">
        <v>135.2</v>
      </c>
      <c r="E97" s="26">
        <v>134.1</v>
      </c>
      <c r="F97" s="26">
        <v>136.3</v>
      </c>
      <c r="G97" s="26">
        <v>0.31</v>
      </c>
      <c r="H97" s="26">
        <v>105.0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>
        <v>68.0</v>
      </c>
      <c r="BB97" s="26">
        <v>106.4</v>
      </c>
      <c r="BC97" s="26">
        <v>105.6</v>
      </c>
      <c r="BD97" s="26">
        <v>107.2</v>
      </c>
      <c r="BE97" s="26">
        <v>-1.86</v>
      </c>
      <c r="BF97" s="26">
        <v>72.0</v>
      </c>
      <c r="BG97" s="26"/>
      <c r="BH97" s="26"/>
      <c r="BI97" s="26"/>
      <c r="BJ97" s="26"/>
    </row>
    <row r="98" ht="15.75" customHeight="1">
      <c r="A98" s="25"/>
      <c r="B98" s="26"/>
      <c r="C98" s="26">
        <v>69.0</v>
      </c>
      <c r="D98" s="26">
        <v>135.7</v>
      </c>
      <c r="E98" s="26">
        <v>134.4</v>
      </c>
      <c r="F98" s="26">
        <v>137.0</v>
      </c>
      <c r="G98" s="26">
        <v>0.39</v>
      </c>
      <c r="H98" s="26">
        <v>106.0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>
        <v>69.0</v>
      </c>
      <c r="BB98" s="26">
        <v>106.6</v>
      </c>
      <c r="BC98" s="26">
        <v>105.8</v>
      </c>
      <c r="BD98" s="26">
        <v>107.4</v>
      </c>
      <c r="BE98" s="26">
        <v>-1.78</v>
      </c>
      <c r="BF98" s="26">
        <v>73.0</v>
      </c>
      <c r="BG98" s="26"/>
      <c r="BH98" s="26"/>
      <c r="BI98" s="26"/>
      <c r="BJ98" s="26"/>
    </row>
    <row r="99" ht="15.75" customHeight="1">
      <c r="A99" s="25"/>
      <c r="B99" s="26"/>
      <c r="C99" s="26">
        <v>70.0</v>
      </c>
      <c r="D99" s="26">
        <v>136.4</v>
      </c>
      <c r="E99" s="26">
        <v>135.0</v>
      </c>
      <c r="F99" s="26">
        <v>137.8</v>
      </c>
      <c r="G99" s="26">
        <v>0.51</v>
      </c>
      <c r="H99" s="26">
        <v>108.0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>
        <v>70.0</v>
      </c>
      <c r="BB99" s="26">
        <v>106.9</v>
      </c>
      <c r="BC99" s="26">
        <v>106.1</v>
      </c>
      <c r="BD99" s="26">
        <v>107.6</v>
      </c>
      <c r="BE99" s="26">
        <v>-1.71</v>
      </c>
      <c r="BF99" s="26">
        <v>74.0</v>
      </c>
      <c r="BG99" s="26"/>
      <c r="BH99" s="26"/>
      <c r="BI99" s="26"/>
      <c r="BJ99" s="26"/>
    </row>
    <row r="100" ht="15.75" customHeight="1">
      <c r="A100" s="25"/>
      <c r="B100" s="26"/>
      <c r="C100" s="26">
        <v>71.0</v>
      </c>
      <c r="D100" s="26">
        <v>137.0</v>
      </c>
      <c r="E100" s="26">
        <v>135.8</v>
      </c>
      <c r="F100" s="26">
        <v>138.3</v>
      </c>
      <c r="G100" s="26">
        <v>0.61</v>
      </c>
      <c r="H100" s="26">
        <v>109.0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>
        <v>71.0</v>
      </c>
      <c r="BB100" s="26">
        <v>107.1</v>
      </c>
      <c r="BC100" s="26">
        <v>106.3</v>
      </c>
      <c r="BD100" s="26">
        <v>107.8</v>
      </c>
      <c r="BE100" s="26">
        <v>-1.65</v>
      </c>
      <c r="BF100" s="26">
        <v>75.0</v>
      </c>
      <c r="BG100" s="26"/>
      <c r="BH100" s="26"/>
      <c r="BI100" s="26"/>
      <c r="BJ100" s="26"/>
    </row>
    <row r="101" ht="15.75" customHeight="1">
      <c r="A101" s="25"/>
      <c r="B101" s="26"/>
      <c r="C101" s="26">
        <v>72.0</v>
      </c>
      <c r="D101" s="26">
        <v>137.6</v>
      </c>
      <c r="E101" s="26">
        <v>136.3</v>
      </c>
      <c r="F101" s="26">
        <v>138.8</v>
      </c>
      <c r="G101" s="26">
        <v>0.7</v>
      </c>
      <c r="H101" s="26">
        <v>111.0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>
        <v>72.0</v>
      </c>
      <c r="BB101" s="26">
        <v>107.3</v>
      </c>
      <c r="BC101" s="26">
        <v>106.5</v>
      </c>
      <c r="BD101" s="26">
        <v>108.0</v>
      </c>
      <c r="BE101" s="26">
        <v>-1.59</v>
      </c>
      <c r="BF101" s="26">
        <v>76.0</v>
      </c>
      <c r="BG101" s="26"/>
      <c r="BH101" s="26"/>
      <c r="BI101" s="26"/>
      <c r="BJ101" s="26"/>
    </row>
    <row r="102" ht="15.75" customHeight="1">
      <c r="A102" s="25"/>
      <c r="B102" s="26"/>
      <c r="C102" s="26">
        <v>73.0</v>
      </c>
      <c r="D102" s="26">
        <v>138.2</v>
      </c>
      <c r="E102" s="26">
        <v>136.8</v>
      </c>
      <c r="F102" s="26">
        <v>139.6</v>
      </c>
      <c r="G102" s="26">
        <v>0.81</v>
      </c>
      <c r="H102" s="26">
        <v>112.0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>
        <v>73.0</v>
      </c>
      <c r="BB102" s="26">
        <v>107.4</v>
      </c>
      <c r="BC102" s="26">
        <v>106.7</v>
      </c>
      <c r="BD102" s="26">
        <v>108.1</v>
      </c>
      <c r="BE102" s="26">
        <v>-1.53</v>
      </c>
      <c r="BF102" s="26">
        <v>77.0</v>
      </c>
      <c r="BG102" s="26"/>
      <c r="BH102" s="26"/>
      <c r="BI102" s="26"/>
      <c r="BJ102" s="26"/>
    </row>
    <row r="103" ht="15.75" customHeight="1">
      <c r="A103" s="25"/>
      <c r="B103" s="26"/>
      <c r="C103" s="26">
        <v>74.0</v>
      </c>
      <c r="D103" s="26">
        <v>139.1</v>
      </c>
      <c r="E103" s="26">
        <v>137.5</v>
      </c>
      <c r="F103" s="26">
        <v>140.7</v>
      </c>
      <c r="G103" s="26">
        <v>0.96</v>
      </c>
      <c r="H103" s="26">
        <v>114.0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>
        <v>74.0</v>
      </c>
      <c r="BB103" s="26">
        <v>107.6</v>
      </c>
      <c r="BC103" s="26">
        <v>106.9</v>
      </c>
      <c r="BD103" s="26">
        <v>108.3</v>
      </c>
      <c r="BE103" s="26">
        <v>-1.47</v>
      </c>
      <c r="BF103" s="26">
        <v>78.0</v>
      </c>
      <c r="BG103" s="26"/>
      <c r="BH103" s="26"/>
      <c r="BI103" s="26"/>
      <c r="BJ103" s="26"/>
    </row>
    <row r="104" ht="15.75" customHeight="1">
      <c r="A104" s="25"/>
      <c r="B104" s="26"/>
      <c r="C104" s="26">
        <v>75.0</v>
      </c>
      <c r="D104" s="26">
        <v>139.8</v>
      </c>
      <c r="E104" s="26">
        <v>138.6</v>
      </c>
      <c r="F104" s="26">
        <v>141.1</v>
      </c>
      <c r="G104" s="26">
        <v>1.08</v>
      </c>
      <c r="H104" s="26">
        <v>116.0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>
        <v>75.0</v>
      </c>
      <c r="BB104" s="26">
        <v>107.8</v>
      </c>
      <c r="BC104" s="26">
        <v>107.1</v>
      </c>
      <c r="BD104" s="26">
        <v>108.5</v>
      </c>
      <c r="BE104" s="26">
        <v>-1.41</v>
      </c>
      <c r="BF104" s="26">
        <v>79.0</v>
      </c>
      <c r="BG104" s="26"/>
      <c r="BH104" s="26"/>
      <c r="BI104" s="26"/>
      <c r="BJ104" s="26"/>
    </row>
    <row r="105" ht="15.75" customHeight="1">
      <c r="A105" s="25"/>
      <c r="B105" s="26"/>
      <c r="C105" s="26">
        <v>76.0</v>
      </c>
      <c r="D105" s="26">
        <v>140.3</v>
      </c>
      <c r="E105" s="26">
        <v>139.2</v>
      </c>
      <c r="F105" s="26">
        <v>141.3</v>
      </c>
      <c r="G105" s="26">
        <v>1.16</v>
      </c>
      <c r="H105" s="26">
        <v>117.0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>
        <v>76.0</v>
      </c>
      <c r="BB105" s="26">
        <v>108.0</v>
      </c>
      <c r="BC105" s="26">
        <v>107.3</v>
      </c>
      <c r="BD105" s="26">
        <v>108.7</v>
      </c>
      <c r="BE105" s="26">
        <v>-1.35</v>
      </c>
      <c r="BF105" s="26">
        <v>80.0</v>
      </c>
      <c r="BG105" s="26"/>
      <c r="BH105" s="26"/>
      <c r="BI105" s="26"/>
      <c r="BJ105" s="26"/>
    </row>
    <row r="106" ht="15.75" customHeight="1">
      <c r="A106" s="25"/>
      <c r="B106" s="26"/>
      <c r="C106" s="26">
        <v>77.0</v>
      </c>
      <c r="D106" s="26">
        <v>140.7</v>
      </c>
      <c r="E106" s="26">
        <v>139.7</v>
      </c>
      <c r="F106" s="26">
        <v>141.7</v>
      </c>
      <c r="G106" s="26">
        <v>1.22</v>
      </c>
      <c r="H106" s="26">
        <v>118.0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>
        <v>77.0</v>
      </c>
      <c r="BB106" s="26">
        <v>108.2</v>
      </c>
      <c r="BC106" s="26">
        <v>107.5</v>
      </c>
      <c r="BD106" s="26">
        <v>108.9</v>
      </c>
      <c r="BE106" s="26">
        <v>-1.29</v>
      </c>
      <c r="BF106" s="26">
        <v>81.0</v>
      </c>
      <c r="BG106" s="26"/>
      <c r="BH106" s="26"/>
      <c r="BI106" s="26"/>
      <c r="BJ106" s="26"/>
    </row>
    <row r="107" ht="15.75" customHeight="1">
      <c r="A107" s="25"/>
      <c r="B107" s="26"/>
      <c r="C107" s="26">
        <v>78.0</v>
      </c>
      <c r="D107" s="26">
        <v>141.1</v>
      </c>
      <c r="E107" s="26">
        <v>140.0</v>
      </c>
      <c r="F107" s="26">
        <v>142.1</v>
      </c>
      <c r="G107" s="26">
        <v>1.29</v>
      </c>
      <c r="H107" s="26">
        <v>119.0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>
        <v>78.0</v>
      </c>
      <c r="BB107" s="26">
        <v>108.4</v>
      </c>
      <c r="BC107" s="26">
        <v>107.6</v>
      </c>
      <c r="BD107" s="26">
        <v>109.1</v>
      </c>
      <c r="BE107" s="26">
        <v>-1.23</v>
      </c>
      <c r="BF107" s="26">
        <v>82.0</v>
      </c>
      <c r="BG107" s="26"/>
      <c r="BH107" s="26"/>
      <c r="BI107" s="26"/>
      <c r="BJ107" s="26"/>
    </row>
    <row r="108" ht="15.75" customHeight="1">
      <c r="A108" s="25"/>
      <c r="B108" s="26"/>
      <c r="C108" s="26">
        <v>79.0</v>
      </c>
      <c r="D108" s="26">
        <v>141.6</v>
      </c>
      <c r="E108" s="26">
        <v>140.3</v>
      </c>
      <c r="F108" s="26">
        <v>142.9</v>
      </c>
      <c r="G108" s="26">
        <v>1.38</v>
      </c>
      <c r="H108" s="26">
        <v>121.0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>
        <v>79.0</v>
      </c>
      <c r="BB108" s="26">
        <v>108.6</v>
      </c>
      <c r="BC108" s="26">
        <v>107.8</v>
      </c>
      <c r="BD108" s="26">
        <v>1109.3</v>
      </c>
      <c r="BE108" s="26">
        <v>-1.16</v>
      </c>
      <c r="BF108" s="26">
        <v>83.0</v>
      </c>
      <c r="BG108" s="26"/>
      <c r="BH108" s="26"/>
      <c r="BI108" s="26"/>
      <c r="BJ108" s="26"/>
    </row>
    <row r="109" ht="15.75" customHeight="1">
      <c r="A109" s="25"/>
      <c r="B109" s="26"/>
      <c r="C109" s="26">
        <v>80.0</v>
      </c>
      <c r="D109" s="26">
        <v>142.5</v>
      </c>
      <c r="E109" s="26">
        <v>140.7</v>
      </c>
      <c r="F109" s="26">
        <v>144.3</v>
      </c>
      <c r="G109" s="26">
        <v>1.53</v>
      </c>
      <c r="H109" s="26">
        <v>123.0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>
        <v>80.0</v>
      </c>
      <c r="BB109" s="26">
        <v>108.8</v>
      </c>
      <c r="BC109" s="26">
        <v>108.0</v>
      </c>
      <c r="BD109" s="26">
        <v>109.6</v>
      </c>
      <c r="BE109" s="26">
        <v>-1.09</v>
      </c>
      <c r="BF109" s="26">
        <v>84.0</v>
      </c>
      <c r="BG109" s="26"/>
      <c r="BH109" s="26"/>
      <c r="BI109" s="26"/>
      <c r="BJ109" s="26"/>
    </row>
    <row r="110" ht="15.75" customHeight="1">
      <c r="A110" s="25"/>
      <c r="B110" s="26"/>
      <c r="C110" s="26">
        <v>81.0</v>
      </c>
      <c r="D110" s="26">
        <v>143.5</v>
      </c>
      <c r="E110" s="26">
        <v>142.0</v>
      </c>
      <c r="F110" s="26">
        <v>145.0</v>
      </c>
      <c r="G110" s="26">
        <v>1.7</v>
      </c>
      <c r="H110" s="26">
        <v>126.0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>
        <v>81.0</v>
      </c>
      <c r="BB110" s="26">
        <v>109.1</v>
      </c>
      <c r="BC110" s="26">
        <v>108.2</v>
      </c>
      <c r="BD110" s="26">
        <v>109.9</v>
      </c>
      <c r="BE110" s="26">
        <v>-1.02</v>
      </c>
      <c r="BF110" s="26">
        <v>85.0</v>
      </c>
      <c r="BG110" s="26"/>
      <c r="BH110" s="26"/>
      <c r="BI110" s="26"/>
      <c r="BJ110" s="26"/>
    </row>
    <row r="111" ht="15.75" customHeight="1">
      <c r="A111" s="25"/>
      <c r="B111" s="26"/>
      <c r="C111" s="26">
        <v>82.0</v>
      </c>
      <c r="D111" s="26">
        <v>144.4</v>
      </c>
      <c r="E111" s="26">
        <v>142.7</v>
      </c>
      <c r="F111" s="26">
        <v>146.0</v>
      </c>
      <c r="G111" s="26">
        <v>1.85</v>
      </c>
      <c r="H111" s="26">
        <v>128.0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>
        <v>82.0</v>
      </c>
      <c r="BB111" s="26">
        <v>109.3</v>
      </c>
      <c r="BC111" s="26">
        <v>108.5</v>
      </c>
      <c r="BD111" s="26">
        <v>110.1</v>
      </c>
      <c r="BE111" s="26">
        <v>-0.94</v>
      </c>
      <c r="BF111" s="26">
        <v>86.0</v>
      </c>
      <c r="BG111" s="26"/>
      <c r="BH111" s="26"/>
      <c r="BI111" s="26"/>
      <c r="BJ111" s="26"/>
    </row>
    <row r="112" ht="15.75" customHeight="1">
      <c r="A112" s="25"/>
      <c r="B112" s="26"/>
      <c r="C112" s="26">
        <v>83.0</v>
      </c>
      <c r="D112" s="26">
        <v>145.3</v>
      </c>
      <c r="E112" s="26">
        <v>143.9</v>
      </c>
      <c r="F112" s="26">
        <v>146.7</v>
      </c>
      <c r="G112" s="26">
        <v>2.0</v>
      </c>
      <c r="H112" s="26">
        <v>130.0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>
        <v>83.0</v>
      </c>
      <c r="BB112" s="26">
        <v>109.6</v>
      </c>
      <c r="BC112" s="26">
        <v>108.7</v>
      </c>
      <c r="BD112" s="26">
        <v>110.4</v>
      </c>
      <c r="BE112" s="26">
        <v>-0.85</v>
      </c>
      <c r="BF112" s="26">
        <v>87.0</v>
      </c>
      <c r="BG112" s="26"/>
      <c r="BH112" s="26"/>
      <c r="BI112" s="26"/>
      <c r="BJ112" s="26"/>
    </row>
    <row r="113" ht="15.75" customHeight="1">
      <c r="A113" s="25"/>
      <c r="B113" s="26"/>
      <c r="C113" s="26">
        <v>84.0</v>
      </c>
      <c r="D113" s="26">
        <v>145.9</v>
      </c>
      <c r="E113" s="26">
        <v>144.7</v>
      </c>
      <c r="F113" s="26">
        <v>147.0</v>
      </c>
      <c r="G113" s="26">
        <v>2.1</v>
      </c>
      <c r="H113" s="26">
        <v>11.0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>
        <v>84.0</v>
      </c>
      <c r="BB113" s="26">
        <v>109.8</v>
      </c>
      <c r="BC113" s="26">
        <v>109.0</v>
      </c>
      <c r="BD113" s="26">
        <v>110.6</v>
      </c>
      <c r="BE113" s="26">
        <v>-0.77</v>
      </c>
      <c r="BF113" s="26">
        <v>88.0</v>
      </c>
      <c r="BG113" s="26"/>
      <c r="BH113" s="26"/>
      <c r="BI113" s="26"/>
      <c r="BJ113" s="26"/>
    </row>
    <row r="114" ht="15.75" customHeight="1">
      <c r="A114" s="25"/>
      <c r="B114" s="26"/>
      <c r="C114" s="26">
        <v>85.0</v>
      </c>
      <c r="D114" s="26">
        <v>146.3</v>
      </c>
      <c r="E114" s="26">
        <v>145.2</v>
      </c>
      <c r="F114" s="26">
        <v>147.4</v>
      </c>
      <c r="G114" s="26">
        <v>2.17</v>
      </c>
      <c r="H114" s="26">
        <v>133.0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>
        <v>85.0</v>
      </c>
      <c r="BB114" s="26">
        <v>110.1</v>
      </c>
      <c r="BC114" s="26">
        <v>109.3</v>
      </c>
      <c r="BD114" s="26">
        <v>110.9</v>
      </c>
      <c r="BE114" s="26">
        <v>-0.69</v>
      </c>
      <c r="BF114" s="26">
        <v>90.0</v>
      </c>
      <c r="BG114" s="26"/>
      <c r="BH114" s="26"/>
      <c r="BI114" s="26"/>
    </row>
    <row r="115" ht="15.75" customHeight="1">
      <c r="A115" s="25"/>
      <c r="B115" s="26"/>
      <c r="C115" s="26">
        <v>86.0</v>
      </c>
      <c r="D115" s="26">
        <v>146.8</v>
      </c>
      <c r="E115" s="26">
        <v>145.6</v>
      </c>
      <c r="F115" s="26">
        <v>147.9</v>
      </c>
      <c r="G115" s="26">
        <v>2.25</v>
      </c>
      <c r="H115" s="26">
        <v>134.0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>
        <v>86.0</v>
      </c>
      <c r="BB115" s="26">
        <v>110.3</v>
      </c>
      <c r="BC115" s="26">
        <v>109.5</v>
      </c>
      <c r="BD115" s="26">
        <v>111.1</v>
      </c>
      <c r="BE115" s="26">
        <v>-0.62</v>
      </c>
      <c r="BF115" s="26">
        <v>91.0</v>
      </c>
      <c r="BG115" s="26"/>
      <c r="BH115" s="26"/>
      <c r="BI115" s="26"/>
    </row>
    <row r="116" ht="15.75" customHeight="1">
      <c r="A116" s="25"/>
      <c r="B116" s="26"/>
      <c r="C116" s="26">
        <v>87.0</v>
      </c>
      <c r="D116" s="26">
        <v>147.3</v>
      </c>
      <c r="E116" s="26">
        <v>145.9</v>
      </c>
      <c r="F116" s="26">
        <v>148.7</v>
      </c>
      <c r="G116" s="26">
        <v>2.34</v>
      </c>
      <c r="H116" s="26">
        <v>135.0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>
        <v>87.0</v>
      </c>
      <c r="BB116" s="26">
        <v>110.5</v>
      </c>
      <c r="BC116" s="26">
        <v>109.8</v>
      </c>
      <c r="BD116" s="26">
        <v>111.3</v>
      </c>
      <c r="BE116" s="26">
        <v>-0.55</v>
      </c>
      <c r="BF116" s="26">
        <v>92.0</v>
      </c>
      <c r="BG116" s="26"/>
      <c r="BH116" s="26"/>
      <c r="BI116" s="26"/>
    </row>
    <row r="117" ht="15.75" customHeight="1">
      <c r="A117" s="25"/>
      <c r="B117" s="26"/>
      <c r="C117" s="26">
        <v>88.0</v>
      </c>
      <c r="D117" s="26">
        <v>148.4</v>
      </c>
      <c r="E117" s="26">
        <v>146.3</v>
      </c>
      <c r="F117" s="26">
        <v>150.5</v>
      </c>
      <c r="G117" s="26">
        <v>2.52</v>
      </c>
      <c r="H117" s="26">
        <v>138.0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>
        <v>88.0</v>
      </c>
      <c r="BB117" s="26">
        <v>110.7</v>
      </c>
      <c r="BC117" s="26">
        <v>110.0</v>
      </c>
      <c r="BD117" s="26">
        <v>111.5</v>
      </c>
      <c r="BE117" s="26">
        <v>-0.48</v>
      </c>
      <c r="BF117" s="26">
        <v>93.0</v>
      </c>
      <c r="BG117" s="26"/>
      <c r="BH117" s="26"/>
      <c r="BI117" s="26"/>
    </row>
    <row r="118" ht="15.75" customHeight="1">
      <c r="A118" s="25"/>
      <c r="B118" s="26"/>
      <c r="C118" s="26">
        <v>89.0</v>
      </c>
      <c r="D118" s="26">
        <v>150.2</v>
      </c>
      <c r="E118" s="26">
        <v>147.9</v>
      </c>
      <c r="F118" s="26">
        <v>152.5</v>
      </c>
      <c r="G118" s="26">
        <v>2.83</v>
      </c>
      <c r="H118" s="26">
        <v>142.0</v>
      </c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>
        <v>89.0</v>
      </c>
      <c r="BB118" s="26">
        <v>110.9</v>
      </c>
      <c r="BC118" s="26">
        <v>110.2</v>
      </c>
      <c r="BD118" s="26">
        <v>111.7</v>
      </c>
      <c r="BE118" s="26">
        <v>-0.42</v>
      </c>
      <c r="BF118" s="26">
        <v>94.0</v>
      </c>
      <c r="BG118" s="26"/>
      <c r="BH118" s="26"/>
      <c r="BI118" s="26"/>
    </row>
    <row r="119" ht="15.75" customHeight="1">
      <c r="A119" s="25"/>
      <c r="B119" s="26"/>
      <c r="C119" s="26">
        <v>90.0</v>
      </c>
      <c r="D119" s="26">
        <v>151.9</v>
      </c>
      <c r="E119" s="26">
        <v>148.7</v>
      </c>
      <c r="F119" s="26">
        <v>155.2</v>
      </c>
      <c r="G119" s="26">
        <v>3.12</v>
      </c>
      <c r="H119" s="26">
        <v>147.0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>
        <v>90.0</v>
      </c>
      <c r="BB119" s="26">
        <v>111.1</v>
      </c>
      <c r="BC119" s="26">
        <v>110.4</v>
      </c>
      <c r="BD119" s="26">
        <v>111.9</v>
      </c>
      <c r="BE119" s="26">
        <v>-0.35</v>
      </c>
      <c r="BF119" s="26">
        <v>95.0</v>
      </c>
      <c r="BG119" s="26"/>
      <c r="BH119" s="26"/>
      <c r="BI119" s="26"/>
    </row>
    <row r="120" ht="15.75" customHeight="1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>
        <v>91.0</v>
      </c>
      <c r="BB120" s="26">
        <v>111.3</v>
      </c>
      <c r="BC120" s="26">
        <v>110.6</v>
      </c>
      <c r="BD120" s="26">
        <v>112.1</v>
      </c>
      <c r="BE120" s="26">
        <v>-0.29</v>
      </c>
      <c r="BF120" s="26">
        <v>96.0</v>
      </c>
      <c r="BG120" s="26"/>
      <c r="BH120" s="26"/>
      <c r="BI120" s="26"/>
    </row>
    <row r="121" ht="15.75" customHeight="1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>
        <v>92.0</v>
      </c>
      <c r="BB121" s="26">
        <v>111.5</v>
      </c>
      <c r="BC121" s="26">
        <v>110.8</v>
      </c>
      <c r="BD121" s="26">
        <v>112.3</v>
      </c>
      <c r="BE121" s="26">
        <v>-0.23</v>
      </c>
      <c r="BF121" s="26">
        <v>97.0</v>
      </c>
      <c r="BG121" s="26"/>
      <c r="BH121" s="26"/>
      <c r="BI121" s="26"/>
    </row>
    <row r="122" ht="15.75" customHeight="1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>
        <v>93.0</v>
      </c>
      <c r="BB122" s="26">
        <v>111.8</v>
      </c>
      <c r="BC122" s="26">
        <v>111.0</v>
      </c>
      <c r="BD122" s="26">
        <v>112.5</v>
      </c>
      <c r="BE122" s="26">
        <v>-0.16</v>
      </c>
      <c r="BF122" s="26">
        <v>98.0</v>
      </c>
      <c r="BG122" s="26"/>
      <c r="BH122" s="26"/>
      <c r="BI122" s="26"/>
    </row>
    <row r="123" ht="15.75" customHeight="1"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>
        <v>94.0</v>
      </c>
      <c r="BB123" s="26">
        <v>112.0</v>
      </c>
      <c r="BC123" s="26">
        <v>111.2</v>
      </c>
      <c r="BD123" s="26">
        <v>112.8</v>
      </c>
      <c r="BE123" s="26">
        <v>-0.09</v>
      </c>
      <c r="BF123" s="26">
        <v>99.0</v>
      </c>
      <c r="BG123" s="26"/>
      <c r="BH123" s="26"/>
      <c r="BI123" s="26"/>
    </row>
    <row r="124" ht="15.75" customHeight="1"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>
        <v>95.0</v>
      </c>
      <c r="BB124" s="26">
        <v>112.2</v>
      </c>
      <c r="BC124" s="26">
        <v>111.4</v>
      </c>
      <c r="BD124" s="26">
        <v>113.1</v>
      </c>
      <c r="BE124" s="26">
        <v>0.0</v>
      </c>
      <c r="BF124" s="26">
        <v>100.0</v>
      </c>
      <c r="BG124" s="26"/>
      <c r="BH124" s="26"/>
      <c r="BI124" s="26"/>
    </row>
    <row r="125" ht="15.75" customHeight="1"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>
        <v>96.0</v>
      </c>
      <c r="BB125" s="26">
        <v>112.5</v>
      </c>
      <c r="BC125" s="26">
        <v>111.6</v>
      </c>
      <c r="BD125" s="26">
        <v>113.4</v>
      </c>
      <c r="BE125" s="26">
        <v>0.08</v>
      </c>
      <c r="BF125" s="26">
        <v>101.0</v>
      </c>
      <c r="BG125" s="26"/>
      <c r="BH125" s="26"/>
      <c r="BI125" s="26"/>
    </row>
    <row r="126" ht="15.75" customHeight="1"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>
        <v>97.0</v>
      </c>
      <c r="BB126" s="26">
        <v>112.8</v>
      </c>
      <c r="BC126" s="26">
        <v>111.9</v>
      </c>
      <c r="BD126" s="26">
        <v>113.6</v>
      </c>
      <c r="BE126" s="26">
        <v>0.17</v>
      </c>
      <c r="BF126" s="26">
        <v>103.0</v>
      </c>
      <c r="BG126" s="26"/>
      <c r="BH126" s="26"/>
      <c r="BI126" s="26"/>
    </row>
    <row r="127" ht="15.75" customHeight="1"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>
        <v>98.0</v>
      </c>
      <c r="BB127" s="26">
        <v>113.1</v>
      </c>
      <c r="BC127" s="26">
        <v>112.2</v>
      </c>
      <c r="BD127" s="26">
        <v>113.9</v>
      </c>
      <c r="BE127" s="26">
        <v>0.25</v>
      </c>
      <c r="BF127" s="26">
        <v>104.0</v>
      </c>
      <c r="BG127" s="26"/>
      <c r="BH127" s="26"/>
      <c r="BI127" s="26"/>
    </row>
    <row r="128" ht="15.75" customHeight="1"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>
        <v>99.0</v>
      </c>
      <c r="BB128" s="26">
        <v>113.3</v>
      </c>
      <c r="BC128" s="26">
        <v>112.5</v>
      </c>
      <c r="BD128" s="26">
        <v>114.2</v>
      </c>
      <c r="BE128" s="26">
        <v>0.34</v>
      </c>
      <c r="BF128" s="26">
        <v>105.0</v>
      </c>
      <c r="BG128" s="26"/>
      <c r="BH128" s="26"/>
      <c r="BI128" s="26"/>
    </row>
    <row r="129" ht="15.75" customHeight="1"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>
        <v>100.0</v>
      </c>
      <c r="BB129" s="26">
        <v>113.6</v>
      </c>
      <c r="BC129" s="26">
        <v>112.7</v>
      </c>
      <c r="BD129" s="26">
        <v>114.4</v>
      </c>
      <c r="BE129" s="26">
        <v>0.42</v>
      </c>
      <c r="BF129" s="26">
        <v>106.0</v>
      </c>
      <c r="BG129" s="26"/>
      <c r="BH129" s="26"/>
      <c r="BI129" s="26"/>
    </row>
    <row r="130" ht="15.75" customHeight="1"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>
        <v>101.0</v>
      </c>
      <c r="BB130" s="26">
        <v>113.8</v>
      </c>
      <c r="BC130" s="26">
        <v>113.0</v>
      </c>
      <c r="BD130" s="26">
        <v>114.7</v>
      </c>
      <c r="BE130" s="26">
        <v>0.5</v>
      </c>
      <c r="BF130" s="26">
        <v>108.0</v>
      </c>
      <c r="BG130" s="26"/>
      <c r="BH130" s="26"/>
      <c r="BI130" s="26"/>
    </row>
    <row r="131" ht="15.75" customHeight="1"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>
        <v>102.0</v>
      </c>
      <c r="BB131" s="26">
        <v>114.1</v>
      </c>
      <c r="BC131" s="26">
        <v>113.2</v>
      </c>
      <c r="BD131" s="26">
        <v>115.0</v>
      </c>
      <c r="BE131" s="26">
        <v>0.59</v>
      </c>
      <c r="BF131" s="26">
        <v>109.0</v>
      </c>
      <c r="BG131" s="26"/>
      <c r="BH131" s="26"/>
      <c r="BI131" s="26"/>
    </row>
    <row r="132" ht="15.75" customHeight="1"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>
        <v>103.0</v>
      </c>
      <c r="BB132" s="26">
        <v>114.4</v>
      </c>
      <c r="BC132" s="26">
        <v>113.5</v>
      </c>
      <c r="BD132" s="26">
        <v>115.3</v>
      </c>
      <c r="BE132" s="26">
        <v>0.68</v>
      </c>
      <c r="BF132" s="26">
        <v>110.0</v>
      </c>
      <c r="BG132" s="26"/>
      <c r="BH132" s="26"/>
      <c r="BI132" s="26"/>
    </row>
    <row r="133" ht="15.75" customHeight="1"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>
        <v>104.0</v>
      </c>
      <c r="BB133" s="26">
        <v>114.7</v>
      </c>
      <c r="BC133" s="26">
        <v>113.8</v>
      </c>
      <c r="BD133" s="26">
        <v>115.6</v>
      </c>
      <c r="BE133" s="26">
        <v>0.78</v>
      </c>
      <c r="BF133" s="26">
        <v>112.0</v>
      </c>
      <c r="BG133" s="26"/>
      <c r="BH133" s="26"/>
      <c r="BI133" s="26"/>
    </row>
    <row r="134" ht="15.75" customHeight="1"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>
        <v>105.0</v>
      </c>
      <c r="BB134" s="26">
        <v>115.0</v>
      </c>
      <c r="BC134" s="26">
        <v>114.1</v>
      </c>
      <c r="BD134" s="26">
        <v>116.0</v>
      </c>
      <c r="BE134" s="26">
        <v>0.87</v>
      </c>
      <c r="BF134" s="26">
        <v>113.0</v>
      </c>
      <c r="BG134" s="26"/>
      <c r="BH134" s="26"/>
      <c r="BI134" s="26"/>
    </row>
    <row r="135" ht="15.75" customHeight="1"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>
        <v>106.0</v>
      </c>
      <c r="BB135" s="26">
        <v>115.3</v>
      </c>
      <c r="BC135" s="26">
        <v>114.4</v>
      </c>
      <c r="BD135" s="26">
        <v>116.2</v>
      </c>
      <c r="BE135" s="26">
        <v>0.96</v>
      </c>
      <c r="BF135" s="26">
        <v>114.0</v>
      </c>
      <c r="BG135" s="26"/>
      <c r="BH135" s="26"/>
      <c r="BI135" s="26"/>
    </row>
    <row r="136" ht="15.75" customHeight="1"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>
        <v>107.0</v>
      </c>
      <c r="BB136" s="26">
        <v>115.6</v>
      </c>
      <c r="BC136" s="26">
        <v>114.7</v>
      </c>
      <c r="BD136" s="26">
        <v>116.5</v>
      </c>
      <c r="BE136" s="26">
        <v>1.06</v>
      </c>
      <c r="BF136" s="26">
        <v>116.0</v>
      </c>
      <c r="BG136" s="26"/>
      <c r="BH136" s="26"/>
      <c r="BI136" s="26"/>
    </row>
    <row r="137" ht="15.75" customHeight="1"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>
        <v>108.0</v>
      </c>
      <c r="BB137" s="26">
        <v>115.9</v>
      </c>
      <c r="BC137" s="26">
        <v>115.0</v>
      </c>
      <c r="BD137" s="26">
        <v>116.7</v>
      </c>
      <c r="BE137" s="26">
        <v>1.14</v>
      </c>
      <c r="BF137" s="26">
        <v>117.0</v>
      </c>
      <c r="BG137" s="26"/>
      <c r="BH137" s="26"/>
      <c r="BI137" s="26"/>
    </row>
    <row r="138" ht="15.75" customHeight="1"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>
        <v>109.0</v>
      </c>
      <c r="BB138" s="26">
        <v>116.1</v>
      </c>
      <c r="BC138" s="26">
        <v>115.3</v>
      </c>
      <c r="BD138" s="26">
        <v>117.0</v>
      </c>
      <c r="BE138" s="26">
        <v>1.23</v>
      </c>
      <c r="BF138" s="26">
        <v>118.0</v>
      </c>
      <c r="BG138" s="26"/>
      <c r="BH138" s="26"/>
      <c r="BI138" s="26"/>
    </row>
    <row r="139" ht="15.75" customHeight="1"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>
        <v>110.0</v>
      </c>
      <c r="BB139" s="26">
        <v>116.4</v>
      </c>
      <c r="BC139" s="26">
        <v>115.6</v>
      </c>
      <c r="BD139" s="26">
        <v>117.3</v>
      </c>
      <c r="BE139" s="26">
        <v>1.32</v>
      </c>
      <c r="BF139" s="26">
        <v>120.0</v>
      </c>
      <c r="BG139" s="26"/>
      <c r="BH139" s="26"/>
      <c r="BI139" s="26"/>
    </row>
    <row r="140" ht="15.75" customHeight="1"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>
        <v>111.0</v>
      </c>
      <c r="BB140" s="26">
        <v>116.7</v>
      </c>
      <c r="BC140" s="26">
        <v>115.8</v>
      </c>
      <c r="BD140" s="26">
        <v>117.5</v>
      </c>
      <c r="BE140" s="26">
        <v>1.4</v>
      </c>
      <c r="BF140" s="26">
        <v>121.0</v>
      </c>
      <c r="BG140" s="26"/>
      <c r="BH140" s="26"/>
      <c r="BI140" s="26"/>
    </row>
    <row r="141" ht="15.75" customHeight="1"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>
        <v>112.0</v>
      </c>
      <c r="BB141" s="26">
        <v>116.9</v>
      </c>
      <c r="BC141" s="26">
        <v>116.1</v>
      </c>
      <c r="BD141" s="26">
        <v>117.8</v>
      </c>
      <c r="BE141" s="26">
        <v>1.49</v>
      </c>
      <c r="BF141" s="26">
        <v>122.0</v>
      </c>
      <c r="BG141" s="26"/>
      <c r="BH141" s="26"/>
      <c r="BI141" s="26"/>
    </row>
    <row r="142" ht="15.75" customHeight="1"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>
        <v>113.0</v>
      </c>
      <c r="BB142" s="26">
        <v>117.2</v>
      </c>
      <c r="BC142" s="26">
        <v>116.4</v>
      </c>
      <c r="BD142" s="26">
        <v>118.0</v>
      </c>
      <c r="BE142" s="26">
        <v>1.57</v>
      </c>
      <c r="BF142" s="26">
        <v>124.0</v>
      </c>
      <c r="BG142" s="26"/>
      <c r="BH142" s="26"/>
      <c r="BI142" s="26"/>
    </row>
    <row r="143" ht="15.75" customHeight="1"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>
        <v>114.0</v>
      </c>
      <c r="BB143" s="26">
        <v>117.5</v>
      </c>
      <c r="BC143" s="26">
        <v>116.6</v>
      </c>
      <c r="BD143" s="26">
        <v>118.3</v>
      </c>
      <c r="BE143" s="26">
        <v>1.66</v>
      </c>
      <c r="BF143" s="26">
        <v>125.0</v>
      </c>
      <c r="BG143" s="26"/>
      <c r="BH143" s="26"/>
      <c r="BI143" s="26"/>
    </row>
    <row r="144" ht="15.75" customHeight="1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>
        <v>115.0</v>
      </c>
      <c r="BB144" s="26">
        <v>117.8</v>
      </c>
      <c r="BC144" s="26">
        <v>116.8</v>
      </c>
      <c r="BD144" s="26">
        <v>118.7</v>
      </c>
      <c r="BE144" s="26">
        <v>1.75</v>
      </c>
      <c r="BF144" s="26">
        <v>126.0</v>
      </c>
      <c r="BG144" s="26"/>
      <c r="BH144" s="26"/>
      <c r="BI144" s="26"/>
    </row>
    <row r="145" ht="15.75" customHeight="1"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>
        <v>116.0</v>
      </c>
      <c r="BB145" s="26">
        <v>118.2</v>
      </c>
      <c r="BC145" s="26">
        <v>117.0</v>
      </c>
      <c r="BD145" s="26">
        <v>119.3</v>
      </c>
      <c r="BE145" s="26">
        <v>1.88</v>
      </c>
      <c r="BF145" s="26">
        <v>128.0</v>
      </c>
      <c r="BG145" s="26"/>
      <c r="BH145" s="26"/>
      <c r="BI145" s="26"/>
    </row>
    <row r="146" ht="15.75" customHeight="1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>
        <v>117.0</v>
      </c>
      <c r="BB146" s="26">
        <v>118.8</v>
      </c>
      <c r="BC146" s="26">
        <v>117.3</v>
      </c>
      <c r="BD146" s="26">
        <v>120.4</v>
      </c>
      <c r="BE146" s="26">
        <v>2.08</v>
      </c>
      <c r="BF146" s="26">
        <v>131.0</v>
      </c>
      <c r="BG146" s="26"/>
      <c r="BH146" s="26"/>
      <c r="BI146" s="26"/>
    </row>
    <row r="147" ht="15.75" customHeight="1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>
        <v>118.0</v>
      </c>
      <c r="BB147" s="26">
        <v>120.1</v>
      </c>
      <c r="BC147" s="26">
        <v>118.0</v>
      </c>
      <c r="BD147" s="26">
        <v>122.2</v>
      </c>
      <c r="BE147" s="26">
        <v>2.49</v>
      </c>
      <c r="BF147" s="26">
        <v>137.0</v>
      </c>
      <c r="BG147" s="26"/>
      <c r="BH147" s="26"/>
      <c r="BI147" s="26"/>
    </row>
    <row r="148" ht="15.75" customHeight="1"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>
        <v>119.0</v>
      </c>
      <c r="BB148" s="26">
        <v>121.9</v>
      </c>
      <c r="BC148" s="26">
        <v>119.5</v>
      </c>
      <c r="BD148" s="26">
        <v>124.2</v>
      </c>
      <c r="BE148" s="26">
        <v>3.05</v>
      </c>
      <c r="BF148" s="26">
        <v>146.0</v>
      </c>
      <c r="BG148" s="26"/>
      <c r="BH148" s="26"/>
      <c r="BI148" s="26"/>
    </row>
    <row r="149" ht="15.75" customHeight="1"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>
        <v>120.0</v>
      </c>
      <c r="BB149" s="26">
        <v>123.7</v>
      </c>
      <c r="BC149" s="26">
        <v>120.4</v>
      </c>
      <c r="BD149" s="26">
        <v>127.1</v>
      </c>
      <c r="BE149" s="26">
        <v>3.63</v>
      </c>
      <c r="BF149" s="26">
        <v>155.0</v>
      </c>
      <c r="BG149" s="26"/>
      <c r="BH149" s="26"/>
      <c r="BI149" s="26"/>
    </row>
    <row r="150" ht="15.75" customHeight="1"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</row>
    <row r="151" ht="15.75" customHeight="1"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</row>
    <row r="152" ht="15.75" customHeight="1"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</row>
    <row r="153" ht="15.75" customHeight="1"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65" width="8.71"/>
  </cols>
  <sheetData>
    <row r="1">
      <c r="A1" s="1" t="s">
        <v>37</v>
      </c>
    </row>
    <row r="2" ht="24.0" customHeight="1">
      <c r="C2" s="2" t="s">
        <v>1</v>
      </c>
    </row>
    <row r="3" ht="23.25" customHeight="1">
      <c r="C3" s="3" t="s">
        <v>2</v>
      </c>
      <c r="D3" s="4"/>
      <c r="E3" s="5"/>
    </row>
    <row r="4" ht="30.0" customHeight="1">
      <c r="C4" s="6" t="s">
        <v>3</v>
      </c>
      <c r="D4" s="28">
        <v>6683923.0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29">
        <v>4.0</v>
      </c>
      <c r="E6" s="30">
        <v>48.0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48-53MESES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31" t="s">
        <v>18</v>
      </c>
      <c r="G13" s="32">
        <v>80.0</v>
      </c>
      <c r="H13" s="31">
        <f t="shared" ref="H13:K13" si="1">VLOOKUP(G13,C29:H113,2,0)</f>
        <v>148.2</v>
      </c>
      <c r="I13" s="31">
        <f t="shared" si="1"/>
        <v>145.8</v>
      </c>
      <c r="J13" s="31">
        <f t="shared" si="1"/>
        <v>150.6</v>
      </c>
      <c r="K13" s="31">
        <f t="shared" si="1"/>
        <v>2.98</v>
      </c>
      <c r="L13" s="31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Muito acima do esperado</v>
      </c>
      <c r="M13" s="31">
        <f>VLOOKUP(G13,C29:H113,6,0)</f>
        <v>145</v>
      </c>
      <c r="N13" s="31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Superior</v>
      </c>
    </row>
    <row r="14">
      <c r="F14" s="31" t="s">
        <v>19</v>
      </c>
      <c r="G14" s="32">
        <v>55.0</v>
      </c>
      <c r="H14" s="31">
        <f t="shared" ref="H14:K14" si="2">VLOOKUP(G14,K29:L133,2,0)</f>
        <v>124.7</v>
      </c>
      <c r="I14" s="31">
        <f t="shared" si="2"/>
        <v>123.6</v>
      </c>
      <c r="J14" s="31">
        <f t="shared" si="2"/>
        <v>125.9</v>
      </c>
      <c r="K14" s="31">
        <f t="shared" si="2"/>
        <v>-0.24</v>
      </c>
      <c r="L14" s="31" t="str">
        <f t="shared" si="3"/>
        <v>Típico</v>
      </c>
      <c r="M14" s="31">
        <f>VLOOKUP(G14,K29:P133,6,0)</f>
        <v>96</v>
      </c>
      <c r="N14" s="31" t="str">
        <f t="shared" si="4"/>
        <v>Médio</v>
      </c>
    </row>
    <row r="15">
      <c r="F15" s="31" t="s">
        <v>20</v>
      </c>
      <c r="G15" s="32">
        <v>47.0</v>
      </c>
      <c r="H15" s="31">
        <f t="shared" ref="H15:K15" si="5">VLOOKUP(G15,R28:W93,2,0)</f>
        <v>137</v>
      </c>
      <c r="I15" s="31">
        <f t="shared" si="5"/>
        <v>134.2</v>
      </c>
      <c r="J15" s="31">
        <f t="shared" si="5"/>
        <v>139.9</v>
      </c>
      <c r="K15" s="31">
        <f t="shared" si="5"/>
        <v>0.82</v>
      </c>
      <c r="L15" s="31" t="str">
        <f t="shared" si="3"/>
        <v>Típico</v>
      </c>
      <c r="M15" s="31">
        <f>VLOOKUP(G15,R28:W93,6,0)</f>
        <v>112</v>
      </c>
      <c r="N15" s="31" t="str">
        <f t="shared" si="4"/>
        <v>Médio</v>
      </c>
    </row>
    <row r="16">
      <c r="F16" s="31" t="s">
        <v>21</v>
      </c>
      <c r="G16" s="32">
        <v>61.0</v>
      </c>
      <c r="H16" s="31">
        <f t="shared" ref="H16:K16" si="6">VLOOKUP(G16,Z29:AE117,2,0)</f>
        <v>148.1</v>
      </c>
      <c r="I16" s="31">
        <f t="shared" si="6"/>
        <v>134.7</v>
      </c>
      <c r="J16" s="31">
        <f t="shared" si="6"/>
        <v>161.5</v>
      </c>
      <c r="K16" s="31">
        <f t="shared" si="6"/>
        <v>0.24</v>
      </c>
      <c r="L16" s="31" t="str">
        <f t="shared" si="3"/>
        <v>Típico</v>
      </c>
      <c r="M16" s="31">
        <f>VLOOKUP(G16,Z29:AE117,6,0)</f>
        <v>104</v>
      </c>
      <c r="N16" s="31" t="str">
        <f t="shared" si="4"/>
        <v>Médio</v>
      </c>
    </row>
    <row r="17">
      <c r="F17" s="31" t="s">
        <v>22</v>
      </c>
      <c r="G17" s="32">
        <v>38.0</v>
      </c>
      <c r="H17" s="31">
        <f t="shared" ref="H17:K17" si="7">VLOOKUP(G17,AI30:AN92,2,0)</f>
        <v>142</v>
      </c>
      <c r="I17" s="31">
        <f t="shared" si="7"/>
        <v>104.6</v>
      </c>
      <c r="J17" s="31">
        <f t="shared" si="7"/>
        <v>143.4</v>
      </c>
      <c r="K17" s="31">
        <f t="shared" si="7"/>
        <v>-0.43</v>
      </c>
      <c r="L17" s="31" t="str">
        <f t="shared" si="3"/>
        <v>Típico</v>
      </c>
      <c r="M17" s="31">
        <f>VLOOKUP(G17,AI30:AN92,6,0)</f>
        <v>94</v>
      </c>
      <c r="N17" s="31" t="str">
        <f t="shared" si="4"/>
        <v>Médio</v>
      </c>
    </row>
    <row r="18">
      <c r="F18" s="31" t="s">
        <v>23</v>
      </c>
      <c r="G18" s="32">
        <v>26.0</v>
      </c>
      <c r="H18" s="31">
        <f t="shared" ref="H18:K18" si="8">VLOOKUP(G18,AS29:AX71,2,0)</f>
        <v>133.8</v>
      </c>
      <c r="I18" s="31">
        <f t="shared" si="8"/>
        <v>132.6</v>
      </c>
      <c r="J18" s="31">
        <f t="shared" si="8"/>
        <v>135</v>
      </c>
      <c r="K18" s="31">
        <f t="shared" si="8"/>
        <v>-0.44</v>
      </c>
      <c r="L18" s="31" t="str">
        <f t="shared" si="3"/>
        <v>Típico</v>
      </c>
      <c r="M18" s="31">
        <f>VLOOKUP(G18,AS29:AX71,6,0)</f>
        <v>93</v>
      </c>
      <c r="N18" s="31" t="str">
        <f t="shared" si="4"/>
        <v>Médio</v>
      </c>
    </row>
    <row r="19">
      <c r="F19" s="31" t="s">
        <v>24</v>
      </c>
      <c r="G19" s="32">
        <v>79.0</v>
      </c>
      <c r="H19" s="31">
        <f t="shared" ref="H19:K19" si="9">VLOOKUP(G19,BA29:BF143,2,0)</f>
        <v>108.6</v>
      </c>
      <c r="I19" s="31">
        <f t="shared" si="9"/>
        <v>107.8</v>
      </c>
      <c r="J19" s="31">
        <f t="shared" si="9"/>
        <v>1109.3</v>
      </c>
      <c r="K19" s="31">
        <f t="shared" si="9"/>
        <v>-0.43</v>
      </c>
      <c r="L19" s="31" t="str">
        <f t="shared" si="3"/>
        <v>Típico</v>
      </c>
      <c r="M19" s="31">
        <f>VLOOKUP(G19,BA29:BF143,6,0)</f>
        <v>94</v>
      </c>
      <c r="N19" s="31" t="str">
        <f t="shared" si="4"/>
        <v>Médio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</row>
    <row r="25" ht="15.75" customHeight="1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</row>
    <row r="26" ht="15.75" customHeight="1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</row>
    <row r="27" ht="15.75" customHeight="1">
      <c r="A27" s="25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7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</row>
    <row r="28" ht="15.75" customHeight="1">
      <c r="A28" s="25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</row>
    <row r="29" ht="15.75" customHeight="1">
      <c r="A29" s="25"/>
      <c r="B29" s="26"/>
      <c r="C29" s="26">
        <v>0.0</v>
      </c>
      <c r="D29" s="26">
        <v>82.7</v>
      </c>
      <c r="E29" s="26">
        <v>79.1</v>
      </c>
      <c r="F29" s="26">
        <v>86.3</v>
      </c>
      <c r="G29" s="26">
        <v>-6.53</v>
      </c>
      <c r="H29" s="26">
        <v>2.0</v>
      </c>
      <c r="I29" s="26"/>
      <c r="J29" s="26"/>
      <c r="K29" s="26">
        <v>0.0</v>
      </c>
      <c r="L29" s="26">
        <v>102.5</v>
      </c>
      <c r="M29" s="26">
        <v>99.2</v>
      </c>
      <c r="N29" s="26">
        <v>105.7</v>
      </c>
      <c r="O29" s="26">
        <v>-4.77</v>
      </c>
      <c r="P29" s="26">
        <v>28.0</v>
      </c>
      <c r="Q29" s="26"/>
      <c r="R29" s="26">
        <v>0.0</v>
      </c>
      <c r="S29" s="26">
        <v>103.9</v>
      </c>
      <c r="T29" s="26">
        <v>100.7</v>
      </c>
      <c r="U29" s="26">
        <v>107.0</v>
      </c>
      <c r="V29" s="26">
        <v>-5.02</v>
      </c>
      <c r="W29" s="26">
        <v>25.0</v>
      </c>
      <c r="X29" s="26"/>
      <c r="Y29" s="26"/>
      <c r="Z29" s="26">
        <v>0.0</v>
      </c>
      <c r="AA29" s="26">
        <v>76.6</v>
      </c>
      <c r="AB29" s="26">
        <v>52.7</v>
      </c>
      <c r="AC29" s="26">
        <v>100.5</v>
      </c>
      <c r="AD29" s="26">
        <v>-5.99</v>
      </c>
      <c r="AE29" s="26">
        <v>10.0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104.4</v>
      </c>
      <c r="AU29" s="26">
        <v>101.0</v>
      </c>
      <c r="AV29" s="26">
        <v>107.8</v>
      </c>
      <c r="AW29" s="26">
        <v>-5.64</v>
      </c>
      <c r="AX29" s="26">
        <v>15.0</v>
      </c>
      <c r="AY29" s="26"/>
      <c r="AZ29" s="26"/>
      <c r="BA29" s="26">
        <v>0.0</v>
      </c>
      <c r="BB29" s="26">
        <v>84.9</v>
      </c>
      <c r="BC29" s="26">
        <v>81.6</v>
      </c>
      <c r="BD29" s="26">
        <v>88.2</v>
      </c>
      <c r="BE29" s="26">
        <v>-7.91</v>
      </c>
      <c r="BF29" s="26">
        <v>-19.0</v>
      </c>
      <c r="BG29" s="26"/>
      <c r="BH29" s="26"/>
      <c r="BI29" s="26"/>
      <c r="BJ29" s="26"/>
      <c r="BK29" s="26"/>
      <c r="BL29" s="26"/>
      <c r="BM29" s="26"/>
    </row>
    <row r="30" ht="15.75" customHeight="1">
      <c r="A30" s="25"/>
      <c r="B30" s="26"/>
      <c r="C30" s="26">
        <v>1.0</v>
      </c>
      <c r="D30" s="26">
        <v>90.5</v>
      </c>
      <c r="E30" s="26">
        <v>85.8</v>
      </c>
      <c r="F30" s="26">
        <v>95.2</v>
      </c>
      <c r="G30" s="26">
        <v>-5.4</v>
      </c>
      <c r="H30" s="26">
        <v>19.0</v>
      </c>
      <c r="I30" s="26"/>
      <c r="J30" s="26"/>
      <c r="K30" s="26">
        <v>1.0</v>
      </c>
      <c r="L30" s="26">
        <v>104.2</v>
      </c>
      <c r="M30" s="26">
        <v>101.9</v>
      </c>
      <c r="N30" s="26">
        <v>106.4</v>
      </c>
      <c r="O30" s="26">
        <v>-4.43</v>
      </c>
      <c r="P30" s="26">
        <v>34.0</v>
      </c>
      <c r="Q30" s="26"/>
      <c r="R30" s="26">
        <v>1.0</v>
      </c>
      <c r="S30" s="26">
        <v>105.3</v>
      </c>
      <c r="T30" s="26">
        <v>103.4</v>
      </c>
      <c r="U30" s="26">
        <v>107.3</v>
      </c>
      <c r="V30" s="26">
        <v>-4.76</v>
      </c>
      <c r="W30" s="26">
        <v>29.0</v>
      </c>
      <c r="X30" s="26"/>
      <c r="Y30" s="26"/>
      <c r="Z30" s="26">
        <v>1.0</v>
      </c>
      <c r="AA30" s="26">
        <v>86.0</v>
      </c>
      <c r="AB30" s="26">
        <v>73.0</v>
      </c>
      <c r="AC30" s="26">
        <v>99.0</v>
      </c>
      <c r="AD30" s="26">
        <v>-5.17</v>
      </c>
      <c r="AE30" s="26">
        <v>22.0</v>
      </c>
      <c r="AF30" s="26"/>
      <c r="AG30" s="26"/>
      <c r="AH30" s="26"/>
      <c r="AI30" s="26">
        <v>0.0</v>
      </c>
      <c r="AJ30" s="26">
        <v>115.9</v>
      </c>
      <c r="AK30" s="26">
        <v>112.7</v>
      </c>
      <c r="AL30" s="26">
        <v>119.0</v>
      </c>
      <c r="AM30" s="26">
        <v>-0.05</v>
      </c>
      <c r="AN30" s="26">
        <v>24.0</v>
      </c>
      <c r="AO30" s="26"/>
      <c r="AP30" s="26"/>
      <c r="AQ30" s="26"/>
      <c r="AR30" s="26"/>
      <c r="AS30" s="26">
        <v>1.0</v>
      </c>
      <c r="AT30" s="26">
        <v>106.3</v>
      </c>
      <c r="AU30" s="26">
        <v>103.9</v>
      </c>
      <c r="AV30" s="26">
        <v>108.6</v>
      </c>
      <c r="AW30" s="26">
        <v>-5.3</v>
      </c>
      <c r="AX30" s="26">
        <v>20.0</v>
      </c>
      <c r="AY30" s="26"/>
      <c r="AZ30" s="26"/>
      <c r="BA30" s="26">
        <v>1.0</v>
      </c>
      <c r="BB30" s="26">
        <v>86.6</v>
      </c>
      <c r="BC30" s="26">
        <v>84.4</v>
      </c>
      <c r="BD30" s="26">
        <v>88.8</v>
      </c>
      <c r="BE30" s="26">
        <v>-7.37</v>
      </c>
      <c r="BF30" s="26">
        <v>-10.0</v>
      </c>
      <c r="BG30" s="26"/>
      <c r="BH30" s="26"/>
      <c r="BI30" s="26"/>
      <c r="BJ30" s="26"/>
      <c r="BK30" s="26"/>
      <c r="BL30" s="26"/>
      <c r="BM30" s="26"/>
    </row>
    <row r="31" ht="15.75" customHeight="1">
      <c r="A31" s="25"/>
      <c r="B31" s="26"/>
      <c r="C31" s="26">
        <v>2.0</v>
      </c>
      <c r="D31" s="26">
        <v>99.6</v>
      </c>
      <c r="E31" s="26">
        <v>96.5</v>
      </c>
      <c r="F31" s="26">
        <v>102.6</v>
      </c>
      <c r="G31" s="26">
        <v>-4.09</v>
      </c>
      <c r="H31" s="26">
        <v>39.0</v>
      </c>
      <c r="I31" s="26"/>
      <c r="J31" s="26"/>
      <c r="K31" s="26">
        <v>2.0</v>
      </c>
      <c r="L31" s="26">
        <v>106.0</v>
      </c>
      <c r="M31" s="26">
        <v>103.7</v>
      </c>
      <c r="N31" s="26">
        <v>108.3</v>
      </c>
      <c r="O31" s="26">
        <v>-4.05</v>
      </c>
      <c r="P31" s="26">
        <v>39.0</v>
      </c>
      <c r="Q31" s="26"/>
      <c r="R31" s="26">
        <v>2.0</v>
      </c>
      <c r="S31" s="26">
        <v>106.5</v>
      </c>
      <c r="T31" s="26">
        <v>104.8</v>
      </c>
      <c r="U31" s="26">
        <v>108.1</v>
      </c>
      <c r="V31" s="26">
        <v>-4.57</v>
      </c>
      <c r="W31" s="26">
        <v>32.0</v>
      </c>
      <c r="X31" s="26"/>
      <c r="Y31" s="26"/>
      <c r="Z31" s="26">
        <v>2.0</v>
      </c>
      <c r="AA31" s="26">
        <v>91.3</v>
      </c>
      <c r="AB31" s="26">
        <v>82.2</v>
      </c>
      <c r="AC31" s="26">
        <v>100.4</v>
      </c>
      <c r="AD31" s="26">
        <v>-4.71</v>
      </c>
      <c r="AE31" s="26">
        <v>29.0</v>
      </c>
      <c r="AF31" s="26"/>
      <c r="AG31" s="26"/>
      <c r="AH31" s="26"/>
      <c r="AI31" s="26">
        <v>1.0</v>
      </c>
      <c r="AJ31" s="26">
        <v>117.4</v>
      </c>
      <c r="AK31" s="26">
        <v>115.4</v>
      </c>
      <c r="AL31" s="26">
        <v>119.4</v>
      </c>
      <c r="AM31" s="26">
        <v>-4.79</v>
      </c>
      <c r="AN31" s="26">
        <v>28.0</v>
      </c>
      <c r="AO31" s="26"/>
      <c r="AP31" s="26"/>
      <c r="AQ31" s="26"/>
      <c r="AR31" s="26"/>
      <c r="AS31" s="26">
        <v>2.0</v>
      </c>
      <c r="AT31" s="26">
        <v>108.0</v>
      </c>
      <c r="AU31" s="26">
        <v>105.9</v>
      </c>
      <c r="AV31" s="26">
        <v>110.2</v>
      </c>
      <c r="AW31" s="26">
        <v>-4.99</v>
      </c>
      <c r="AX31" s="26">
        <v>25.0</v>
      </c>
      <c r="AY31" s="26"/>
      <c r="AZ31" s="26"/>
      <c r="BA31" s="26">
        <v>2.0</v>
      </c>
      <c r="BB31" s="26">
        <v>88.2</v>
      </c>
      <c r="BC31" s="26">
        <v>86.2</v>
      </c>
      <c r="BD31" s="26">
        <v>90.2</v>
      </c>
      <c r="BE31" s="26">
        <v>-6.87</v>
      </c>
      <c r="BF31" s="26">
        <v>-3.0</v>
      </c>
      <c r="BG31" s="26"/>
      <c r="BH31" s="26"/>
      <c r="BI31" s="26"/>
      <c r="BJ31" s="26"/>
      <c r="BK31" s="26"/>
      <c r="BL31" s="26"/>
      <c r="BM31" s="26"/>
    </row>
    <row r="32" ht="15.75" customHeight="1">
      <c r="A32" s="25"/>
      <c r="B32" s="26"/>
      <c r="C32" s="26">
        <v>3.0</v>
      </c>
      <c r="D32" s="26">
        <v>100.9</v>
      </c>
      <c r="E32" s="26">
        <v>99.5</v>
      </c>
      <c r="F32" s="26">
        <v>102.4</v>
      </c>
      <c r="G32" s="26">
        <v>-3.89</v>
      </c>
      <c r="H32" s="26">
        <v>42.0</v>
      </c>
      <c r="I32" s="26"/>
      <c r="J32" s="26"/>
      <c r="K32" s="26">
        <v>3.0</v>
      </c>
      <c r="L32" s="26">
        <v>107.8</v>
      </c>
      <c r="M32" s="26">
        <v>105.8</v>
      </c>
      <c r="N32" s="26">
        <v>109.8</v>
      </c>
      <c r="O32" s="26">
        <v>-3.69</v>
      </c>
      <c r="P32" s="26">
        <v>45.0</v>
      </c>
      <c r="Q32" s="26"/>
      <c r="R32" s="26">
        <v>3.0</v>
      </c>
      <c r="S32" s="26">
        <v>107.4</v>
      </c>
      <c r="T32" s="26">
        <v>1058.0</v>
      </c>
      <c r="U32" s="26">
        <v>109.0</v>
      </c>
      <c r="V32" s="26">
        <v>-4.4</v>
      </c>
      <c r="W32" s="26">
        <v>34.0</v>
      </c>
      <c r="X32" s="26"/>
      <c r="Y32" s="26"/>
      <c r="Z32" s="26">
        <v>3.0</v>
      </c>
      <c r="AA32" s="26">
        <v>94.3</v>
      </c>
      <c r="AB32" s="26">
        <v>87.0</v>
      </c>
      <c r="AC32" s="26">
        <v>101.7</v>
      </c>
      <c r="AD32" s="26">
        <v>-4.44</v>
      </c>
      <c r="AE32" s="26">
        <v>33.0</v>
      </c>
      <c r="AF32" s="26"/>
      <c r="AG32" s="26"/>
      <c r="AH32" s="26"/>
      <c r="AI32" s="26">
        <v>2.0</v>
      </c>
      <c r="AJ32" s="26">
        <v>118.5</v>
      </c>
      <c r="AK32" s="26">
        <v>116.9</v>
      </c>
      <c r="AL32" s="26">
        <v>120.1</v>
      </c>
      <c r="AM32" s="26">
        <v>-4.58</v>
      </c>
      <c r="AN32" s="26">
        <v>31.0</v>
      </c>
      <c r="AO32" s="26"/>
      <c r="AP32" s="26"/>
      <c r="AQ32" s="26"/>
      <c r="AR32" s="26"/>
      <c r="AS32" s="26">
        <v>3.0</v>
      </c>
      <c r="AT32" s="26">
        <v>111.3</v>
      </c>
      <c r="AU32" s="26">
        <v>106.8</v>
      </c>
      <c r="AV32" s="26">
        <v>115.9</v>
      </c>
      <c r="AW32" s="26">
        <v>-4.41</v>
      </c>
      <c r="AX32" s="26">
        <v>34.0</v>
      </c>
      <c r="AY32" s="26"/>
      <c r="AZ32" s="26"/>
      <c r="BA32" s="26">
        <v>3.0</v>
      </c>
      <c r="BB32" s="26">
        <v>89.5</v>
      </c>
      <c r="BC32" s="26">
        <v>87.7</v>
      </c>
      <c r="BD32" s="26">
        <v>91.4</v>
      </c>
      <c r="BE32" s="26">
        <v>-6.44</v>
      </c>
      <c r="BF32" s="26">
        <v>3.0</v>
      </c>
      <c r="BG32" s="26"/>
      <c r="BH32" s="26"/>
      <c r="BI32" s="26"/>
      <c r="BJ32" s="26"/>
      <c r="BK32" s="26"/>
      <c r="BL32" s="26"/>
      <c r="BM32" s="26"/>
    </row>
    <row r="33" ht="15.75" customHeight="1">
      <c r="A33" s="25"/>
      <c r="B33" s="26"/>
      <c r="C33" s="26">
        <v>4.0</v>
      </c>
      <c r="D33" s="26">
        <v>101.6</v>
      </c>
      <c r="E33" s="26">
        <v>100.3</v>
      </c>
      <c r="F33" s="26">
        <v>102.8</v>
      </c>
      <c r="G33" s="26">
        <v>-3.79</v>
      </c>
      <c r="H33" s="26">
        <v>43.0</v>
      </c>
      <c r="I33" s="26"/>
      <c r="J33" s="26"/>
      <c r="K33" s="26">
        <v>4.0</v>
      </c>
      <c r="L33" s="26">
        <v>109.0</v>
      </c>
      <c r="M33" s="26">
        <v>107.3</v>
      </c>
      <c r="N33" s="26">
        <v>110.7</v>
      </c>
      <c r="O33" s="26">
        <v>-3.44</v>
      </c>
      <c r="P33" s="26">
        <v>48.0</v>
      </c>
      <c r="Q33" s="26"/>
      <c r="R33" s="26">
        <v>4.0</v>
      </c>
      <c r="S33" s="26">
        <v>108.3</v>
      </c>
      <c r="T33" s="26">
        <v>106.8</v>
      </c>
      <c r="U33" s="26">
        <v>109.8</v>
      </c>
      <c r="V33" s="26">
        <v>-4.24</v>
      </c>
      <c r="W33" s="26">
        <v>36.0</v>
      </c>
      <c r="X33" s="26"/>
      <c r="Y33" s="26"/>
      <c r="Z33" s="26">
        <v>4.0</v>
      </c>
      <c r="AA33" s="26">
        <v>96.5</v>
      </c>
      <c r="AB33" s="26">
        <v>90.1</v>
      </c>
      <c r="AC33" s="26">
        <v>102.9</v>
      </c>
      <c r="AD33" s="26">
        <v>-4.25</v>
      </c>
      <c r="AE33" s="26">
        <v>36.0</v>
      </c>
      <c r="AF33" s="26"/>
      <c r="AG33" s="26"/>
      <c r="AH33" s="26"/>
      <c r="AI33" s="26">
        <v>3.0</v>
      </c>
      <c r="AJ33" s="26">
        <v>119.3</v>
      </c>
      <c r="AK33" s="26">
        <v>118.0</v>
      </c>
      <c r="AL33" s="26">
        <v>120.7</v>
      </c>
      <c r="AM33" s="26">
        <v>-4.44</v>
      </c>
      <c r="AN33" s="26">
        <v>33.0</v>
      </c>
      <c r="AO33" s="26"/>
      <c r="AP33" s="26"/>
      <c r="AQ33" s="26"/>
      <c r="AR33" s="26"/>
      <c r="AS33" s="26">
        <v>4.0</v>
      </c>
      <c r="AT33" s="26">
        <v>114.6</v>
      </c>
      <c r="AU33" s="26">
        <v>112.4</v>
      </c>
      <c r="AV33" s="26">
        <v>116.9</v>
      </c>
      <c r="AW33" s="26">
        <v>-3.83</v>
      </c>
      <c r="AX33" s="26">
        <v>43.0</v>
      </c>
      <c r="AY33" s="26"/>
      <c r="AZ33" s="26"/>
      <c r="BA33" s="26">
        <v>4.0</v>
      </c>
      <c r="BB33" s="26">
        <v>90.6</v>
      </c>
      <c r="BC33" s="26">
        <v>89.0</v>
      </c>
      <c r="BD33" s="26">
        <v>92.2</v>
      </c>
      <c r="BE33" s="26">
        <v>-6.09</v>
      </c>
      <c r="BF33" s="26">
        <v>9.0</v>
      </c>
      <c r="BG33" s="26"/>
      <c r="BH33" s="26"/>
      <c r="BI33" s="26"/>
      <c r="BJ33" s="26"/>
      <c r="BK33" s="26"/>
      <c r="BL33" s="26"/>
      <c r="BM33" s="26"/>
    </row>
    <row r="34" ht="15.75" customHeight="1">
      <c r="A34" s="25"/>
      <c r="B34" s="26"/>
      <c r="C34" s="26">
        <v>5.0</v>
      </c>
      <c r="D34" s="26">
        <v>102.1</v>
      </c>
      <c r="E34" s="26">
        <v>100.9</v>
      </c>
      <c r="F34" s="26">
        <v>103.2</v>
      </c>
      <c r="G34" s="26">
        <v>-3.72</v>
      </c>
      <c r="H34" s="26">
        <v>44.0</v>
      </c>
      <c r="I34" s="26"/>
      <c r="J34" s="26"/>
      <c r="K34" s="26">
        <v>5.0</v>
      </c>
      <c r="L34" s="26">
        <v>109.9</v>
      </c>
      <c r="M34" s="26">
        <v>108.5</v>
      </c>
      <c r="N34" s="26">
        <v>111.3</v>
      </c>
      <c r="O34" s="26">
        <v>-3.26</v>
      </c>
      <c r="P34" s="26">
        <v>51.0</v>
      </c>
      <c r="Q34" s="26"/>
      <c r="R34" s="26">
        <v>5.0</v>
      </c>
      <c r="S34" s="26">
        <v>109.1</v>
      </c>
      <c r="T34" s="26">
        <v>107.6</v>
      </c>
      <c r="U34" s="26">
        <v>110.6</v>
      </c>
      <c r="V34" s="26">
        <v>-4.1</v>
      </c>
      <c r="W34" s="26">
        <v>39.0</v>
      </c>
      <c r="X34" s="26"/>
      <c r="Y34" s="26"/>
      <c r="Z34" s="26">
        <v>5.0</v>
      </c>
      <c r="AA34" s="26">
        <v>98.2</v>
      </c>
      <c r="AB34" s="26">
        <v>92.4</v>
      </c>
      <c r="AC34" s="26">
        <v>103.9</v>
      </c>
      <c r="AD34" s="26">
        <v>-4.11</v>
      </c>
      <c r="AE34" s="26">
        <v>38.0</v>
      </c>
      <c r="AF34" s="26"/>
      <c r="AG34" s="26"/>
      <c r="AH34" s="26"/>
      <c r="AI34" s="26">
        <v>4.0</v>
      </c>
      <c r="AJ34" s="26">
        <v>119.9</v>
      </c>
      <c r="AK34" s="26">
        <v>118.8</v>
      </c>
      <c r="AL34" s="26">
        <v>121.0</v>
      </c>
      <c r="AM34" s="26">
        <v>-4.34</v>
      </c>
      <c r="AN34" s="26">
        <v>35.0</v>
      </c>
      <c r="AO34" s="26"/>
      <c r="AP34" s="26"/>
      <c r="AQ34" s="26"/>
      <c r="AR34" s="26"/>
      <c r="AS34" s="26">
        <v>5.0</v>
      </c>
      <c r="AT34" s="26">
        <v>116.7</v>
      </c>
      <c r="AU34" s="26">
        <v>114.2</v>
      </c>
      <c r="AV34" s="26">
        <v>119.3</v>
      </c>
      <c r="AW34" s="26">
        <v>-3.46</v>
      </c>
      <c r="AX34" s="26">
        <v>48.0</v>
      </c>
      <c r="AY34" s="26"/>
      <c r="AZ34" s="26"/>
      <c r="BA34" s="26">
        <v>5.0</v>
      </c>
      <c r="BB34" s="26">
        <v>91.4</v>
      </c>
      <c r="BC34" s="26">
        <v>90.1</v>
      </c>
      <c r="BD34" s="26">
        <v>92.8</v>
      </c>
      <c r="BE34" s="26">
        <v>-5.84</v>
      </c>
      <c r="BF34" s="26">
        <v>12.0</v>
      </c>
      <c r="BG34" s="26"/>
      <c r="BH34" s="26"/>
      <c r="BI34" s="26"/>
      <c r="BJ34" s="26"/>
      <c r="BK34" s="26"/>
      <c r="BL34" s="26"/>
      <c r="BM34" s="26"/>
    </row>
    <row r="35" ht="15.75" customHeight="1">
      <c r="A35" s="25"/>
      <c r="B35" s="26"/>
      <c r="C35" s="26">
        <v>6.0</v>
      </c>
      <c r="D35" s="26">
        <v>102.5</v>
      </c>
      <c r="E35" s="26">
        <v>101.4</v>
      </c>
      <c r="F35" s="26">
        <v>103.6</v>
      </c>
      <c r="G35" s="26">
        <v>-3.65</v>
      </c>
      <c r="H35" s="26">
        <v>45.0</v>
      </c>
      <c r="I35" s="26"/>
      <c r="J35" s="26"/>
      <c r="K35" s="26">
        <v>6.0</v>
      </c>
      <c r="L35" s="26">
        <v>110.5</v>
      </c>
      <c r="M35" s="26">
        <v>109.3</v>
      </c>
      <c r="N35" s="26">
        <v>111.7</v>
      </c>
      <c r="O35" s="26">
        <v>-3.14</v>
      </c>
      <c r="P35" s="26">
        <v>53.0</v>
      </c>
      <c r="Q35" s="26"/>
      <c r="R35" s="26">
        <v>6.0</v>
      </c>
      <c r="S35" s="26">
        <v>109.9</v>
      </c>
      <c r="T35" s="26">
        <v>108.4</v>
      </c>
      <c r="U35" s="26">
        <v>111.4</v>
      </c>
      <c r="V35" s="26">
        <v>-3.95</v>
      </c>
      <c r="W35" s="26">
        <v>41.0</v>
      </c>
      <c r="X35" s="26"/>
      <c r="Y35" s="26"/>
      <c r="Z35" s="26">
        <v>6.0</v>
      </c>
      <c r="AA35" s="26">
        <v>99.6</v>
      </c>
      <c r="AB35" s="26">
        <v>94.3</v>
      </c>
      <c r="AC35" s="26">
        <v>104.8</v>
      </c>
      <c r="AD35" s="26">
        <v>-3.99</v>
      </c>
      <c r="AE35" s="26">
        <v>40.0</v>
      </c>
      <c r="AF35" s="26"/>
      <c r="AG35" s="26"/>
      <c r="AH35" s="26"/>
      <c r="AI35" s="26">
        <v>5.0</v>
      </c>
      <c r="AJ35" s="26">
        <v>120.3</v>
      </c>
      <c r="AK35" s="26">
        <v>119.3</v>
      </c>
      <c r="AL35" s="26">
        <v>121.3</v>
      </c>
      <c r="AM35" s="26">
        <v>-4.26</v>
      </c>
      <c r="AN35" s="26">
        <v>36.0</v>
      </c>
      <c r="AO35" s="26"/>
      <c r="AP35" s="26"/>
      <c r="AQ35" s="26"/>
      <c r="AR35" s="26"/>
      <c r="AS35" s="26">
        <v>6.0</v>
      </c>
      <c r="AT35" s="26">
        <v>118.5</v>
      </c>
      <c r="AU35" s="26">
        <v>116.7</v>
      </c>
      <c r="AV35" s="26">
        <v>120.4</v>
      </c>
      <c r="AW35" s="26">
        <v>-3.14</v>
      </c>
      <c r="AX35" s="26">
        <v>53.0</v>
      </c>
      <c r="AY35" s="26"/>
      <c r="AZ35" s="26"/>
      <c r="BA35" s="26">
        <v>6.0</v>
      </c>
      <c r="BB35" s="26">
        <v>92.0</v>
      </c>
      <c r="BC35" s="26">
        <v>90.8</v>
      </c>
      <c r="BD35" s="26">
        <v>93.2</v>
      </c>
      <c r="BE35" s="26">
        <v>-5.66</v>
      </c>
      <c r="BF35" s="26">
        <v>15.0</v>
      </c>
      <c r="BG35" s="26"/>
      <c r="BH35" s="26"/>
      <c r="BI35" s="26"/>
      <c r="BJ35" s="26"/>
      <c r="BK35" s="26"/>
      <c r="BL35" s="26"/>
      <c r="BM35" s="26"/>
    </row>
    <row r="36" ht="15.75" customHeight="1">
      <c r="A36" s="25"/>
      <c r="B36" s="26"/>
      <c r="C36" s="26">
        <v>7.0</v>
      </c>
      <c r="D36" s="26">
        <v>102.9</v>
      </c>
      <c r="E36" s="26">
        <v>101.9</v>
      </c>
      <c r="F36" s="26">
        <v>104.0</v>
      </c>
      <c r="G36" s="26">
        <v>-3.59</v>
      </c>
      <c r="H36" s="26">
        <v>46.0</v>
      </c>
      <c r="I36" s="26"/>
      <c r="J36" s="26"/>
      <c r="K36" s="26">
        <v>7.0</v>
      </c>
      <c r="L36" s="26">
        <v>111.0</v>
      </c>
      <c r="M36" s="26">
        <v>109.9</v>
      </c>
      <c r="N36" s="26">
        <v>112.0</v>
      </c>
      <c r="O36" s="26">
        <v>-3.04</v>
      </c>
      <c r="P36" s="26">
        <v>54.0</v>
      </c>
      <c r="Q36" s="26"/>
      <c r="R36" s="26">
        <v>7.0</v>
      </c>
      <c r="S36" s="26">
        <v>110.8</v>
      </c>
      <c r="T36" s="26">
        <v>109.3</v>
      </c>
      <c r="U36" s="26">
        <v>112.3</v>
      </c>
      <c r="V36" s="26">
        <v>-3.81</v>
      </c>
      <c r="W36" s="26">
        <v>43.0</v>
      </c>
      <c r="X36" s="26"/>
      <c r="Y36" s="26"/>
      <c r="Z36" s="26">
        <v>7.0</v>
      </c>
      <c r="AA36" s="26">
        <v>100.7</v>
      </c>
      <c r="AB36" s="26">
        <v>95.8</v>
      </c>
      <c r="AC36" s="26">
        <v>105.6</v>
      </c>
      <c r="AD36" s="26">
        <v>-3.88</v>
      </c>
      <c r="AE36" s="26">
        <v>42.0</v>
      </c>
      <c r="AF36" s="26"/>
      <c r="AG36" s="26"/>
      <c r="AH36" s="26"/>
      <c r="AI36" s="26">
        <v>6.0</v>
      </c>
      <c r="AJ36" s="26">
        <v>120.7</v>
      </c>
      <c r="AK36" s="26">
        <v>119.7</v>
      </c>
      <c r="AL36" s="26">
        <v>121.6</v>
      </c>
      <c r="AM36" s="26">
        <v>-4.2</v>
      </c>
      <c r="AN36" s="26">
        <v>37.0</v>
      </c>
      <c r="AO36" s="26"/>
      <c r="AP36" s="26"/>
      <c r="AQ36" s="26"/>
      <c r="AR36" s="26"/>
      <c r="AS36" s="26">
        <v>7.0</v>
      </c>
      <c r="AT36" s="26">
        <v>119.5</v>
      </c>
      <c r="AU36" s="26">
        <v>118.0</v>
      </c>
      <c r="AV36" s="26">
        <v>121.1</v>
      </c>
      <c r="AW36" s="26">
        <v>-2.96</v>
      </c>
      <c r="AX36" s="26">
        <v>56.0</v>
      </c>
      <c r="AY36" s="26"/>
      <c r="AZ36" s="26"/>
      <c r="BA36" s="26">
        <v>7.0</v>
      </c>
      <c r="BB36" s="26">
        <v>92.5</v>
      </c>
      <c r="BC36" s="26">
        <v>91.3</v>
      </c>
      <c r="BD36" s="26">
        <v>93.6</v>
      </c>
      <c r="BE36" s="26">
        <v>-5.51</v>
      </c>
      <c r="BF36" s="26">
        <v>17.0</v>
      </c>
      <c r="BG36" s="26"/>
      <c r="BH36" s="26"/>
      <c r="BI36" s="26"/>
      <c r="BJ36" s="26"/>
      <c r="BK36" s="26"/>
      <c r="BL36" s="26"/>
      <c r="BM36" s="26"/>
    </row>
    <row r="37" ht="15.75" customHeight="1">
      <c r="A37" s="25"/>
      <c r="B37" s="26"/>
      <c r="C37" s="26">
        <v>8.0</v>
      </c>
      <c r="D37" s="26">
        <v>103.4</v>
      </c>
      <c r="E37" s="26">
        <v>102.3</v>
      </c>
      <c r="F37" s="26">
        <v>104.5</v>
      </c>
      <c r="G37" s="26">
        <v>-3.53</v>
      </c>
      <c r="H37" s="26">
        <v>47.0</v>
      </c>
      <c r="I37" s="26"/>
      <c r="J37" s="26"/>
      <c r="K37" s="26">
        <v>8.0</v>
      </c>
      <c r="L37" s="26">
        <v>111.4</v>
      </c>
      <c r="M37" s="26">
        <v>110.3</v>
      </c>
      <c r="N37" s="26">
        <v>112.5</v>
      </c>
      <c r="O37" s="26">
        <v>-2.96</v>
      </c>
      <c r="P37" s="26">
        <v>56.0</v>
      </c>
      <c r="Q37" s="26"/>
      <c r="R37" s="26">
        <v>8.0</v>
      </c>
      <c r="S37" s="26">
        <v>111.6</v>
      </c>
      <c r="T37" s="26">
        <v>110.1</v>
      </c>
      <c r="U37" s="26">
        <v>113.0</v>
      </c>
      <c r="V37" s="26">
        <v>-3.67</v>
      </c>
      <c r="W37" s="26">
        <v>45.0</v>
      </c>
      <c r="X37" s="26"/>
      <c r="Y37" s="26"/>
      <c r="Z37" s="26">
        <v>8.0</v>
      </c>
      <c r="AA37" s="26">
        <v>101.8</v>
      </c>
      <c r="AB37" s="26">
        <v>97.2</v>
      </c>
      <c r="AC37" s="26">
        <v>106.4</v>
      </c>
      <c r="AD37" s="26">
        <v>-3.79</v>
      </c>
      <c r="AE37" s="26">
        <v>43.0</v>
      </c>
      <c r="AF37" s="26"/>
      <c r="AG37" s="26"/>
      <c r="AH37" s="26"/>
      <c r="AI37" s="26">
        <v>7.0</v>
      </c>
      <c r="AJ37" s="26">
        <v>121.0</v>
      </c>
      <c r="AK37" s="26">
        <v>120.1</v>
      </c>
      <c r="AL37" s="26">
        <v>121.9</v>
      </c>
      <c r="AM37" s="26">
        <v>-4.15</v>
      </c>
      <c r="AN37" s="26">
        <v>38.0</v>
      </c>
      <c r="AO37" s="26"/>
      <c r="AP37" s="26"/>
      <c r="AQ37" s="26"/>
      <c r="AR37" s="26"/>
      <c r="AS37" s="26">
        <v>8.0</v>
      </c>
      <c r="AT37" s="26">
        <v>120.3</v>
      </c>
      <c r="AU37" s="26">
        <v>118.9</v>
      </c>
      <c r="AV37" s="26">
        <v>121.7</v>
      </c>
      <c r="AW37" s="26">
        <v>-2.83</v>
      </c>
      <c r="AX37" s="26">
        <v>58.0</v>
      </c>
      <c r="AY37" s="26"/>
      <c r="AZ37" s="26"/>
      <c r="BA37" s="26">
        <v>8.0</v>
      </c>
      <c r="BB37" s="26">
        <v>92.9</v>
      </c>
      <c r="BC37" s="26">
        <v>91.8</v>
      </c>
      <c r="BD37" s="26">
        <v>94.1</v>
      </c>
      <c r="BE37" s="26">
        <v>-5.36</v>
      </c>
      <c r="BF37" s="26">
        <v>20.0</v>
      </c>
      <c r="BG37" s="26"/>
      <c r="BH37" s="26"/>
      <c r="BI37" s="26"/>
      <c r="BJ37" s="26"/>
      <c r="BK37" s="26"/>
      <c r="BL37" s="26"/>
      <c r="BM37" s="26"/>
    </row>
    <row r="38" ht="15.75" customHeight="1">
      <c r="A38" s="25"/>
      <c r="B38" s="26"/>
      <c r="C38" s="26">
        <v>9.0</v>
      </c>
      <c r="D38" s="26">
        <v>103.9</v>
      </c>
      <c r="E38" s="26">
        <v>102.7</v>
      </c>
      <c r="F38" s="26">
        <v>105.1</v>
      </c>
      <c r="G38" s="26">
        <v>-3.46</v>
      </c>
      <c r="H38" s="26">
        <v>48.0</v>
      </c>
      <c r="I38" s="26"/>
      <c r="J38" s="26"/>
      <c r="K38" s="26">
        <v>9.0</v>
      </c>
      <c r="L38" s="26">
        <v>111.8</v>
      </c>
      <c r="M38" s="26">
        <v>110.7</v>
      </c>
      <c r="N38" s="26">
        <v>113.0</v>
      </c>
      <c r="O38" s="26">
        <v>-2.87</v>
      </c>
      <c r="P38" s="26">
        <v>57.0</v>
      </c>
      <c r="Q38" s="26"/>
      <c r="R38" s="26">
        <v>9.0</v>
      </c>
      <c r="S38" s="26">
        <v>112.2</v>
      </c>
      <c r="T38" s="26">
        <v>110.9</v>
      </c>
      <c r="U38" s="26">
        <v>113.5</v>
      </c>
      <c r="V38" s="26">
        <v>-3.55</v>
      </c>
      <c r="W38" s="26">
        <v>47.0</v>
      </c>
      <c r="X38" s="26"/>
      <c r="Y38" s="26"/>
      <c r="Z38" s="26">
        <v>9.0</v>
      </c>
      <c r="AA38" s="26">
        <v>102.7</v>
      </c>
      <c r="AB38" s="26">
        <v>98.3</v>
      </c>
      <c r="AC38" s="26">
        <v>107.1</v>
      </c>
      <c r="AD38" s="26">
        <v>-3.71</v>
      </c>
      <c r="AE38" s="26">
        <v>44.0</v>
      </c>
      <c r="AF38" s="26"/>
      <c r="AG38" s="26"/>
      <c r="AH38" s="26"/>
      <c r="AI38" s="26">
        <v>8.0</v>
      </c>
      <c r="AJ38" s="26">
        <v>121.3</v>
      </c>
      <c r="AK38" s="26">
        <v>120.4</v>
      </c>
      <c r="AL38" s="26">
        <v>122.1</v>
      </c>
      <c r="AM38" s="26">
        <v>-4.1</v>
      </c>
      <c r="AN38" s="26">
        <v>39.0</v>
      </c>
      <c r="AO38" s="26"/>
      <c r="AP38" s="26"/>
      <c r="AQ38" s="26"/>
      <c r="AR38" s="26"/>
      <c r="AS38" s="26">
        <v>9.0</v>
      </c>
      <c r="AT38" s="26">
        <v>121.0</v>
      </c>
      <c r="AU38" s="26">
        <v>119.7</v>
      </c>
      <c r="AV38" s="26">
        <v>122.3</v>
      </c>
      <c r="AW38" s="26">
        <v>-2.71</v>
      </c>
      <c r="AX38" s="26">
        <v>59.0</v>
      </c>
      <c r="AY38" s="26"/>
      <c r="AZ38" s="26"/>
      <c r="BA38" s="26">
        <v>9.0</v>
      </c>
      <c r="BB38" s="26">
        <v>93.5</v>
      </c>
      <c r="BC38" s="26">
        <v>92.3</v>
      </c>
      <c r="BD38" s="26">
        <v>94.6</v>
      </c>
      <c r="BE38" s="26">
        <v>-5.2</v>
      </c>
      <c r="BF38" s="26">
        <v>22.0</v>
      </c>
      <c r="BG38" s="26"/>
      <c r="BH38" s="26"/>
      <c r="BI38" s="26"/>
      <c r="BJ38" s="26"/>
      <c r="BK38" s="26"/>
      <c r="BL38" s="26"/>
      <c r="BM38" s="26"/>
    </row>
    <row r="39" ht="15.75" customHeight="1">
      <c r="A39" s="25"/>
      <c r="B39" s="26"/>
      <c r="C39" s="26">
        <v>10.0</v>
      </c>
      <c r="D39" s="26">
        <v>104.4</v>
      </c>
      <c r="E39" s="26">
        <v>103.2</v>
      </c>
      <c r="F39" s="26">
        <v>105.7</v>
      </c>
      <c r="G39" s="26">
        <v>-3.38</v>
      </c>
      <c r="H39" s="26">
        <v>49.0</v>
      </c>
      <c r="I39" s="26"/>
      <c r="J39" s="26"/>
      <c r="K39" s="26">
        <v>10.0</v>
      </c>
      <c r="L39" s="26">
        <v>112.4</v>
      </c>
      <c r="M39" s="26">
        <v>111.1</v>
      </c>
      <c r="N39" s="26">
        <v>113.7</v>
      </c>
      <c r="O39" s="26">
        <v>-2.76</v>
      </c>
      <c r="P39" s="26">
        <v>59.0</v>
      </c>
      <c r="Q39" s="26"/>
      <c r="R39" s="26">
        <v>10.0</v>
      </c>
      <c r="S39" s="26">
        <v>112.8</v>
      </c>
      <c r="T39" s="26">
        <v>111.6</v>
      </c>
      <c r="U39" s="26">
        <v>113.9</v>
      </c>
      <c r="V39" s="26">
        <v>-3.45</v>
      </c>
      <c r="W39" s="26">
        <v>48.0</v>
      </c>
      <c r="X39" s="26"/>
      <c r="Y39" s="26"/>
      <c r="Z39" s="26">
        <v>10.0</v>
      </c>
      <c r="AA39" s="26">
        <v>103.6</v>
      </c>
      <c r="AB39" s="26">
        <v>99.3</v>
      </c>
      <c r="AC39" s="26">
        <v>107.8</v>
      </c>
      <c r="AD39" s="26">
        <v>-3.64</v>
      </c>
      <c r="AE39" s="26">
        <v>45.0</v>
      </c>
      <c r="AF39" s="26"/>
      <c r="AG39" s="26"/>
      <c r="AH39" s="26"/>
      <c r="AI39" s="26">
        <v>9.0</v>
      </c>
      <c r="AJ39" s="26">
        <v>121.5</v>
      </c>
      <c r="AK39" s="26">
        <v>120.7</v>
      </c>
      <c r="AL39" s="26">
        <v>122.4</v>
      </c>
      <c r="AM39" s="26">
        <v>-4.05</v>
      </c>
      <c r="AN39" s="26">
        <v>39.0</v>
      </c>
      <c r="AO39" s="26"/>
      <c r="AP39" s="26"/>
      <c r="AQ39" s="26"/>
      <c r="AR39" s="26"/>
      <c r="AS39" s="26">
        <v>10.0</v>
      </c>
      <c r="AT39" s="26">
        <v>121.6</v>
      </c>
      <c r="AU39" s="26">
        <v>120.3</v>
      </c>
      <c r="AV39" s="26">
        <v>122.9</v>
      </c>
      <c r="AW39" s="26">
        <v>-2.6</v>
      </c>
      <c r="AX39" s="26">
        <v>61.0</v>
      </c>
      <c r="AY39" s="26"/>
      <c r="AZ39" s="26"/>
      <c r="BA39" s="26">
        <v>10.0</v>
      </c>
      <c r="BB39" s="26">
        <v>93.9</v>
      </c>
      <c r="BC39" s="26">
        <v>92.8</v>
      </c>
      <c r="BD39" s="26">
        <v>95.0</v>
      </c>
      <c r="BE39" s="26">
        <v>-5.05</v>
      </c>
      <c r="BF39" s="26">
        <v>24.0</v>
      </c>
      <c r="BG39" s="26"/>
      <c r="BH39" s="26"/>
      <c r="BI39" s="26"/>
      <c r="BJ39" s="26"/>
      <c r="BK39" s="26"/>
      <c r="BL39" s="26"/>
      <c r="BM39" s="26"/>
    </row>
    <row r="40" ht="15.75" customHeight="1">
      <c r="A40" s="25"/>
      <c r="B40" s="26"/>
      <c r="C40" s="26">
        <v>11.0</v>
      </c>
      <c r="D40" s="26">
        <v>105.1</v>
      </c>
      <c r="E40" s="26">
        <v>103.7</v>
      </c>
      <c r="F40" s="26">
        <v>106.5</v>
      </c>
      <c r="G40" s="26">
        <v>-3.28</v>
      </c>
      <c r="H40" s="26">
        <v>51.0</v>
      </c>
      <c r="I40" s="26"/>
      <c r="J40" s="26"/>
      <c r="K40" s="26">
        <v>11.0</v>
      </c>
      <c r="L40" s="26">
        <v>113.0</v>
      </c>
      <c r="M40" s="26">
        <v>111.7</v>
      </c>
      <c r="N40" s="26">
        <v>114.4</v>
      </c>
      <c r="O40" s="26">
        <v>-2.62</v>
      </c>
      <c r="P40" s="26">
        <v>61.0</v>
      </c>
      <c r="Q40" s="26"/>
      <c r="R40" s="26">
        <v>11.0</v>
      </c>
      <c r="S40" s="26">
        <v>113.3</v>
      </c>
      <c r="T40" s="26">
        <v>112.2</v>
      </c>
      <c r="U40" s="26">
        <v>114.3</v>
      </c>
      <c r="V40" s="26">
        <v>-3.37</v>
      </c>
      <c r="W40" s="26">
        <v>49.0</v>
      </c>
      <c r="X40" s="26"/>
      <c r="Y40" s="26"/>
      <c r="Z40" s="26">
        <v>11.0</v>
      </c>
      <c r="AA40" s="26">
        <v>104.3</v>
      </c>
      <c r="AB40" s="26">
        <v>100.3</v>
      </c>
      <c r="AC40" s="26">
        <v>108.4</v>
      </c>
      <c r="AD40" s="26">
        <v>-3.57</v>
      </c>
      <c r="AE40" s="26">
        <v>46.0</v>
      </c>
      <c r="AF40" s="26"/>
      <c r="AG40" s="26"/>
      <c r="AH40" s="26"/>
      <c r="AI40" s="26">
        <v>10.0</v>
      </c>
      <c r="AJ40" s="26">
        <v>121.8</v>
      </c>
      <c r="AK40" s="26">
        <v>120.9</v>
      </c>
      <c r="AL40" s="26">
        <v>122.6</v>
      </c>
      <c r="AM40" s="26">
        <v>-4.01</v>
      </c>
      <c r="AN40" s="26">
        <v>40.0</v>
      </c>
      <c r="AO40" s="26"/>
      <c r="AP40" s="26"/>
      <c r="AQ40" s="26"/>
      <c r="AR40" s="26"/>
      <c r="AS40" s="26">
        <v>11.0</v>
      </c>
      <c r="AT40" s="26">
        <v>122.3</v>
      </c>
      <c r="AU40" s="26">
        <v>120.9</v>
      </c>
      <c r="AV40" s="26">
        <v>123.7</v>
      </c>
      <c r="AW40" s="26">
        <v>-2.47</v>
      </c>
      <c r="AX40" s="26">
        <v>63.0</v>
      </c>
      <c r="AY40" s="26"/>
      <c r="AZ40" s="26"/>
      <c r="BA40" s="26">
        <v>11.0</v>
      </c>
      <c r="BB40" s="26">
        <v>94.3</v>
      </c>
      <c r="BC40" s="26">
        <v>93.3</v>
      </c>
      <c r="BD40" s="26">
        <v>95.4</v>
      </c>
      <c r="BE40" s="26">
        <v>-4.92</v>
      </c>
      <c r="BF40" s="26">
        <v>26.0</v>
      </c>
      <c r="BG40" s="26"/>
      <c r="BH40" s="26"/>
      <c r="BI40" s="26"/>
      <c r="BJ40" s="26"/>
      <c r="BK40" s="26"/>
      <c r="BL40" s="26"/>
      <c r="BM40" s="26"/>
    </row>
    <row r="41" ht="15.75" customHeight="1">
      <c r="A41" s="25"/>
      <c r="B41" s="26"/>
      <c r="C41" s="26">
        <v>12.0</v>
      </c>
      <c r="D41" s="26">
        <v>105.8</v>
      </c>
      <c r="E41" s="26">
        <v>104.4</v>
      </c>
      <c r="F41" s="26">
        <v>107.2</v>
      </c>
      <c r="G41" s="26">
        <v>-3.18</v>
      </c>
      <c r="H41" s="26">
        <v>52.0</v>
      </c>
      <c r="I41" s="26"/>
      <c r="J41" s="26"/>
      <c r="K41" s="26">
        <v>12.0</v>
      </c>
      <c r="L41" s="26">
        <v>113.7</v>
      </c>
      <c r="M41" s="26">
        <v>112.4</v>
      </c>
      <c r="N41" s="26">
        <v>115.0</v>
      </c>
      <c r="O41" s="26">
        <v>-2.48</v>
      </c>
      <c r="P41" s="26">
        <v>63.0</v>
      </c>
      <c r="Q41" s="26"/>
      <c r="R41" s="26">
        <v>12.0</v>
      </c>
      <c r="S41" s="26">
        <v>113.7</v>
      </c>
      <c r="T41" s="26">
        <v>112.6</v>
      </c>
      <c r="U41" s="26">
        <v>114.7</v>
      </c>
      <c r="V41" s="26">
        <v>-3.3</v>
      </c>
      <c r="W41" s="26">
        <v>51.0</v>
      </c>
      <c r="X41" s="26"/>
      <c r="Y41" s="26"/>
      <c r="Z41" s="26">
        <v>12.0</v>
      </c>
      <c r="AA41" s="26">
        <v>105.1</v>
      </c>
      <c r="AB41" s="26">
        <v>101.1</v>
      </c>
      <c r="AC41" s="26">
        <v>109.0</v>
      </c>
      <c r="AD41" s="26">
        <v>-3.5</v>
      </c>
      <c r="AE41" s="26">
        <v>47.0</v>
      </c>
      <c r="AF41" s="26"/>
      <c r="AG41" s="26"/>
      <c r="AH41" s="26"/>
      <c r="AI41" s="26">
        <v>11.0</v>
      </c>
      <c r="AJ41" s="26">
        <v>122.0</v>
      </c>
      <c r="AK41" s="26">
        <v>121.2</v>
      </c>
      <c r="AL41" s="26">
        <v>122.9</v>
      </c>
      <c r="AM41" s="26">
        <v>-3.96</v>
      </c>
      <c r="AN41" s="26">
        <v>41.0</v>
      </c>
      <c r="AO41" s="26"/>
      <c r="AP41" s="26"/>
      <c r="AQ41" s="26"/>
      <c r="AR41" s="26"/>
      <c r="AS41" s="26">
        <v>12.0</v>
      </c>
      <c r="AT41" s="26">
        <v>123.1</v>
      </c>
      <c r="AU41" s="26">
        <v>121.6</v>
      </c>
      <c r="AV41" s="26">
        <v>124.7</v>
      </c>
      <c r="AW41" s="26">
        <v>-2.33</v>
      </c>
      <c r="AX41" s="26">
        <v>65.0</v>
      </c>
      <c r="AY41" s="26"/>
      <c r="AZ41" s="26"/>
      <c r="BA41" s="26">
        <v>12.0</v>
      </c>
      <c r="BB41" s="26">
        <v>94.7</v>
      </c>
      <c r="BC41" s="26">
        <v>93.7</v>
      </c>
      <c r="BD41" s="26">
        <v>95.7</v>
      </c>
      <c r="BE41" s="26">
        <v>-4.8</v>
      </c>
      <c r="BF41" s="26">
        <v>28.0</v>
      </c>
      <c r="BG41" s="26"/>
      <c r="BH41" s="26"/>
      <c r="BI41" s="26"/>
      <c r="BJ41" s="26"/>
      <c r="BK41" s="26"/>
      <c r="BL41" s="26"/>
      <c r="BM41" s="26"/>
    </row>
    <row r="42" ht="15.75" customHeight="1">
      <c r="A42" s="25"/>
      <c r="B42" s="26"/>
      <c r="C42" s="26">
        <v>13.0</v>
      </c>
      <c r="D42" s="26">
        <v>106.4</v>
      </c>
      <c r="E42" s="26">
        <v>105.2</v>
      </c>
      <c r="F42" s="26">
        <v>107.7</v>
      </c>
      <c r="G42" s="26">
        <v>-3.09</v>
      </c>
      <c r="H42" s="26">
        <v>54.0</v>
      </c>
      <c r="I42" s="26"/>
      <c r="J42" s="26"/>
      <c r="K42" s="26">
        <v>13.0</v>
      </c>
      <c r="L42" s="26">
        <v>114.3</v>
      </c>
      <c r="M42" s="26">
        <v>113.1</v>
      </c>
      <c r="N42" s="26">
        <v>115.4</v>
      </c>
      <c r="O42" s="26">
        <v>-2.37</v>
      </c>
      <c r="P42" s="26">
        <v>64.0</v>
      </c>
      <c r="Q42" s="26"/>
      <c r="R42" s="26">
        <v>13.0</v>
      </c>
      <c r="S42" s="26">
        <v>114.0</v>
      </c>
      <c r="T42" s="26">
        <v>113.1</v>
      </c>
      <c r="U42" s="26">
        <v>115.0</v>
      </c>
      <c r="V42" s="26">
        <v>-3.23</v>
      </c>
      <c r="W42" s="26">
        <v>52.0</v>
      </c>
      <c r="X42" s="26"/>
      <c r="Y42" s="26"/>
      <c r="Z42" s="26">
        <v>13.0</v>
      </c>
      <c r="AA42" s="26">
        <v>105.8</v>
      </c>
      <c r="AB42" s="26">
        <v>101.9</v>
      </c>
      <c r="AC42" s="26">
        <v>109.6</v>
      </c>
      <c r="AD42" s="26">
        <v>-3.45</v>
      </c>
      <c r="AE42" s="26">
        <v>48.0</v>
      </c>
      <c r="AF42" s="26"/>
      <c r="AG42" s="26"/>
      <c r="AH42" s="26"/>
      <c r="AI42" s="26">
        <v>12.0</v>
      </c>
      <c r="AJ42" s="26">
        <v>122.3</v>
      </c>
      <c r="AK42" s="26">
        <v>121.4</v>
      </c>
      <c r="AL42" s="26">
        <v>123.2</v>
      </c>
      <c r="AM42" s="26">
        <v>-3.91</v>
      </c>
      <c r="AN42" s="26">
        <v>41.0</v>
      </c>
      <c r="AO42" s="26"/>
      <c r="AP42" s="26"/>
      <c r="AQ42" s="26"/>
      <c r="AR42" s="26"/>
      <c r="AS42" s="26">
        <v>13.0</v>
      </c>
      <c r="AT42" s="26">
        <v>124.1</v>
      </c>
      <c r="AU42" s="26">
        <v>122.4</v>
      </c>
      <c r="AV42" s="26">
        <v>125.8</v>
      </c>
      <c r="AW42" s="26">
        <v>-2.16</v>
      </c>
      <c r="AX42" s="26">
        <v>68.0</v>
      </c>
      <c r="AY42" s="26"/>
      <c r="AZ42" s="26"/>
      <c r="BA42" s="26">
        <v>13.0</v>
      </c>
      <c r="BB42" s="26">
        <v>95.1</v>
      </c>
      <c r="BC42" s="26">
        <v>94.1</v>
      </c>
      <c r="BD42" s="26">
        <v>96.1</v>
      </c>
      <c r="BE42" s="26">
        <v>-4.68</v>
      </c>
      <c r="BF42" s="26">
        <v>30.0</v>
      </c>
      <c r="BG42" s="26"/>
      <c r="BH42" s="26"/>
      <c r="BI42" s="26"/>
      <c r="BJ42" s="26"/>
      <c r="BK42" s="26"/>
      <c r="BL42" s="26"/>
      <c r="BM42" s="26"/>
    </row>
    <row r="43" ht="15.75" customHeight="1">
      <c r="A43" s="25"/>
      <c r="B43" s="26"/>
      <c r="C43" s="26">
        <v>14.0</v>
      </c>
      <c r="D43" s="26">
        <v>107.0</v>
      </c>
      <c r="E43" s="26">
        <v>105.8</v>
      </c>
      <c r="F43" s="26">
        <v>108.1</v>
      </c>
      <c r="G43" s="26">
        <v>-3.01</v>
      </c>
      <c r="H43" s="26">
        <v>55.0</v>
      </c>
      <c r="I43" s="26"/>
      <c r="J43" s="26"/>
      <c r="K43" s="26">
        <v>14.0</v>
      </c>
      <c r="L43" s="26">
        <v>114.7</v>
      </c>
      <c r="M43" s="26">
        <v>113.7</v>
      </c>
      <c r="N43" s="26">
        <v>115.7</v>
      </c>
      <c r="O43" s="26">
        <v>-2.29</v>
      </c>
      <c r="P43" s="26">
        <v>66.0</v>
      </c>
      <c r="Q43" s="26"/>
      <c r="R43" s="26">
        <v>14.0</v>
      </c>
      <c r="S43" s="26">
        <v>114.4</v>
      </c>
      <c r="T43" s="26">
        <v>113.4</v>
      </c>
      <c r="U43" s="26">
        <v>115.3</v>
      </c>
      <c r="V43" s="26">
        <v>-3.17</v>
      </c>
      <c r="W43" s="26">
        <v>52.0</v>
      </c>
      <c r="X43" s="26"/>
      <c r="Y43" s="26"/>
      <c r="Z43" s="26">
        <v>14.0</v>
      </c>
      <c r="AA43" s="26">
        <v>106.4</v>
      </c>
      <c r="AB43" s="26">
        <v>102.7</v>
      </c>
      <c r="AC43" s="26">
        <v>110.1</v>
      </c>
      <c r="AD43" s="26">
        <v>-3.39</v>
      </c>
      <c r="AE43" s="26">
        <v>49.0</v>
      </c>
      <c r="AF43" s="26"/>
      <c r="AG43" s="26"/>
      <c r="AH43" s="26"/>
      <c r="AI43" s="26">
        <v>13.0</v>
      </c>
      <c r="AJ43" s="26">
        <v>122.6</v>
      </c>
      <c r="AK43" s="26">
        <v>121.7</v>
      </c>
      <c r="AL43" s="26">
        <v>123.5</v>
      </c>
      <c r="AM43" s="26">
        <v>-3.86</v>
      </c>
      <c r="AN43" s="26">
        <v>42.0</v>
      </c>
      <c r="AO43" s="26"/>
      <c r="AP43" s="26"/>
      <c r="AQ43" s="26"/>
      <c r="AR43" s="26"/>
      <c r="AS43" s="26">
        <v>14.0</v>
      </c>
      <c r="AT43" s="26">
        <v>125.1</v>
      </c>
      <c r="AU43" s="26">
        <v>123.5</v>
      </c>
      <c r="AV43" s="26">
        <v>126.8</v>
      </c>
      <c r="AW43" s="26">
        <v>-1.97</v>
      </c>
      <c r="AX43" s="26">
        <v>70.0</v>
      </c>
      <c r="AY43" s="26"/>
      <c r="AZ43" s="26"/>
      <c r="BA43" s="26">
        <v>14.0</v>
      </c>
      <c r="BB43" s="26">
        <v>95.5</v>
      </c>
      <c r="BC43" s="26">
        <v>94.4</v>
      </c>
      <c r="BD43" s="26">
        <v>96.6</v>
      </c>
      <c r="BE43" s="26">
        <v>-4.55</v>
      </c>
      <c r="BF43" s="26">
        <v>32.0</v>
      </c>
      <c r="BG43" s="26"/>
      <c r="BH43" s="26"/>
      <c r="BI43" s="26"/>
      <c r="BJ43" s="26"/>
      <c r="BK43" s="26"/>
      <c r="BL43" s="26"/>
      <c r="BM43" s="26"/>
    </row>
    <row r="44" ht="15.75" customHeight="1">
      <c r="A44" s="25"/>
      <c r="B44" s="26"/>
      <c r="C44" s="26">
        <v>15.0</v>
      </c>
      <c r="D44" s="26">
        <v>107.4</v>
      </c>
      <c r="E44" s="26">
        <v>106.3</v>
      </c>
      <c r="F44" s="26">
        <v>108.5</v>
      </c>
      <c r="G44" s="26">
        <v>-2.94</v>
      </c>
      <c r="H44" s="26">
        <v>56.0</v>
      </c>
      <c r="I44" s="26"/>
      <c r="J44" s="26"/>
      <c r="K44" s="26">
        <v>15.0</v>
      </c>
      <c r="L44" s="26">
        <v>115.0</v>
      </c>
      <c r="M44" s="26">
        <v>114.1</v>
      </c>
      <c r="N44" s="26">
        <v>116.0</v>
      </c>
      <c r="O44" s="26">
        <v>-2.22</v>
      </c>
      <c r="P44" s="26">
        <v>67.0</v>
      </c>
      <c r="Q44" s="26"/>
      <c r="R44" s="26">
        <v>15.0</v>
      </c>
      <c r="S44" s="26">
        <v>114.7</v>
      </c>
      <c r="T44" s="26">
        <v>113.8</v>
      </c>
      <c r="U44" s="26">
        <v>115.6</v>
      </c>
      <c r="V44" s="26">
        <v>-3.11</v>
      </c>
      <c r="W44" s="26">
        <v>53.0</v>
      </c>
      <c r="X44" s="26"/>
      <c r="Y44" s="26"/>
      <c r="Z44" s="26">
        <v>15.0</v>
      </c>
      <c r="AA44" s="26">
        <v>107.0</v>
      </c>
      <c r="AB44" s="26">
        <v>103.4</v>
      </c>
      <c r="AC44" s="26">
        <v>110.7</v>
      </c>
      <c r="AD44" s="26">
        <v>-3.34</v>
      </c>
      <c r="AE44" s="26">
        <v>50.0</v>
      </c>
      <c r="AF44" s="26"/>
      <c r="AG44" s="26"/>
      <c r="AH44" s="26"/>
      <c r="AI44" s="26">
        <v>14.0</v>
      </c>
      <c r="AJ44" s="26">
        <v>122.9</v>
      </c>
      <c r="AK44" s="26">
        <v>121.9</v>
      </c>
      <c r="AL44" s="26">
        <v>123.9</v>
      </c>
      <c r="AM44" s="26">
        <v>-3.81</v>
      </c>
      <c r="AN44" s="26">
        <v>43.0</v>
      </c>
      <c r="AO44" s="26"/>
      <c r="AP44" s="26"/>
      <c r="AQ44" s="26"/>
      <c r="AR44" s="26"/>
      <c r="AS44" s="26">
        <v>15.0</v>
      </c>
      <c r="AT44" s="26">
        <v>126.1</v>
      </c>
      <c r="AU44" s="26">
        <v>124.5</v>
      </c>
      <c r="AV44" s="26">
        <v>127.8</v>
      </c>
      <c r="AW44" s="26">
        <v>-1.79</v>
      </c>
      <c r="AX44" s="26">
        <v>73.0</v>
      </c>
      <c r="AY44" s="26"/>
      <c r="AZ44" s="26"/>
      <c r="BA44" s="26">
        <v>15.0</v>
      </c>
      <c r="BB44" s="26">
        <v>95.9</v>
      </c>
      <c r="BC44" s="26">
        <v>94.9</v>
      </c>
      <c r="BD44" s="26">
        <v>97.0</v>
      </c>
      <c r="BE44" s="26">
        <v>-4.42</v>
      </c>
      <c r="BF44" s="26">
        <v>34.0</v>
      </c>
      <c r="BG44" s="26"/>
      <c r="BH44" s="26"/>
      <c r="BI44" s="26"/>
      <c r="BJ44" s="26"/>
      <c r="BK44" s="26"/>
      <c r="BL44" s="26"/>
      <c r="BM44" s="26"/>
    </row>
    <row r="45" ht="15.75" customHeight="1">
      <c r="A45" s="25"/>
      <c r="B45" s="26"/>
      <c r="C45" s="26">
        <v>16.0</v>
      </c>
      <c r="D45" s="26">
        <v>107.8</v>
      </c>
      <c r="E45" s="26">
        <v>106.8</v>
      </c>
      <c r="F45" s="26">
        <v>108.8</v>
      </c>
      <c r="G45" s="26">
        <v>-2.89</v>
      </c>
      <c r="H45" s="26">
        <v>57.0</v>
      </c>
      <c r="I45" s="26"/>
      <c r="J45" s="26"/>
      <c r="K45" s="26">
        <v>16.0</v>
      </c>
      <c r="L45" s="26">
        <v>115.3</v>
      </c>
      <c r="M45" s="26">
        <v>114.4</v>
      </c>
      <c r="N45" s="26">
        <v>116.2</v>
      </c>
      <c r="O45" s="26">
        <v>-2.15</v>
      </c>
      <c r="P45" s="26">
        <v>68.0</v>
      </c>
      <c r="Q45" s="26"/>
      <c r="R45" s="26">
        <v>16.0</v>
      </c>
      <c r="S45" s="26">
        <v>115.0</v>
      </c>
      <c r="T45" s="26">
        <v>114.1</v>
      </c>
      <c r="U45" s="26">
        <v>115.9</v>
      </c>
      <c r="V45" s="26">
        <v>-3.06</v>
      </c>
      <c r="W45" s="26">
        <v>54.0</v>
      </c>
      <c r="X45" s="26"/>
      <c r="Y45" s="26"/>
      <c r="Z45" s="26">
        <v>16.0</v>
      </c>
      <c r="AA45" s="26">
        <v>107.6</v>
      </c>
      <c r="AB45" s="26">
        <v>104.0</v>
      </c>
      <c r="AC45" s="26">
        <v>111.2</v>
      </c>
      <c r="AD45" s="26">
        <v>-3.28</v>
      </c>
      <c r="AE45" s="26">
        <v>51.0</v>
      </c>
      <c r="AF45" s="26"/>
      <c r="AG45" s="26"/>
      <c r="AH45" s="26"/>
      <c r="AI45" s="26">
        <v>15.0</v>
      </c>
      <c r="AJ45" s="26">
        <v>123.3</v>
      </c>
      <c r="AK45" s="26">
        <v>122.2</v>
      </c>
      <c r="AL45" s="26">
        <v>124.3</v>
      </c>
      <c r="AM45" s="26">
        <v>-3.74</v>
      </c>
      <c r="AN45" s="26">
        <v>44.0</v>
      </c>
      <c r="AO45" s="26"/>
      <c r="AP45" s="26"/>
      <c r="AQ45" s="26"/>
      <c r="AR45" s="26"/>
      <c r="AS45" s="26">
        <v>16.0</v>
      </c>
      <c r="AT45" s="26">
        <v>127.1</v>
      </c>
      <c r="AU45" s="26">
        <v>125.5</v>
      </c>
      <c r="AV45" s="26">
        <v>128.6</v>
      </c>
      <c r="AW45" s="26">
        <v>-1.63</v>
      </c>
      <c r="AX45" s="26">
        <v>75.0</v>
      </c>
      <c r="AY45" s="26"/>
      <c r="AZ45" s="26"/>
      <c r="BA45" s="26">
        <v>16.0</v>
      </c>
      <c r="BB45" s="26">
        <v>96.4</v>
      </c>
      <c r="BC45" s="26">
        <v>95.3</v>
      </c>
      <c r="BD45" s="26">
        <v>97.4</v>
      </c>
      <c r="BE45" s="26">
        <v>-4.29</v>
      </c>
      <c r="BF45" s="26">
        <v>36.0</v>
      </c>
      <c r="BG45" s="26"/>
      <c r="BH45" s="26"/>
      <c r="BI45" s="26"/>
      <c r="BJ45" s="26"/>
      <c r="BK45" s="26"/>
      <c r="BL45" s="26"/>
      <c r="BM45" s="26"/>
    </row>
    <row r="46" ht="15.75" customHeight="1">
      <c r="A46" s="25"/>
      <c r="B46" s="26"/>
      <c r="C46" s="26">
        <v>17.0</v>
      </c>
      <c r="D46" s="26">
        <v>108.2</v>
      </c>
      <c r="E46" s="26">
        <v>107.2</v>
      </c>
      <c r="F46" s="26">
        <v>109.2</v>
      </c>
      <c r="G46" s="26">
        <v>-2.83</v>
      </c>
      <c r="H46" s="26">
        <v>58.0</v>
      </c>
      <c r="I46" s="26"/>
      <c r="J46" s="26"/>
      <c r="K46" s="26">
        <v>17.0</v>
      </c>
      <c r="L46" s="26">
        <v>115.6</v>
      </c>
      <c r="M46" s="26">
        <v>114.7</v>
      </c>
      <c r="N46" s="26">
        <v>116.5</v>
      </c>
      <c r="O46" s="26">
        <v>-2.09</v>
      </c>
      <c r="P46" s="26">
        <v>69.0</v>
      </c>
      <c r="Q46" s="26"/>
      <c r="R46" s="26">
        <v>17.0</v>
      </c>
      <c r="S46" s="26">
        <v>115.3</v>
      </c>
      <c r="T46" s="26">
        <v>114.4</v>
      </c>
      <c r="U46" s="26">
        <v>116.2</v>
      </c>
      <c r="V46" s="26">
        <v>-3.01</v>
      </c>
      <c r="W46" s="26">
        <v>55.0</v>
      </c>
      <c r="X46" s="26"/>
      <c r="Y46" s="26"/>
      <c r="Z46" s="26">
        <v>17.0</v>
      </c>
      <c r="AA46" s="26">
        <v>108.2</v>
      </c>
      <c r="AB46" s="26">
        <v>104.7</v>
      </c>
      <c r="AC46" s="26">
        <v>111.7</v>
      </c>
      <c r="AD46" s="26">
        <v>-3.23</v>
      </c>
      <c r="AE46" s="26">
        <v>52.0</v>
      </c>
      <c r="AF46" s="26"/>
      <c r="AG46" s="26"/>
      <c r="AH46" s="26"/>
      <c r="AI46" s="26">
        <v>16.0</v>
      </c>
      <c r="AJ46" s="26">
        <v>123.7</v>
      </c>
      <c r="AK46" s="26">
        <v>122.6</v>
      </c>
      <c r="AL46" s="26">
        <v>124.8</v>
      </c>
      <c r="AM46" s="26">
        <v>-3.67</v>
      </c>
      <c r="AN46" s="26">
        <v>45.0</v>
      </c>
      <c r="AO46" s="26"/>
      <c r="AP46" s="26"/>
      <c r="AQ46" s="26"/>
      <c r="AR46" s="26"/>
      <c r="AS46" s="26">
        <v>17.0</v>
      </c>
      <c r="AT46" s="26">
        <v>128.0</v>
      </c>
      <c r="AU46" s="26">
        <v>126.4</v>
      </c>
      <c r="AV46" s="26">
        <v>129.5</v>
      </c>
      <c r="AW46" s="26">
        <v>-1.47</v>
      </c>
      <c r="AX46" s="26">
        <v>78.0</v>
      </c>
      <c r="AY46" s="26"/>
      <c r="AZ46" s="26"/>
      <c r="BA46" s="26">
        <v>17.0</v>
      </c>
      <c r="BB46" s="26">
        <v>96.7</v>
      </c>
      <c r="BC46" s="26">
        <v>95.8</v>
      </c>
      <c r="BD46" s="26">
        <v>97.7</v>
      </c>
      <c r="BE46" s="26">
        <v>-4.16</v>
      </c>
      <c r="BF46" s="26">
        <v>38.0</v>
      </c>
      <c r="BG46" s="26"/>
      <c r="BH46" s="26"/>
      <c r="BI46" s="26"/>
      <c r="BJ46" s="26"/>
      <c r="BK46" s="26"/>
      <c r="BL46" s="26"/>
      <c r="BM46" s="26"/>
    </row>
    <row r="47" ht="15.75" customHeight="1">
      <c r="A47" s="25"/>
      <c r="B47" s="26"/>
      <c r="C47" s="26">
        <v>18.0</v>
      </c>
      <c r="D47" s="26">
        <v>108.6</v>
      </c>
      <c r="E47" s="26">
        <v>107.6</v>
      </c>
      <c r="F47" s="26">
        <v>109.6</v>
      </c>
      <c r="G47" s="26">
        <v>-2.78</v>
      </c>
      <c r="H47" s="26">
        <v>58.0</v>
      </c>
      <c r="I47" s="26"/>
      <c r="J47" s="26"/>
      <c r="K47" s="26">
        <v>18.0</v>
      </c>
      <c r="L47" s="26">
        <v>115.9</v>
      </c>
      <c r="M47" s="26">
        <v>115.0</v>
      </c>
      <c r="N47" s="26">
        <v>116.8</v>
      </c>
      <c r="O47" s="26">
        <v>-2.03</v>
      </c>
      <c r="P47" s="26">
        <v>70.0</v>
      </c>
      <c r="Q47" s="26"/>
      <c r="R47" s="26">
        <v>18.0</v>
      </c>
      <c r="S47" s="26">
        <v>115.6</v>
      </c>
      <c r="T47" s="26">
        <v>114.7</v>
      </c>
      <c r="U47" s="26">
        <v>116.4</v>
      </c>
      <c r="V47" s="26">
        <v>-2.96</v>
      </c>
      <c r="W47" s="26">
        <v>56.0</v>
      </c>
      <c r="X47" s="26"/>
      <c r="Y47" s="26"/>
      <c r="Z47" s="26">
        <v>18.0</v>
      </c>
      <c r="AA47" s="26">
        <v>108.8</v>
      </c>
      <c r="AB47" s="26">
        <v>105.3</v>
      </c>
      <c r="AC47" s="26">
        <v>112.2</v>
      </c>
      <c r="AD47" s="26">
        <v>-3.18</v>
      </c>
      <c r="AE47" s="26">
        <v>52.0</v>
      </c>
      <c r="AF47" s="26"/>
      <c r="AG47" s="26"/>
      <c r="AH47" s="26"/>
      <c r="AI47" s="26">
        <v>17.0</v>
      </c>
      <c r="AJ47" s="26">
        <v>124.2</v>
      </c>
      <c r="AK47" s="26">
        <v>122.9</v>
      </c>
      <c r="AL47" s="26">
        <v>125.5</v>
      </c>
      <c r="AM47" s="26">
        <v>-3.57</v>
      </c>
      <c r="AN47" s="26">
        <v>46.0</v>
      </c>
      <c r="AO47" s="26"/>
      <c r="AP47" s="26"/>
      <c r="AQ47" s="26"/>
      <c r="AR47" s="26"/>
      <c r="AS47" s="26">
        <v>18.0</v>
      </c>
      <c r="AT47" s="26">
        <v>128.8</v>
      </c>
      <c r="AU47" s="26">
        <v>127.3</v>
      </c>
      <c r="AV47" s="26">
        <v>130.3</v>
      </c>
      <c r="AW47" s="26">
        <v>-1.32</v>
      </c>
      <c r="AX47" s="26">
        <v>80.0</v>
      </c>
      <c r="AY47" s="26"/>
      <c r="AZ47" s="26"/>
      <c r="BA47" s="26">
        <v>18.0</v>
      </c>
      <c r="BB47" s="26">
        <v>97.1</v>
      </c>
      <c r="BC47" s="26">
        <v>96.2</v>
      </c>
      <c r="BD47" s="26">
        <v>98.0</v>
      </c>
      <c r="BE47" s="26">
        <v>-4.06</v>
      </c>
      <c r="BF47" s="26">
        <v>39.0</v>
      </c>
      <c r="BG47" s="26"/>
      <c r="BH47" s="26"/>
      <c r="BI47" s="26"/>
      <c r="BJ47" s="26"/>
      <c r="BK47" s="26"/>
      <c r="BL47" s="26"/>
      <c r="BM47" s="26"/>
    </row>
    <row r="48" ht="15.75" customHeight="1">
      <c r="A48" s="25"/>
      <c r="B48" s="26"/>
      <c r="C48" s="26">
        <v>19.0</v>
      </c>
      <c r="D48" s="26">
        <v>109.0</v>
      </c>
      <c r="E48" s="26">
        <v>108.0</v>
      </c>
      <c r="F48" s="26">
        <v>109.9</v>
      </c>
      <c r="G48" s="26">
        <v>-2.72</v>
      </c>
      <c r="H48" s="26">
        <v>59.0</v>
      </c>
      <c r="I48" s="26"/>
      <c r="J48" s="26"/>
      <c r="K48" s="26">
        <v>19.0</v>
      </c>
      <c r="L48" s="26">
        <v>116.2</v>
      </c>
      <c r="M48" s="26">
        <v>115.3</v>
      </c>
      <c r="N48" s="26">
        <v>117.1</v>
      </c>
      <c r="O48" s="26">
        <v>-1.97</v>
      </c>
      <c r="P48" s="26">
        <v>70.0</v>
      </c>
      <c r="Q48" s="26"/>
      <c r="R48" s="26">
        <v>19.0</v>
      </c>
      <c r="S48" s="26">
        <v>115.9</v>
      </c>
      <c r="T48" s="26">
        <v>115.0</v>
      </c>
      <c r="U48" s="26">
        <v>116.7</v>
      </c>
      <c r="V48" s="26">
        <v>-2.91</v>
      </c>
      <c r="W48" s="26">
        <v>56.0</v>
      </c>
      <c r="X48" s="26"/>
      <c r="Y48" s="26"/>
      <c r="Z48" s="26">
        <v>19.0</v>
      </c>
      <c r="AA48" s="26">
        <v>109.3</v>
      </c>
      <c r="AB48" s="26">
        <v>105.9</v>
      </c>
      <c r="AC48" s="26">
        <v>112.8</v>
      </c>
      <c r="AD48" s="26">
        <v>-3.14</v>
      </c>
      <c r="AE48" s="26">
        <v>53.0</v>
      </c>
      <c r="AF48" s="26"/>
      <c r="AG48" s="26"/>
      <c r="AH48" s="26"/>
      <c r="AI48" s="26">
        <v>18.0</v>
      </c>
      <c r="AJ48" s="26">
        <v>125.0</v>
      </c>
      <c r="AK48" s="26">
        <v>123.4</v>
      </c>
      <c r="AL48" s="26">
        <v>126.6</v>
      </c>
      <c r="AM48" s="26">
        <v>-3.44</v>
      </c>
      <c r="AN48" s="26">
        <v>48.0</v>
      </c>
      <c r="AO48" s="26"/>
      <c r="AP48" s="26"/>
      <c r="AQ48" s="26"/>
      <c r="AR48" s="26"/>
      <c r="AS48" s="26">
        <v>19.0</v>
      </c>
      <c r="AT48" s="26">
        <v>129.6</v>
      </c>
      <c r="AU48" s="26">
        <v>128.2</v>
      </c>
      <c r="AV48" s="26">
        <v>131.0</v>
      </c>
      <c r="AW48" s="26">
        <v>-1.19</v>
      </c>
      <c r="AX48" s="26">
        <v>82.0</v>
      </c>
      <c r="AY48" s="26"/>
      <c r="AZ48" s="26"/>
      <c r="BA48" s="26">
        <v>19.0</v>
      </c>
      <c r="BB48" s="26">
        <v>97.4</v>
      </c>
      <c r="BC48" s="26">
        <v>96.5</v>
      </c>
      <c r="BD48" s="26">
        <v>98.2</v>
      </c>
      <c r="BE48" s="26">
        <v>-3.97</v>
      </c>
      <c r="BF48" s="26">
        <v>41.0</v>
      </c>
      <c r="BG48" s="26"/>
      <c r="BH48" s="26"/>
      <c r="BI48" s="26"/>
      <c r="BJ48" s="26"/>
      <c r="BK48" s="26"/>
      <c r="BL48" s="26"/>
      <c r="BM48" s="26"/>
    </row>
    <row r="49" ht="15.75" customHeight="1">
      <c r="A49" s="25"/>
      <c r="B49" s="26"/>
      <c r="C49" s="26">
        <v>20.0</v>
      </c>
      <c r="D49" s="26">
        <v>109.3</v>
      </c>
      <c r="E49" s="26">
        <v>108.4</v>
      </c>
      <c r="F49" s="26">
        <v>110.2</v>
      </c>
      <c r="G49" s="26">
        <v>-2.67</v>
      </c>
      <c r="H49" s="26">
        <v>60.0</v>
      </c>
      <c r="I49" s="26"/>
      <c r="J49" s="26"/>
      <c r="K49" s="26">
        <v>20.0</v>
      </c>
      <c r="L49" s="26">
        <v>116.5</v>
      </c>
      <c r="M49" s="26">
        <v>115.6</v>
      </c>
      <c r="N49" s="26">
        <v>117.4</v>
      </c>
      <c r="O49" s="26">
        <v>-1.91</v>
      </c>
      <c r="P49" s="26">
        <v>71.0</v>
      </c>
      <c r="Q49" s="26"/>
      <c r="R49" s="26">
        <v>20.0</v>
      </c>
      <c r="S49" s="26">
        <v>116.1</v>
      </c>
      <c r="T49" s="26">
        <v>115.3</v>
      </c>
      <c r="U49" s="26">
        <v>117.0</v>
      </c>
      <c r="V49" s="26">
        <v>-2.86</v>
      </c>
      <c r="W49" s="26">
        <v>57.0</v>
      </c>
      <c r="X49" s="26"/>
      <c r="Y49" s="26"/>
      <c r="Z49" s="26">
        <v>20.0</v>
      </c>
      <c r="AA49" s="26">
        <v>109.9</v>
      </c>
      <c r="AB49" s="26">
        <v>106.5</v>
      </c>
      <c r="AC49" s="26">
        <v>113.2</v>
      </c>
      <c r="AD49" s="26">
        <v>-3.09</v>
      </c>
      <c r="AE49" s="26">
        <v>54.0</v>
      </c>
      <c r="AF49" s="26"/>
      <c r="AG49" s="26"/>
      <c r="AH49" s="26"/>
      <c r="AI49" s="26">
        <v>19.0</v>
      </c>
      <c r="AJ49" s="26">
        <v>126.4</v>
      </c>
      <c r="AK49" s="26">
        <v>124.2</v>
      </c>
      <c r="AL49" s="26">
        <v>128.6</v>
      </c>
      <c r="AM49" s="26">
        <v>-3.19</v>
      </c>
      <c r="AN49" s="26">
        <v>52.0</v>
      </c>
      <c r="AO49" s="26"/>
      <c r="AP49" s="26"/>
      <c r="AQ49" s="26"/>
      <c r="AR49" s="26"/>
      <c r="AS49" s="26">
        <v>20.0</v>
      </c>
      <c r="AT49" s="26">
        <v>130.3</v>
      </c>
      <c r="AU49" s="26">
        <v>128.9</v>
      </c>
      <c r="AV49" s="26">
        <v>131.6</v>
      </c>
      <c r="AW49" s="26">
        <v>-1.06</v>
      </c>
      <c r="AX49" s="26">
        <v>84.0</v>
      </c>
      <c r="AY49" s="26"/>
      <c r="AZ49" s="26"/>
      <c r="BA49" s="26">
        <v>20.0</v>
      </c>
      <c r="BB49" s="26">
        <v>97.6</v>
      </c>
      <c r="BC49" s="26">
        <v>96.8</v>
      </c>
      <c r="BD49" s="26">
        <v>98.4</v>
      </c>
      <c r="BE49" s="26">
        <v>-3.89</v>
      </c>
      <c r="BF49" s="26">
        <v>42.0</v>
      </c>
      <c r="BG49" s="26"/>
      <c r="BH49" s="26"/>
      <c r="BI49" s="26"/>
      <c r="BJ49" s="26"/>
      <c r="BK49" s="26"/>
      <c r="BL49" s="26"/>
      <c r="BM49" s="26"/>
    </row>
    <row r="50" ht="15.75" customHeight="1">
      <c r="A50" s="25"/>
      <c r="B50" s="26"/>
      <c r="C50" s="26">
        <v>21.0</v>
      </c>
      <c r="D50" s="26">
        <v>109.6</v>
      </c>
      <c r="E50" s="26">
        <v>108.7</v>
      </c>
      <c r="F50" s="26">
        <v>110.4</v>
      </c>
      <c r="G50" s="26">
        <v>-2.63</v>
      </c>
      <c r="H50" s="26">
        <v>60.0</v>
      </c>
      <c r="I50" s="26"/>
      <c r="J50" s="26"/>
      <c r="K50" s="26">
        <v>21.0</v>
      </c>
      <c r="L50" s="26">
        <v>116.8</v>
      </c>
      <c r="M50" s="26">
        <v>115.9</v>
      </c>
      <c r="N50" s="26">
        <v>117.7</v>
      </c>
      <c r="O50" s="26">
        <v>-1.85</v>
      </c>
      <c r="P50" s="26">
        <v>72.0</v>
      </c>
      <c r="Q50" s="26"/>
      <c r="R50" s="26">
        <v>21.0</v>
      </c>
      <c r="S50" s="26">
        <v>116.4</v>
      </c>
      <c r="T50" s="26">
        <v>115.5</v>
      </c>
      <c r="U50" s="26">
        <v>117.2</v>
      </c>
      <c r="V50" s="26">
        <v>-2.82</v>
      </c>
      <c r="W50" s="26">
        <v>58.0</v>
      </c>
      <c r="X50" s="26"/>
      <c r="Y50" s="26"/>
      <c r="Z50" s="26">
        <v>21.0</v>
      </c>
      <c r="AA50" s="26">
        <v>110.4</v>
      </c>
      <c r="AB50" s="26">
        <v>107.0</v>
      </c>
      <c r="AC50" s="26">
        <v>113.7</v>
      </c>
      <c r="AD50" s="26">
        <v>-3.04</v>
      </c>
      <c r="AE50" s="26">
        <v>54.0</v>
      </c>
      <c r="AF50" s="26"/>
      <c r="AG50" s="26"/>
      <c r="AH50" s="26"/>
      <c r="AI50" s="26">
        <v>20.0</v>
      </c>
      <c r="AJ50" s="26">
        <v>128.1</v>
      </c>
      <c r="AK50" s="26">
        <v>126.1</v>
      </c>
      <c r="AL50" s="26">
        <v>130.0</v>
      </c>
      <c r="AM50" s="26">
        <v>-2.89</v>
      </c>
      <c r="AN50" s="26">
        <v>57.0</v>
      </c>
      <c r="AO50" s="26"/>
      <c r="AP50" s="26"/>
      <c r="AQ50" s="26"/>
      <c r="AR50" s="26"/>
      <c r="AS50" s="26">
        <v>21.0</v>
      </c>
      <c r="AT50" s="26">
        <v>130.9</v>
      </c>
      <c r="AU50" s="26">
        <v>129.6</v>
      </c>
      <c r="AV50" s="26">
        <v>132.3</v>
      </c>
      <c r="AW50" s="26">
        <v>-0.95</v>
      </c>
      <c r="AX50" s="26">
        <v>86.0</v>
      </c>
      <c r="AY50" s="26"/>
      <c r="AZ50" s="26"/>
      <c r="BA50" s="26">
        <v>21.0</v>
      </c>
      <c r="BB50" s="26">
        <v>97.8</v>
      </c>
      <c r="BC50" s="26">
        <v>97.1</v>
      </c>
      <c r="BD50" s="26">
        <v>98.6</v>
      </c>
      <c r="BE50" s="26">
        <v>-3.82</v>
      </c>
      <c r="BF50" s="26">
        <v>43.0</v>
      </c>
      <c r="BG50" s="26"/>
      <c r="BH50" s="26"/>
      <c r="BI50" s="26"/>
      <c r="BJ50" s="26"/>
      <c r="BK50" s="26"/>
      <c r="BL50" s="26"/>
      <c r="BM50" s="26"/>
    </row>
    <row r="51" ht="15.75" customHeight="1">
      <c r="A51" s="25"/>
      <c r="B51" s="26"/>
      <c r="C51" s="26">
        <v>22.0</v>
      </c>
      <c r="D51" s="26">
        <v>109.8</v>
      </c>
      <c r="E51" s="26">
        <v>109.0</v>
      </c>
      <c r="F51" s="26">
        <v>110.6</v>
      </c>
      <c r="G51" s="26">
        <v>-2.6</v>
      </c>
      <c r="H51" s="26">
        <v>61.0</v>
      </c>
      <c r="I51" s="26"/>
      <c r="J51" s="26"/>
      <c r="K51" s="26">
        <v>22.0</v>
      </c>
      <c r="L51" s="26">
        <v>117.1</v>
      </c>
      <c r="M51" s="26">
        <v>116.2</v>
      </c>
      <c r="N51" s="26">
        <v>118.0</v>
      </c>
      <c r="O51" s="26">
        <v>-1.8</v>
      </c>
      <c r="P51" s="26">
        <v>73.0</v>
      </c>
      <c r="Q51" s="26"/>
      <c r="R51" s="26">
        <v>22.0</v>
      </c>
      <c r="S51" s="26">
        <v>116.6</v>
      </c>
      <c r="T51" s="26">
        <v>115.8</v>
      </c>
      <c r="U51" s="26">
        <v>117.5</v>
      </c>
      <c r="V51" s="26">
        <v>-2.77</v>
      </c>
      <c r="W51" s="26">
        <v>58.0</v>
      </c>
      <c r="X51" s="26"/>
      <c r="Y51" s="26"/>
      <c r="Z51" s="26">
        <v>22.0</v>
      </c>
      <c r="AA51" s="26">
        <v>110.9</v>
      </c>
      <c r="AB51" s="26">
        <v>107.6</v>
      </c>
      <c r="AC51" s="26">
        <v>114.2</v>
      </c>
      <c r="AD51" s="26">
        <v>-3.0</v>
      </c>
      <c r="AE51" s="26">
        <v>55.0</v>
      </c>
      <c r="AF51" s="26"/>
      <c r="AG51" s="26"/>
      <c r="AH51" s="26"/>
      <c r="AI51" s="26">
        <v>21.0</v>
      </c>
      <c r="AJ51" s="26">
        <v>129.4</v>
      </c>
      <c r="AK51" s="26">
        <v>127.5</v>
      </c>
      <c r="AL51" s="26">
        <v>131.3</v>
      </c>
      <c r="AM51" s="26">
        <v>-2.66</v>
      </c>
      <c r="AN51" s="26">
        <v>60.0</v>
      </c>
      <c r="AO51" s="26"/>
      <c r="AP51" s="26"/>
      <c r="AQ51" s="26"/>
      <c r="AR51" s="26"/>
      <c r="AS51" s="26">
        <v>22.0</v>
      </c>
      <c r="AT51" s="26">
        <v>131.6</v>
      </c>
      <c r="AU51" s="26">
        <v>130.3</v>
      </c>
      <c r="AV51" s="26">
        <v>132.9</v>
      </c>
      <c r="AW51" s="26">
        <v>-0.84</v>
      </c>
      <c r="AX51" s="26">
        <v>87.0</v>
      </c>
      <c r="AY51" s="26"/>
      <c r="AZ51" s="26"/>
      <c r="BA51" s="26">
        <v>22.0</v>
      </c>
      <c r="BB51" s="26">
        <v>98.0</v>
      </c>
      <c r="BC51" s="26">
        <v>97.3</v>
      </c>
      <c r="BD51" s="26">
        <v>98.7</v>
      </c>
      <c r="BE51" s="26">
        <v>-3.76</v>
      </c>
      <c r="BF51" s="26">
        <v>44.0</v>
      </c>
      <c r="BG51" s="26"/>
      <c r="BH51" s="26"/>
      <c r="BI51" s="26"/>
      <c r="BJ51" s="26"/>
      <c r="BK51" s="26"/>
      <c r="BL51" s="26"/>
      <c r="BM51" s="26"/>
    </row>
    <row r="52" ht="15.75" customHeight="1">
      <c r="A52" s="25"/>
      <c r="B52" s="26"/>
      <c r="C52" s="26">
        <v>23.0</v>
      </c>
      <c r="D52" s="26">
        <v>110.1</v>
      </c>
      <c r="E52" s="26">
        <v>109.3</v>
      </c>
      <c r="F52" s="26">
        <v>110.9</v>
      </c>
      <c r="G52" s="26">
        <v>-2.56</v>
      </c>
      <c r="H52" s="26">
        <v>62.0</v>
      </c>
      <c r="I52" s="26"/>
      <c r="J52" s="26"/>
      <c r="K52" s="26">
        <v>23.0</v>
      </c>
      <c r="L52" s="26">
        <v>117.4</v>
      </c>
      <c r="M52" s="26">
        <v>116.5</v>
      </c>
      <c r="N52" s="26">
        <v>118.2</v>
      </c>
      <c r="O52" s="26">
        <v>-1.74</v>
      </c>
      <c r="P52" s="26">
        <v>74.0</v>
      </c>
      <c r="Q52" s="26"/>
      <c r="R52" s="26">
        <v>23.0</v>
      </c>
      <c r="S52" s="26">
        <v>116.9</v>
      </c>
      <c r="T52" s="26">
        <v>116.1</v>
      </c>
      <c r="U52" s="26">
        <v>117.7</v>
      </c>
      <c r="V52" s="26">
        <v>-2.73</v>
      </c>
      <c r="W52" s="26">
        <v>59.0</v>
      </c>
      <c r="X52" s="26"/>
      <c r="Y52" s="26"/>
      <c r="Z52" s="26">
        <v>23.0</v>
      </c>
      <c r="AA52" s="26">
        <v>111.4</v>
      </c>
      <c r="AB52" s="26">
        <v>108.1</v>
      </c>
      <c r="AC52" s="26">
        <v>114.7</v>
      </c>
      <c r="AD52" s="26">
        <v>-2.95</v>
      </c>
      <c r="AE52" s="26">
        <v>56.0</v>
      </c>
      <c r="AF52" s="26"/>
      <c r="AG52" s="26"/>
      <c r="AH52" s="26"/>
      <c r="AI52" s="26">
        <v>22.0</v>
      </c>
      <c r="AJ52" s="26">
        <v>130.7</v>
      </c>
      <c r="AK52" s="26">
        <v>128.7</v>
      </c>
      <c r="AL52" s="26">
        <v>132.7</v>
      </c>
      <c r="AM52" s="26">
        <v>-2.43</v>
      </c>
      <c r="AN52" s="26">
        <v>64.0</v>
      </c>
      <c r="AO52" s="26"/>
      <c r="AP52" s="26"/>
      <c r="AQ52" s="26"/>
      <c r="AR52" s="26"/>
      <c r="AS52" s="26">
        <v>23.0</v>
      </c>
      <c r="AT52" s="26">
        <v>132.2</v>
      </c>
      <c r="AU52" s="26">
        <v>130.9</v>
      </c>
      <c r="AV52" s="26">
        <v>133.5</v>
      </c>
      <c r="AW52" s="26">
        <v>-0.73</v>
      </c>
      <c r="AX52" s="26">
        <v>89.0</v>
      </c>
      <c r="AY52" s="26"/>
      <c r="AZ52" s="26"/>
      <c r="BA52" s="26">
        <v>23.0</v>
      </c>
      <c r="BB52" s="26">
        <v>98.2</v>
      </c>
      <c r="BC52" s="26">
        <v>97.5</v>
      </c>
      <c r="BD52" s="26">
        <v>98.9</v>
      </c>
      <c r="BE52" s="26">
        <v>-3.71</v>
      </c>
      <c r="BF52" s="26">
        <v>44.0</v>
      </c>
      <c r="BG52" s="26"/>
      <c r="BH52" s="26"/>
      <c r="BI52" s="26"/>
      <c r="BJ52" s="26"/>
      <c r="BK52" s="26"/>
      <c r="BL52" s="26"/>
      <c r="BM52" s="26"/>
    </row>
    <row r="53" ht="15.75" customHeight="1">
      <c r="A53" s="25"/>
      <c r="B53" s="26"/>
      <c r="C53" s="26">
        <v>24.0</v>
      </c>
      <c r="D53" s="26">
        <v>110.3</v>
      </c>
      <c r="E53" s="26">
        <v>109.5</v>
      </c>
      <c r="F53" s="26">
        <v>111.1</v>
      </c>
      <c r="G53" s="26">
        <v>-2.53</v>
      </c>
      <c r="H53" s="26">
        <v>62.0</v>
      </c>
      <c r="I53" s="26"/>
      <c r="J53" s="26"/>
      <c r="K53" s="26">
        <v>24.0</v>
      </c>
      <c r="L53" s="26">
        <v>117.6</v>
      </c>
      <c r="M53" s="26">
        <v>116.8</v>
      </c>
      <c r="N53" s="26">
        <v>118.4</v>
      </c>
      <c r="O53" s="26">
        <v>-1.69</v>
      </c>
      <c r="P53" s="26">
        <v>75.0</v>
      </c>
      <c r="Q53" s="26"/>
      <c r="R53" s="26">
        <v>24.0</v>
      </c>
      <c r="S53" s="26">
        <v>117.2</v>
      </c>
      <c r="T53" s="26">
        <v>116.3</v>
      </c>
      <c r="U53" s="26">
        <v>118.0</v>
      </c>
      <c r="V53" s="26">
        <v>-2.68</v>
      </c>
      <c r="W53" s="26">
        <v>60.0</v>
      </c>
      <c r="X53" s="26"/>
      <c r="Y53" s="26"/>
      <c r="Z53" s="26">
        <v>24.0</v>
      </c>
      <c r="AA53" s="26">
        <v>111.9</v>
      </c>
      <c r="AB53" s="26">
        <v>108.6</v>
      </c>
      <c r="AC53" s="26">
        <v>115.2</v>
      </c>
      <c r="AD53" s="26">
        <v>-2.91</v>
      </c>
      <c r="AE53" s="26">
        <v>56.0</v>
      </c>
      <c r="AF53" s="26"/>
      <c r="AG53" s="26"/>
      <c r="AH53" s="26"/>
      <c r="AI53" s="26">
        <v>23.0</v>
      </c>
      <c r="AJ53" s="26">
        <v>132.3</v>
      </c>
      <c r="AK53" s="26">
        <v>130.1</v>
      </c>
      <c r="AL53" s="26">
        <v>134.5</v>
      </c>
      <c r="AM53" s="26">
        <v>-2.15</v>
      </c>
      <c r="AN53" s="26">
        <v>68.0</v>
      </c>
      <c r="AO53" s="26"/>
      <c r="AP53" s="26"/>
      <c r="AQ53" s="26"/>
      <c r="AR53" s="26"/>
      <c r="AS53" s="26">
        <v>24.0</v>
      </c>
      <c r="AT53" s="26">
        <v>132.8</v>
      </c>
      <c r="AU53" s="26">
        <v>131.5</v>
      </c>
      <c r="AV53" s="26">
        <v>134.0</v>
      </c>
      <c r="AW53" s="26">
        <v>-0.63</v>
      </c>
      <c r="AX53" s="26">
        <v>91.0</v>
      </c>
      <c r="AY53" s="26"/>
      <c r="AZ53" s="26"/>
      <c r="BA53" s="26">
        <v>24.0</v>
      </c>
      <c r="BB53" s="26">
        <v>98.4</v>
      </c>
      <c r="BC53" s="26">
        <v>97.7</v>
      </c>
      <c r="BD53" s="26">
        <v>99.0</v>
      </c>
      <c r="BE53" s="26">
        <v>-3.66</v>
      </c>
      <c r="BF53" s="26">
        <v>45.0</v>
      </c>
      <c r="BG53" s="26"/>
      <c r="BH53" s="26"/>
      <c r="BI53" s="26"/>
      <c r="BJ53" s="26"/>
      <c r="BK53" s="26"/>
      <c r="BL53" s="26"/>
      <c r="BM53" s="26"/>
    </row>
    <row r="54" ht="15.75" customHeight="1">
      <c r="A54" s="25"/>
      <c r="B54" s="26"/>
      <c r="C54" s="26">
        <v>25.0</v>
      </c>
      <c r="D54" s="26">
        <v>110.5</v>
      </c>
      <c r="E54" s="26">
        <v>109.7</v>
      </c>
      <c r="F54" s="26">
        <v>111.3</v>
      </c>
      <c r="G54" s="26">
        <v>-2.49</v>
      </c>
      <c r="H54" s="26">
        <v>63.0</v>
      </c>
      <c r="I54" s="26"/>
      <c r="J54" s="26"/>
      <c r="K54" s="26">
        <v>25.0</v>
      </c>
      <c r="L54" s="26">
        <v>117.9</v>
      </c>
      <c r="M54" s="26">
        <v>117.1</v>
      </c>
      <c r="N54" s="26">
        <v>118.7</v>
      </c>
      <c r="O54" s="26">
        <v>-1.64</v>
      </c>
      <c r="P54" s="26">
        <v>75.0</v>
      </c>
      <c r="Q54" s="26"/>
      <c r="R54" s="26">
        <v>25.0</v>
      </c>
      <c r="S54" s="26">
        <v>117.4</v>
      </c>
      <c r="T54" s="26">
        <v>116.6</v>
      </c>
      <c r="U54" s="26">
        <v>118.3</v>
      </c>
      <c r="V54" s="26">
        <v>-2.63</v>
      </c>
      <c r="W54" s="26">
        <v>61.0</v>
      </c>
      <c r="X54" s="26"/>
      <c r="Y54" s="26"/>
      <c r="Z54" s="26">
        <v>25.0</v>
      </c>
      <c r="AA54" s="26">
        <v>112.4</v>
      </c>
      <c r="AB54" s="26">
        <v>109.1</v>
      </c>
      <c r="AC54" s="26">
        <v>115.7</v>
      </c>
      <c r="AD54" s="26">
        <v>-2.87</v>
      </c>
      <c r="AE54" s="26">
        <v>57.0</v>
      </c>
      <c r="AF54" s="26"/>
      <c r="AG54" s="26"/>
      <c r="AH54" s="26"/>
      <c r="AI54" s="26">
        <v>24.0</v>
      </c>
      <c r="AJ54" s="26">
        <v>134.0</v>
      </c>
      <c r="AK54" s="26">
        <v>132.0</v>
      </c>
      <c r="AL54" s="26">
        <v>136.0</v>
      </c>
      <c r="AM54" s="26">
        <v>-1.85</v>
      </c>
      <c r="AN54" s="26">
        <v>72.0</v>
      </c>
      <c r="AO54" s="26"/>
      <c r="AP54" s="26"/>
      <c r="AQ54" s="26"/>
      <c r="AR54" s="26"/>
      <c r="AS54" s="26">
        <v>25.0</v>
      </c>
      <c r="AT54" s="26">
        <v>133.3</v>
      </c>
      <c r="AU54" s="26">
        <v>132.1</v>
      </c>
      <c r="AV54" s="26">
        <v>134.5</v>
      </c>
      <c r="AW54" s="26">
        <v>-0.53</v>
      </c>
      <c r="AX54" s="26">
        <v>92.0</v>
      </c>
      <c r="AY54" s="26"/>
      <c r="AZ54" s="26"/>
      <c r="BA54" s="26">
        <v>25.0</v>
      </c>
      <c r="BB54" s="26">
        <v>98.5</v>
      </c>
      <c r="BC54" s="26">
        <v>97.9</v>
      </c>
      <c r="BD54" s="26">
        <v>99.1</v>
      </c>
      <c r="BE54" s="26">
        <v>-3.61</v>
      </c>
      <c r="BF54" s="26">
        <v>46.0</v>
      </c>
      <c r="BG54" s="26"/>
      <c r="BH54" s="26"/>
      <c r="BI54" s="26"/>
      <c r="BJ54" s="26"/>
      <c r="BK54" s="26"/>
      <c r="BL54" s="26"/>
      <c r="BM54" s="26"/>
    </row>
    <row r="55" ht="15.75" customHeight="1">
      <c r="A55" s="25"/>
      <c r="B55" s="26"/>
      <c r="C55" s="26">
        <v>26.0</v>
      </c>
      <c r="D55" s="26">
        <v>110.7</v>
      </c>
      <c r="E55" s="26">
        <v>110.0</v>
      </c>
      <c r="F55" s="26">
        <v>111.5</v>
      </c>
      <c r="G55" s="26">
        <v>-2.46</v>
      </c>
      <c r="H55" s="26">
        <v>63.0</v>
      </c>
      <c r="I55" s="26"/>
      <c r="J55" s="26"/>
      <c r="K55" s="26">
        <v>26.0</v>
      </c>
      <c r="L55" s="26">
        <v>118.1</v>
      </c>
      <c r="M55" s="26">
        <v>117.3</v>
      </c>
      <c r="N55" s="26">
        <v>118.8</v>
      </c>
      <c r="O55" s="26">
        <v>-1.6</v>
      </c>
      <c r="P55" s="26">
        <v>76.0</v>
      </c>
      <c r="Q55" s="26"/>
      <c r="R55" s="26">
        <v>26.0</v>
      </c>
      <c r="S55" s="26">
        <v>117.7</v>
      </c>
      <c r="T55" s="26">
        <v>116.8</v>
      </c>
      <c r="U55" s="26">
        <v>118.6</v>
      </c>
      <c r="V55" s="26">
        <v>-2.58</v>
      </c>
      <c r="W55" s="26">
        <v>61.0</v>
      </c>
      <c r="X55" s="26"/>
      <c r="Y55" s="26"/>
      <c r="Z55" s="26">
        <v>26.0</v>
      </c>
      <c r="AA55" s="26">
        <v>112.9</v>
      </c>
      <c r="AB55" s="26">
        <v>109.6</v>
      </c>
      <c r="AC55" s="26">
        <v>116.2</v>
      </c>
      <c r="AD55" s="26">
        <v>-2.82</v>
      </c>
      <c r="AE55" s="26">
        <v>58.0</v>
      </c>
      <c r="AF55" s="26"/>
      <c r="AG55" s="26"/>
      <c r="AH55" s="26"/>
      <c r="AI55" s="26">
        <v>25.0</v>
      </c>
      <c r="AJ55" s="26">
        <v>135.2</v>
      </c>
      <c r="AK55" s="26">
        <v>133.6</v>
      </c>
      <c r="AL55" s="26">
        <v>136.8</v>
      </c>
      <c r="AM55" s="26">
        <v>-1.63</v>
      </c>
      <c r="AN55" s="26">
        <v>76.0</v>
      </c>
      <c r="AO55" s="26"/>
      <c r="AP55" s="26"/>
      <c r="AQ55" s="26"/>
      <c r="AR55" s="26"/>
      <c r="AS55" s="26">
        <v>26.0</v>
      </c>
      <c r="AT55" s="26">
        <v>133.8</v>
      </c>
      <c r="AU55" s="26">
        <v>132.6</v>
      </c>
      <c r="AV55" s="26">
        <v>135.0</v>
      </c>
      <c r="AW55" s="26">
        <v>-0.44</v>
      </c>
      <c r="AX55" s="26">
        <v>93.0</v>
      </c>
      <c r="AY55" s="26"/>
      <c r="AZ55" s="26"/>
      <c r="BA55" s="26">
        <v>26.0</v>
      </c>
      <c r="BB55" s="26">
        <v>98.6</v>
      </c>
      <c r="BC55" s="26">
        <v>98.0</v>
      </c>
      <c r="BD55" s="26">
        <v>99.3</v>
      </c>
      <c r="BE55" s="26">
        <v>-3.57</v>
      </c>
      <c r="BF55" s="26">
        <v>47.0</v>
      </c>
      <c r="BG55" s="26"/>
      <c r="BH55" s="26"/>
      <c r="BI55" s="26"/>
      <c r="BJ55" s="26"/>
      <c r="BK55" s="26"/>
      <c r="BL55" s="26"/>
      <c r="BM55" s="26"/>
    </row>
    <row r="56" ht="15.75" customHeight="1">
      <c r="A56" s="25"/>
      <c r="B56" s="26"/>
      <c r="C56" s="26">
        <v>27.0</v>
      </c>
      <c r="D56" s="26">
        <v>111.0</v>
      </c>
      <c r="E56" s="26">
        <v>110.2</v>
      </c>
      <c r="F56" s="26">
        <v>111.7</v>
      </c>
      <c r="G56" s="26">
        <v>-2.43</v>
      </c>
      <c r="H56" s="26">
        <v>64.0</v>
      </c>
      <c r="I56" s="26"/>
      <c r="J56" s="26"/>
      <c r="K56" s="26">
        <v>27.0</v>
      </c>
      <c r="L56" s="26">
        <v>118.3</v>
      </c>
      <c r="M56" s="26">
        <v>117.6</v>
      </c>
      <c r="N56" s="26">
        <v>119.0</v>
      </c>
      <c r="O56" s="26">
        <v>-1.55</v>
      </c>
      <c r="P56" s="26">
        <v>77.0</v>
      </c>
      <c r="Q56" s="26"/>
      <c r="R56" s="26">
        <v>27.0</v>
      </c>
      <c r="S56" s="26">
        <v>118.0</v>
      </c>
      <c r="T56" s="26">
        <v>117.1</v>
      </c>
      <c r="U56" s="26">
        <v>119.0</v>
      </c>
      <c r="V56" s="26">
        <v>-2.53</v>
      </c>
      <c r="W56" s="26">
        <v>62.0</v>
      </c>
      <c r="X56" s="26"/>
      <c r="Y56" s="26"/>
      <c r="Z56" s="26">
        <v>27.0</v>
      </c>
      <c r="AA56" s="26">
        <v>113.4</v>
      </c>
      <c r="AB56" s="26">
        <v>110.1</v>
      </c>
      <c r="AC56" s="26">
        <v>116.7</v>
      </c>
      <c r="AD56" s="26">
        <v>-2.78</v>
      </c>
      <c r="AE56" s="26">
        <v>58.0</v>
      </c>
      <c r="AF56" s="26"/>
      <c r="AG56" s="26"/>
      <c r="AH56" s="26"/>
      <c r="AI56" s="26">
        <v>26.0</v>
      </c>
      <c r="AJ56" s="26">
        <v>136.0</v>
      </c>
      <c r="AK56" s="26">
        <v>134.7</v>
      </c>
      <c r="AL56" s="26">
        <v>137.4</v>
      </c>
      <c r="AM56" s="26">
        <v>-1.49</v>
      </c>
      <c r="AN56" s="26">
        <v>78.0</v>
      </c>
      <c r="AO56" s="26"/>
      <c r="AP56" s="26"/>
      <c r="AQ56" s="26"/>
      <c r="AR56" s="26"/>
      <c r="AS56" s="26">
        <v>27.0</v>
      </c>
      <c r="AT56" s="26">
        <v>134.3</v>
      </c>
      <c r="AU56" s="26">
        <v>133.1</v>
      </c>
      <c r="AV56" s="26">
        <v>135.4</v>
      </c>
      <c r="AW56" s="26">
        <v>-0.36</v>
      </c>
      <c r="AX56" s="26">
        <v>95.0</v>
      </c>
      <c r="AY56" s="26"/>
      <c r="AZ56" s="26"/>
      <c r="BA56" s="26">
        <v>27.0</v>
      </c>
      <c r="BB56" s="26">
        <v>98.8</v>
      </c>
      <c r="BC56" s="26">
        <v>98.2</v>
      </c>
      <c r="BD56" s="26">
        <v>99.4</v>
      </c>
      <c r="BE56" s="26">
        <v>-3.52</v>
      </c>
      <c r="BF56" s="26">
        <v>47.0</v>
      </c>
      <c r="BG56" s="26"/>
      <c r="BH56" s="26"/>
      <c r="BI56" s="26"/>
      <c r="BJ56" s="26"/>
      <c r="BK56" s="26"/>
      <c r="BL56" s="26"/>
      <c r="BM56" s="26"/>
    </row>
    <row r="57" ht="15.75" customHeight="1">
      <c r="A57" s="25"/>
      <c r="B57" s="26"/>
      <c r="C57" s="26">
        <v>28.0</v>
      </c>
      <c r="D57" s="26">
        <v>111.2</v>
      </c>
      <c r="E57" s="26">
        <v>110.4</v>
      </c>
      <c r="F57" s="26">
        <v>112.0</v>
      </c>
      <c r="G57" s="26">
        <v>-2.4</v>
      </c>
      <c r="H57" s="26">
        <v>64.0</v>
      </c>
      <c r="I57" s="26"/>
      <c r="J57" s="26"/>
      <c r="K57" s="26">
        <v>28.0</v>
      </c>
      <c r="L57" s="26">
        <v>118.5</v>
      </c>
      <c r="M57" s="26">
        <v>117.8</v>
      </c>
      <c r="N57" s="26">
        <v>119.2</v>
      </c>
      <c r="O57" s="26">
        <v>-1.52</v>
      </c>
      <c r="P57" s="26">
        <v>77.0</v>
      </c>
      <c r="Q57" s="26"/>
      <c r="R57" s="26">
        <v>28.0</v>
      </c>
      <c r="S57" s="26">
        <v>118.4</v>
      </c>
      <c r="T57" s="26">
        <v>117.4</v>
      </c>
      <c r="U57" s="26">
        <v>119.3</v>
      </c>
      <c r="V57" s="26">
        <v>-2.47</v>
      </c>
      <c r="W57" s="26">
        <v>63.0</v>
      </c>
      <c r="X57" s="26"/>
      <c r="Y57" s="26"/>
      <c r="Z57" s="26">
        <v>28.0</v>
      </c>
      <c r="AA57" s="26">
        <v>113.9</v>
      </c>
      <c r="AB57" s="26">
        <v>110.6</v>
      </c>
      <c r="AC57" s="26">
        <v>117.2</v>
      </c>
      <c r="AD57" s="26">
        <v>-2.74</v>
      </c>
      <c r="AE57" s="26">
        <v>59.0</v>
      </c>
      <c r="AF57" s="26"/>
      <c r="AG57" s="26"/>
      <c r="AH57" s="26"/>
      <c r="AI57" s="26">
        <v>27.0</v>
      </c>
      <c r="AJ57" s="26">
        <v>136.7</v>
      </c>
      <c r="AK57" s="26">
        <v>135.4</v>
      </c>
      <c r="AL57" s="26">
        <v>137.9</v>
      </c>
      <c r="AM57" s="26">
        <v>-1.38</v>
      </c>
      <c r="AN57" s="26">
        <v>79.0</v>
      </c>
      <c r="AO57" s="26"/>
      <c r="AP57" s="26"/>
      <c r="AQ57" s="26"/>
      <c r="AR57" s="26"/>
      <c r="AS57" s="26">
        <v>28.0</v>
      </c>
      <c r="AT57" s="26">
        <v>134.8</v>
      </c>
      <c r="AU57" s="26">
        <v>133.6</v>
      </c>
      <c r="AV57" s="26">
        <v>136.0</v>
      </c>
      <c r="AW57" s="26">
        <v>-0.27</v>
      </c>
      <c r="AX57" s="26">
        <v>96.0</v>
      </c>
      <c r="AY57" s="26"/>
      <c r="AZ57" s="26"/>
      <c r="BA57" s="26">
        <v>28.0</v>
      </c>
      <c r="BB57" s="26">
        <v>98.9</v>
      </c>
      <c r="BC57" s="26">
        <v>98.3</v>
      </c>
      <c r="BD57" s="26">
        <v>99.5</v>
      </c>
      <c r="BE57" s="26">
        <v>-3.48</v>
      </c>
      <c r="BF57" s="26">
        <v>48.0</v>
      </c>
      <c r="BG57" s="26"/>
      <c r="BH57" s="26"/>
      <c r="BI57" s="26"/>
      <c r="BJ57" s="26"/>
      <c r="BK57" s="26"/>
      <c r="BL57" s="26"/>
      <c r="BM57" s="26"/>
    </row>
    <row r="58" ht="15.75" customHeight="1">
      <c r="A58" s="25"/>
      <c r="B58" s="26"/>
      <c r="C58" s="26">
        <v>29.0</v>
      </c>
      <c r="D58" s="26">
        <v>111.4</v>
      </c>
      <c r="E58" s="26">
        <v>110.6</v>
      </c>
      <c r="F58" s="26">
        <v>112.2</v>
      </c>
      <c r="G58" s="26">
        <v>-2.36</v>
      </c>
      <c r="H58" s="26">
        <v>65.0</v>
      </c>
      <c r="I58" s="26"/>
      <c r="J58" s="26"/>
      <c r="K58" s="26">
        <v>29.0</v>
      </c>
      <c r="L58" s="26">
        <v>118.6</v>
      </c>
      <c r="M58" s="26">
        <v>118.0</v>
      </c>
      <c r="N58" s="26">
        <v>119.3</v>
      </c>
      <c r="O58" s="26">
        <v>-1.48</v>
      </c>
      <c r="P58" s="26">
        <v>78.0</v>
      </c>
      <c r="Q58" s="26"/>
      <c r="R58" s="26">
        <v>29.0</v>
      </c>
      <c r="S58" s="26">
        <v>118.7</v>
      </c>
      <c r="T58" s="26">
        <v>117.7</v>
      </c>
      <c r="U58" s="26">
        <v>119.7</v>
      </c>
      <c r="V58" s="26">
        <v>-2.41</v>
      </c>
      <c r="W58" s="26">
        <v>64.0</v>
      </c>
      <c r="X58" s="26"/>
      <c r="Y58" s="26"/>
      <c r="Z58" s="26">
        <v>29.0</v>
      </c>
      <c r="AA58" s="26">
        <v>114.4</v>
      </c>
      <c r="AB58" s="26">
        <v>111.1</v>
      </c>
      <c r="AC58" s="26">
        <v>117.7</v>
      </c>
      <c r="AD58" s="26">
        <v>-2.7</v>
      </c>
      <c r="AE58" s="26">
        <v>60.0</v>
      </c>
      <c r="AF58" s="26"/>
      <c r="AG58" s="26"/>
      <c r="AH58" s="26"/>
      <c r="AI58" s="26">
        <v>28.0</v>
      </c>
      <c r="AJ58" s="26">
        <v>137.2</v>
      </c>
      <c r="AK58" s="26">
        <v>136.0</v>
      </c>
      <c r="AL58" s="26">
        <v>138.3</v>
      </c>
      <c r="AM58" s="26">
        <v>-1.29</v>
      </c>
      <c r="AN58" s="26">
        <v>81.0</v>
      </c>
      <c r="AO58" s="26"/>
      <c r="AP58" s="26"/>
      <c r="AQ58" s="26"/>
      <c r="AR58" s="26"/>
      <c r="AS58" s="26">
        <v>29.0</v>
      </c>
      <c r="AT58" s="26">
        <v>135.3</v>
      </c>
      <c r="AU58" s="26">
        <v>134.1</v>
      </c>
      <c r="AV58" s="26">
        <v>136.5</v>
      </c>
      <c r="AW58" s="26">
        <v>-0.18</v>
      </c>
      <c r="AX58" s="26">
        <v>97.0</v>
      </c>
      <c r="AY58" s="26"/>
      <c r="AZ58" s="26"/>
      <c r="BA58" s="26">
        <v>29.0</v>
      </c>
      <c r="BB58" s="26">
        <v>99.1</v>
      </c>
      <c r="BC58" s="26">
        <v>98.4</v>
      </c>
      <c r="BD58" s="26">
        <v>99.7</v>
      </c>
      <c r="BE58" s="26">
        <v>-3.43</v>
      </c>
      <c r="BF58" s="26">
        <v>49.0</v>
      </c>
      <c r="BG58" s="26"/>
      <c r="BH58" s="26"/>
      <c r="BI58" s="26"/>
      <c r="BJ58" s="26"/>
      <c r="BK58" s="26"/>
      <c r="BL58" s="26"/>
      <c r="BM58" s="26"/>
    </row>
    <row r="59" ht="15.75" customHeight="1">
      <c r="A59" s="25"/>
      <c r="B59" s="26"/>
      <c r="C59" s="26">
        <v>30.0</v>
      </c>
      <c r="D59" s="26">
        <v>111.7</v>
      </c>
      <c r="E59" s="26">
        <v>110.8</v>
      </c>
      <c r="F59" s="26">
        <v>112.5</v>
      </c>
      <c r="G59" s="26">
        <v>-2.33</v>
      </c>
      <c r="H59" s="26">
        <v>65.0</v>
      </c>
      <c r="I59" s="26"/>
      <c r="J59" s="26"/>
      <c r="K59" s="26">
        <v>30.0</v>
      </c>
      <c r="L59" s="26">
        <v>118.8</v>
      </c>
      <c r="M59" s="26">
        <v>118.1</v>
      </c>
      <c r="N59" s="26">
        <v>119.5</v>
      </c>
      <c r="O59" s="26">
        <v>-1.45</v>
      </c>
      <c r="P59" s="26">
        <v>78.0</v>
      </c>
      <c r="Q59" s="26"/>
      <c r="R59" s="26">
        <v>30.0</v>
      </c>
      <c r="S59" s="26">
        <v>119.1</v>
      </c>
      <c r="T59" s="26">
        <v>118.1</v>
      </c>
      <c r="U59" s="26">
        <v>120.1</v>
      </c>
      <c r="V59" s="26">
        <v>-2.34</v>
      </c>
      <c r="W59" s="26">
        <v>65.0</v>
      </c>
      <c r="X59" s="26"/>
      <c r="Y59" s="26"/>
      <c r="Z59" s="26">
        <v>30.0</v>
      </c>
      <c r="AA59" s="26">
        <v>114.9</v>
      </c>
      <c r="AB59" s="26">
        <v>111.6</v>
      </c>
      <c r="AC59" s="26">
        <v>118.2</v>
      </c>
      <c r="AD59" s="26">
        <v>-2.65</v>
      </c>
      <c r="AE59" s="26">
        <v>60.0</v>
      </c>
      <c r="AF59" s="26"/>
      <c r="AG59" s="26"/>
      <c r="AH59" s="26"/>
      <c r="AI59" s="26">
        <v>29.0</v>
      </c>
      <c r="AJ59" s="26">
        <v>137.6</v>
      </c>
      <c r="AK59" s="26">
        <v>136.5</v>
      </c>
      <c r="AL59" s="26">
        <v>138.7</v>
      </c>
      <c r="AM59" s="26">
        <v>-1.21</v>
      </c>
      <c r="AN59" s="26">
        <v>82.0</v>
      </c>
      <c r="AO59" s="26"/>
      <c r="AP59" s="26"/>
      <c r="AQ59" s="26"/>
      <c r="AR59" s="26"/>
      <c r="AS59" s="26">
        <v>30.0</v>
      </c>
      <c r="AT59" s="26">
        <v>135.9</v>
      </c>
      <c r="AU59" s="26">
        <v>134.6</v>
      </c>
      <c r="AV59" s="26">
        <v>137.1</v>
      </c>
      <c r="AW59" s="26">
        <v>-0.08</v>
      </c>
      <c r="AX59" s="26">
        <v>99.0</v>
      </c>
      <c r="AY59" s="26"/>
      <c r="AZ59" s="26"/>
      <c r="BA59" s="26">
        <v>30.0</v>
      </c>
      <c r="BB59" s="26">
        <v>99.2</v>
      </c>
      <c r="BC59" s="26">
        <v>98.6</v>
      </c>
      <c r="BD59" s="26">
        <v>99.9</v>
      </c>
      <c r="BE59" s="26">
        <v>-3.39</v>
      </c>
      <c r="BF59" s="26">
        <v>49.0</v>
      </c>
      <c r="BG59" s="26"/>
      <c r="BH59" s="26"/>
      <c r="BI59" s="26"/>
      <c r="BJ59" s="26"/>
      <c r="BK59" s="26"/>
      <c r="BL59" s="26"/>
      <c r="BM59" s="26"/>
    </row>
    <row r="60" ht="15.75" customHeight="1">
      <c r="A60" s="25"/>
      <c r="B60" s="26"/>
      <c r="C60" s="26">
        <v>31.0</v>
      </c>
      <c r="D60" s="26">
        <v>112.0</v>
      </c>
      <c r="E60" s="26">
        <v>111.0</v>
      </c>
      <c r="F60" s="26">
        <v>122.9</v>
      </c>
      <c r="G60" s="26">
        <v>-2.28</v>
      </c>
      <c r="H60" s="26">
        <v>66.0</v>
      </c>
      <c r="I60" s="26"/>
      <c r="J60" s="26"/>
      <c r="K60" s="26">
        <v>31.0</v>
      </c>
      <c r="L60" s="26">
        <v>119.0</v>
      </c>
      <c r="M60" s="26">
        <v>118.3</v>
      </c>
      <c r="N60" s="26">
        <v>119.6</v>
      </c>
      <c r="O60" s="26">
        <v>-1.42</v>
      </c>
      <c r="P60" s="26">
        <v>79.0</v>
      </c>
      <c r="Q60" s="26"/>
      <c r="R60" s="26">
        <v>31.0</v>
      </c>
      <c r="S60" s="26">
        <v>119.5</v>
      </c>
      <c r="T60" s="26">
        <v>118.4</v>
      </c>
      <c r="U60" s="26">
        <v>120.6</v>
      </c>
      <c r="V60" s="26">
        <v>-2.27</v>
      </c>
      <c r="W60" s="26">
        <v>66.0</v>
      </c>
      <c r="X60" s="26"/>
      <c r="Y60" s="26"/>
      <c r="Z60" s="26">
        <v>31.0</v>
      </c>
      <c r="AA60" s="26">
        <v>115.4</v>
      </c>
      <c r="AB60" s="26">
        <v>112.1</v>
      </c>
      <c r="AC60" s="26">
        <v>118.7</v>
      </c>
      <c r="AD60" s="26">
        <v>-2.61</v>
      </c>
      <c r="AE60" s="26">
        <v>61.0</v>
      </c>
      <c r="AF60" s="26"/>
      <c r="AG60" s="26"/>
      <c r="AH60" s="26"/>
      <c r="AI60" s="26">
        <v>30.0</v>
      </c>
      <c r="AJ60" s="26">
        <v>138.1</v>
      </c>
      <c r="AK60" s="26">
        <v>137.0</v>
      </c>
      <c r="AL60" s="26">
        <v>139.1</v>
      </c>
      <c r="AM60" s="26">
        <v>-1.13</v>
      </c>
      <c r="AN60" s="26">
        <v>83.0</v>
      </c>
      <c r="AO60" s="26"/>
      <c r="AP60" s="26"/>
      <c r="AQ60" s="26"/>
      <c r="AR60" s="26"/>
      <c r="AS60" s="26">
        <v>31.0</v>
      </c>
      <c r="AT60" s="26">
        <v>136.5</v>
      </c>
      <c r="AU60" s="26">
        <v>135.1</v>
      </c>
      <c r="AV60" s="26">
        <v>137.8</v>
      </c>
      <c r="AW60" s="26">
        <v>0.03</v>
      </c>
      <c r="AX60" s="26">
        <v>100.0</v>
      </c>
      <c r="AY60" s="26"/>
      <c r="AZ60" s="26"/>
      <c r="BA60" s="26">
        <v>31.0</v>
      </c>
      <c r="BB60" s="26">
        <v>99.4</v>
      </c>
      <c r="BC60" s="26">
        <v>98.7</v>
      </c>
      <c r="BD60" s="26">
        <v>100.0</v>
      </c>
      <c r="BE60" s="26">
        <v>-3.34</v>
      </c>
      <c r="BF60" s="26">
        <v>50.0</v>
      </c>
      <c r="BG60" s="26"/>
      <c r="BH60" s="26"/>
      <c r="BI60" s="26"/>
      <c r="BJ60" s="26"/>
      <c r="BK60" s="26"/>
      <c r="BL60" s="26"/>
      <c r="BM60" s="26"/>
    </row>
    <row r="61" ht="15.75" customHeight="1">
      <c r="A61" s="25"/>
      <c r="B61" s="26"/>
      <c r="C61" s="26">
        <v>32.0</v>
      </c>
      <c r="D61" s="26">
        <v>112.3</v>
      </c>
      <c r="E61" s="26">
        <v>111.3</v>
      </c>
      <c r="F61" s="26">
        <v>113.3</v>
      </c>
      <c r="G61" s="26">
        <v>-2.24</v>
      </c>
      <c r="H61" s="26">
        <v>66.0</v>
      </c>
      <c r="I61" s="26"/>
      <c r="J61" s="26"/>
      <c r="K61" s="26">
        <v>32.0</v>
      </c>
      <c r="L61" s="26">
        <v>119.1</v>
      </c>
      <c r="M61" s="26">
        <v>118.5</v>
      </c>
      <c r="N61" s="26">
        <v>119.8</v>
      </c>
      <c r="O61" s="26">
        <v>-1.39</v>
      </c>
      <c r="P61" s="26">
        <v>79.0</v>
      </c>
      <c r="Q61" s="26"/>
      <c r="R61" s="26">
        <v>32.0</v>
      </c>
      <c r="S61" s="26">
        <v>119.9</v>
      </c>
      <c r="T61" s="26">
        <v>118.8</v>
      </c>
      <c r="U61" s="26">
        <v>121.0</v>
      </c>
      <c r="V61" s="26">
        <v>-2.2</v>
      </c>
      <c r="W61" s="26">
        <v>67.0</v>
      </c>
      <c r="X61" s="26"/>
      <c r="Y61" s="26"/>
      <c r="Z61" s="26">
        <v>32.0</v>
      </c>
      <c r="AA61" s="26">
        <v>115.9</v>
      </c>
      <c r="AB61" s="26">
        <v>112.6</v>
      </c>
      <c r="AC61" s="26">
        <v>119.2</v>
      </c>
      <c r="AD61" s="26">
        <v>-2.57</v>
      </c>
      <c r="AE61" s="26">
        <v>62.0</v>
      </c>
      <c r="AF61" s="26"/>
      <c r="AG61" s="26"/>
      <c r="AH61" s="26"/>
      <c r="AI61" s="26">
        <v>31.0</v>
      </c>
      <c r="AJ61" s="26">
        <v>138.5</v>
      </c>
      <c r="AK61" s="26">
        <v>137.4</v>
      </c>
      <c r="AL61" s="26">
        <v>139.5</v>
      </c>
      <c r="AM61" s="26">
        <v>-1.06</v>
      </c>
      <c r="AN61" s="26">
        <v>84.0</v>
      </c>
      <c r="AO61" s="26"/>
      <c r="AP61" s="26"/>
      <c r="AQ61" s="26"/>
      <c r="AR61" s="26"/>
      <c r="AS61" s="26">
        <v>32.0</v>
      </c>
      <c r="AT61" s="26">
        <v>137.2</v>
      </c>
      <c r="AU61" s="26">
        <v>135.8</v>
      </c>
      <c r="AV61" s="26">
        <v>138.6</v>
      </c>
      <c r="AW61" s="26">
        <v>0.16</v>
      </c>
      <c r="AX61" s="26">
        <v>102.0</v>
      </c>
      <c r="AY61" s="26"/>
      <c r="AZ61" s="26"/>
      <c r="BA61" s="26">
        <v>32.0</v>
      </c>
      <c r="BB61" s="26">
        <v>99.5</v>
      </c>
      <c r="BC61" s="26">
        <v>98.9</v>
      </c>
      <c r="BD61" s="26">
        <v>100.2</v>
      </c>
      <c r="BE61" s="26">
        <v>-3.29</v>
      </c>
      <c r="BF61" s="26">
        <v>51.0</v>
      </c>
      <c r="BG61" s="26"/>
      <c r="BH61" s="26"/>
      <c r="BI61" s="26"/>
      <c r="BJ61" s="26"/>
      <c r="BK61" s="26"/>
      <c r="BL61" s="26"/>
      <c r="BM61" s="26"/>
    </row>
    <row r="62" ht="15.75" customHeight="1">
      <c r="A62" s="25"/>
      <c r="B62" s="26"/>
      <c r="C62" s="26">
        <v>33.0</v>
      </c>
      <c r="D62" s="26">
        <v>112.7</v>
      </c>
      <c r="E62" s="26">
        <v>111.7</v>
      </c>
      <c r="F62" s="26">
        <v>133.6</v>
      </c>
      <c r="G62" s="26">
        <v>-2.18</v>
      </c>
      <c r="H62" s="26">
        <v>67.0</v>
      </c>
      <c r="I62" s="26"/>
      <c r="J62" s="26"/>
      <c r="K62" s="26">
        <v>33.0</v>
      </c>
      <c r="L62" s="26">
        <v>119.3</v>
      </c>
      <c r="M62" s="26">
        <v>118.6</v>
      </c>
      <c r="N62" s="26">
        <v>119.9</v>
      </c>
      <c r="O62" s="26">
        <v>-1.35</v>
      </c>
      <c r="P62" s="26">
        <v>80.0</v>
      </c>
      <c r="Q62" s="26"/>
      <c r="R62" s="26">
        <v>33.0</v>
      </c>
      <c r="S62" s="26">
        <v>120.4</v>
      </c>
      <c r="T62" s="26">
        <v>119.2</v>
      </c>
      <c r="U62" s="26">
        <v>121.6</v>
      </c>
      <c r="V62" s="26">
        <v>-2.11</v>
      </c>
      <c r="W62" s="26">
        <v>68.0</v>
      </c>
      <c r="X62" s="26"/>
      <c r="Y62" s="26"/>
      <c r="Z62" s="26">
        <v>33.0</v>
      </c>
      <c r="AA62" s="26">
        <v>116.4</v>
      </c>
      <c r="AB62" s="26">
        <v>113.1</v>
      </c>
      <c r="AC62" s="26">
        <v>119.7</v>
      </c>
      <c r="AD62" s="26">
        <v>-2.52</v>
      </c>
      <c r="AE62" s="26">
        <v>62.0</v>
      </c>
      <c r="AF62" s="26"/>
      <c r="AG62" s="26"/>
      <c r="AH62" s="26"/>
      <c r="AI62" s="26">
        <v>32.0</v>
      </c>
      <c r="AJ62" s="26">
        <v>138.9</v>
      </c>
      <c r="AK62" s="26">
        <v>137.8</v>
      </c>
      <c r="AL62" s="26">
        <v>140.0</v>
      </c>
      <c r="AM62" s="26">
        <v>-0.98</v>
      </c>
      <c r="AN62" s="26">
        <v>85.0</v>
      </c>
      <c r="AO62" s="26"/>
      <c r="AP62" s="26"/>
      <c r="AQ62" s="26"/>
      <c r="AR62" s="26"/>
      <c r="AS62" s="26">
        <v>33.0</v>
      </c>
      <c r="AT62" s="26">
        <v>138.0</v>
      </c>
      <c r="AU62" s="26">
        <v>136.5</v>
      </c>
      <c r="AV62" s="26">
        <v>139.4</v>
      </c>
      <c r="AW62" s="26">
        <v>0.29</v>
      </c>
      <c r="AX62" s="26">
        <v>104.0</v>
      </c>
      <c r="AY62" s="26"/>
      <c r="AZ62" s="26"/>
      <c r="BA62" s="26">
        <v>33.0</v>
      </c>
      <c r="BB62" s="26">
        <v>99.7</v>
      </c>
      <c r="BC62" s="26">
        <v>99.0</v>
      </c>
      <c r="BD62" s="26">
        <v>100.4</v>
      </c>
      <c r="BE62" s="26">
        <v>-3.23</v>
      </c>
      <c r="BF62" s="26">
        <v>52.0</v>
      </c>
      <c r="BG62" s="26"/>
      <c r="BH62" s="26"/>
      <c r="BI62" s="26"/>
      <c r="BJ62" s="26"/>
      <c r="BK62" s="26"/>
      <c r="BL62" s="26"/>
      <c r="BM62" s="26"/>
    </row>
    <row r="63" ht="15.75" customHeight="1">
      <c r="A63" s="25"/>
      <c r="B63" s="26"/>
      <c r="C63" s="26">
        <v>34.0</v>
      </c>
      <c r="D63" s="26">
        <v>113.0</v>
      </c>
      <c r="E63" s="26">
        <v>112.0</v>
      </c>
      <c r="F63" s="26">
        <v>114.0</v>
      </c>
      <c r="G63" s="26">
        <v>-2.13</v>
      </c>
      <c r="H63" s="26">
        <v>68.0</v>
      </c>
      <c r="I63" s="26"/>
      <c r="J63" s="26"/>
      <c r="K63" s="26">
        <v>34.0</v>
      </c>
      <c r="L63" s="26">
        <v>119.4</v>
      </c>
      <c r="M63" s="26">
        <v>118.8</v>
      </c>
      <c r="N63" s="26">
        <v>120.1</v>
      </c>
      <c r="O63" s="26">
        <v>-1.32</v>
      </c>
      <c r="P63" s="26">
        <v>80.0</v>
      </c>
      <c r="Q63" s="26"/>
      <c r="R63" s="26">
        <v>34.0</v>
      </c>
      <c r="S63" s="26">
        <v>121.0</v>
      </c>
      <c r="T63" s="26">
        <v>119.7</v>
      </c>
      <c r="U63" s="26">
        <v>122.2</v>
      </c>
      <c r="V63" s="26">
        <v>-2.01</v>
      </c>
      <c r="W63" s="26">
        <v>70.0</v>
      </c>
      <c r="X63" s="26"/>
      <c r="Y63" s="26"/>
      <c r="Z63" s="26">
        <v>34.0</v>
      </c>
      <c r="AA63" s="26">
        <v>116.9</v>
      </c>
      <c r="AB63" s="26">
        <v>113.6</v>
      </c>
      <c r="AC63" s="26">
        <v>120.2</v>
      </c>
      <c r="AD63" s="26">
        <v>-2.48</v>
      </c>
      <c r="AE63" s="26">
        <v>63.0</v>
      </c>
      <c r="AF63" s="26"/>
      <c r="AG63" s="26"/>
      <c r="AH63" s="26"/>
      <c r="AI63" s="26">
        <v>33.0</v>
      </c>
      <c r="AJ63" s="26">
        <v>139.3</v>
      </c>
      <c r="AK63" s="26">
        <v>138.2</v>
      </c>
      <c r="AL63" s="26">
        <v>140.4</v>
      </c>
      <c r="AM63" s="26">
        <v>-0.91</v>
      </c>
      <c r="AN63" s="26">
        <v>86.0</v>
      </c>
      <c r="AO63" s="26"/>
      <c r="AP63" s="26"/>
      <c r="AQ63" s="26"/>
      <c r="AR63" s="26"/>
      <c r="AS63" s="26">
        <v>34.0</v>
      </c>
      <c r="AT63" s="26">
        <v>138.8</v>
      </c>
      <c r="AU63" s="26">
        <v>137.3</v>
      </c>
      <c r="AV63" s="26">
        <v>140.3</v>
      </c>
      <c r="AW63" s="26">
        <v>0.44</v>
      </c>
      <c r="AX63" s="26">
        <v>107.0</v>
      </c>
      <c r="AY63" s="26"/>
      <c r="AZ63" s="26"/>
      <c r="BA63" s="26">
        <v>34.0</v>
      </c>
      <c r="BB63" s="26">
        <v>99.9</v>
      </c>
      <c r="BC63" s="26">
        <v>99.2</v>
      </c>
      <c r="BD63" s="26">
        <v>100.6</v>
      </c>
      <c r="BE63" s="26">
        <v>-3.17</v>
      </c>
      <c r="BF63" s="26">
        <v>52.0</v>
      </c>
      <c r="BG63" s="26"/>
      <c r="BH63" s="26"/>
      <c r="BI63" s="26"/>
      <c r="BJ63" s="26"/>
      <c r="BK63" s="26"/>
      <c r="BL63" s="26"/>
      <c r="BM63" s="26"/>
    </row>
    <row r="64" ht="15.75" customHeight="1">
      <c r="A64" s="25"/>
      <c r="B64" s="26"/>
      <c r="C64" s="26">
        <v>35.0</v>
      </c>
      <c r="D64" s="26">
        <v>113.3</v>
      </c>
      <c r="E64" s="26">
        <v>112.4</v>
      </c>
      <c r="F64" s="26">
        <v>114.3</v>
      </c>
      <c r="G64" s="26">
        <v>-2.08</v>
      </c>
      <c r="H64" s="26">
        <v>69.0</v>
      </c>
      <c r="I64" s="26"/>
      <c r="J64" s="26"/>
      <c r="K64" s="26">
        <v>35.0</v>
      </c>
      <c r="L64" s="26">
        <v>119.6</v>
      </c>
      <c r="M64" s="26">
        <v>118.9</v>
      </c>
      <c r="N64" s="26">
        <v>120.2</v>
      </c>
      <c r="O64" s="26">
        <v>-1.29</v>
      </c>
      <c r="P64" s="26">
        <v>81.0</v>
      </c>
      <c r="Q64" s="26"/>
      <c r="R64" s="26">
        <v>35.0</v>
      </c>
      <c r="S64" s="26">
        <v>121.6</v>
      </c>
      <c r="T64" s="26">
        <v>120.3</v>
      </c>
      <c r="U64" s="26">
        <v>122.9</v>
      </c>
      <c r="V64" s="26">
        <v>-1.9</v>
      </c>
      <c r="W64" s="26">
        <v>71.0</v>
      </c>
      <c r="X64" s="26"/>
      <c r="Y64" s="26"/>
      <c r="Z64" s="26">
        <v>35.0</v>
      </c>
      <c r="AA64" s="26">
        <v>117.4</v>
      </c>
      <c r="AB64" s="26">
        <v>114.0</v>
      </c>
      <c r="AC64" s="26">
        <v>120.7</v>
      </c>
      <c r="AD64" s="26">
        <v>-2.43</v>
      </c>
      <c r="AE64" s="26">
        <v>63.0</v>
      </c>
      <c r="AF64" s="26"/>
      <c r="AG64" s="26"/>
      <c r="AH64" s="26"/>
      <c r="AI64" s="26">
        <v>34.0</v>
      </c>
      <c r="AJ64" s="26">
        <v>139.8</v>
      </c>
      <c r="AK64" s="26">
        <v>138.6</v>
      </c>
      <c r="AL64" s="26">
        <v>140.9</v>
      </c>
      <c r="AM64" s="26">
        <v>-0.83</v>
      </c>
      <c r="AN64" s="26">
        <v>88.0</v>
      </c>
      <c r="AO64" s="26"/>
      <c r="AP64" s="26"/>
      <c r="AQ64" s="26"/>
      <c r="AR64" s="26"/>
      <c r="AS64" s="26">
        <v>35.0</v>
      </c>
      <c r="AT64" s="26">
        <v>139.7</v>
      </c>
      <c r="AU64" s="26">
        <v>138.1</v>
      </c>
      <c r="AV64" s="26">
        <v>141.3</v>
      </c>
      <c r="AW64" s="26">
        <v>0.6</v>
      </c>
      <c r="AX64" s="26">
        <v>109.0</v>
      </c>
      <c r="AY64" s="26"/>
      <c r="AZ64" s="26"/>
      <c r="BA64" s="26">
        <v>35.0</v>
      </c>
      <c r="BB64" s="26">
        <v>100.1</v>
      </c>
      <c r="BC64" s="26">
        <v>99.3</v>
      </c>
      <c r="BD64" s="26">
        <v>100.8</v>
      </c>
      <c r="BE64" s="26">
        <v>-3.11</v>
      </c>
      <c r="BF64" s="26">
        <v>53.0</v>
      </c>
      <c r="BG64" s="26"/>
      <c r="BH64" s="26"/>
      <c r="BI64" s="26"/>
      <c r="BJ64" s="26"/>
      <c r="BK64" s="26"/>
      <c r="BL64" s="26"/>
      <c r="BM64" s="26"/>
    </row>
    <row r="65" ht="15.75" customHeight="1">
      <c r="A65" s="25"/>
      <c r="B65" s="26"/>
      <c r="C65" s="26">
        <v>36.0</v>
      </c>
      <c r="D65" s="26">
        <v>113.7</v>
      </c>
      <c r="E65" s="26">
        <v>112.7</v>
      </c>
      <c r="F65" s="26">
        <v>114.7</v>
      </c>
      <c r="G65" s="26">
        <v>-2.03</v>
      </c>
      <c r="H65" s="26">
        <v>70.0</v>
      </c>
      <c r="I65" s="26"/>
      <c r="J65" s="26"/>
      <c r="K65" s="26">
        <v>36.0</v>
      </c>
      <c r="L65" s="26">
        <v>119.7</v>
      </c>
      <c r="M65" s="26">
        <v>119.1</v>
      </c>
      <c r="N65" s="26">
        <v>120.4</v>
      </c>
      <c r="O65" s="26">
        <v>-1.26</v>
      </c>
      <c r="P65" s="26">
        <v>81.0</v>
      </c>
      <c r="Q65" s="26"/>
      <c r="R65" s="26">
        <v>36.0</v>
      </c>
      <c r="S65" s="26">
        <v>122.3</v>
      </c>
      <c r="T65" s="26">
        <v>120.9</v>
      </c>
      <c r="U65" s="26">
        <v>123.6</v>
      </c>
      <c r="V65" s="26">
        <v>-1.78</v>
      </c>
      <c r="W65" s="26">
        <v>73.0</v>
      </c>
      <c r="X65" s="26"/>
      <c r="Y65" s="26"/>
      <c r="Z65" s="26">
        <v>36.0</v>
      </c>
      <c r="AA65" s="26">
        <v>117.9</v>
      </c>
      <c r="AB65" s="26">
        <v>114.5</v>
      </c>
      <c r="AC65" s="26">
        <v>121.2</v>
      </c>
      <c r="AD65" s="26">
        <v>-2.39</v>
      </c>
      <c r="AE65" s="26">
        <v>64.0</v>
      </c>
      <c r="AF65" s="26"/>
      <c r="AG65" s="26"/>
      <c r="AH65" s="26"/>
      <c r="AI65" s="26">
        <v>35.0</v>
      </c>
      <c r="AJ65" s="26">
        <v>140.3</v>
      </c>
      <c r="AK65" s="26">
        <v>139.1</v>
      </c>
      <c r="AL65" s="26">
        <v>141.5</v>
      </c>
      <c r="AM65" s="26">
        <v>-0.74</v>
      </c>
      <c r="AN65" s="26">
        <v>89.0</v>
      </c>
      <c r="AO65" s="26"/>
      <c r="AP65" s="26"/>
      <c r="AQ65" s="26"/>
      <c r="AR65" s="26"/>
      <c r="AS65" s="26">
        <v>36.0</v>
      </c>
      <c r="AT65" s="26">
        <v>140.8</v>
      </c>
      <c r="AU65" s="26">
        <v>138.9</v>
      </c>
      <c r="AV65" s="26">
        <v>142.7</v>
      </c>
      <c r="AW65" s="26">
        <v>0.79</v>
      </c>
      <c r="AX65" s="26">
        <v>112.0</v>
      </c>
      <c r="AY65" s="26"/>
      <c r="AZ65" s="26"/>
      <c r="BA65" s="26">
        <v>36.0</v>
      </c>
      <c r="BB65" s="26">
        <v>100.3</v>
      </c>
      <c r="BC65" s="26">
        <v>99.5</v>
      </c>
      <c r="BD65" s="26">
        <v>101.0</v>
      </c>
      <c r="BE65" s="26">
        <v>-3.05</v>
      </c>
      <c r="BF65" s="26">
        <v>54.0</v>
      </c>
      <c r="BG65" s="26"/>
      <c r="BH65" s="26"/>
      <c r="BI65" s="26"/>
      <c r="BJ65" s="26"/>
      <c r="BK65" s="26"/>
      <c r="BL65" s="26"/>
      <c r="BM65" s="26"/>
    </row>
    <row r="66" ht="15.75" customHeight="1">
      <c r="A66" s="25"/>
      <c r="B66" s="26"/>
      <c r="C66" s="26">
        <v>37.0</v>
      </c>
      <c r="D66" s="26">
        <v>114.2</v>
      </c>
      <c r="E66" s="26">
        <v>112.9</v>
      </c>
      <c r="F66" s="26">
        <v>115.5</v>
      </c>
      <c r="G66" s="26">
        <v>-1.96</v>
      </c>
      <c r="H66" s="26">
        <v>71.0</v>
      </c>
      <c r="I66" s="26"/>
      <c r="J66" s="26"/>
      <c r="K66" s="26">
        <v>37.0</v>
      </c>
      <c r="L66" s="26">
        <v>119.9</v>
      </c>
      <c r="M66" s="26">
        <v>119.2</v>
      </c>
      <c r="N66" s="26">
        <v>120.6</v>
      </c>
      <c r="O66" s="26">
        <v>-1.23</v>
      </c>
      <c r="P66" s="26">
        <v>82.0</v>
      </c>
      <c r="Q66" s="26"/>
      <c r="R66" s="26">
        <v>37.0</v>
      </c>
      <c r="S66" s="26">
        <v>123.0</v>
      </c>
      <c r="T66" s="26">
        <v>121.6</v>
      </c>
      <c r="U66" s="26">
        <v>124.4</v>
      </c>
      <c r="V66" s="26">
        <v>-1.66</v>
      </c>
      <c r="W66" s="26">
        <v>75.0</v>
      </c>
      <c r="X66" s="26"/>
      <c r="Y66" s="26"/>
      <c r="Z66" s="26">
        <v>37.0</v>
      </c>
      <c r="AA66" s="26">
        <v>118.4</v>
      </c>
      <c r="AB66" s="26">
        <v>115.0</v>
      </c>
      <c r="AC66" s="26">
        <v>121.8</v>
      </c>
      <c r="AD66" s="26">
        <v>-2.34</v>
      </c>
      <c r="AE66" s="26">
        <v>65.0</v>
      </c>
      <c r="AF66" s="26"/>
      <c r="AG66" s="26"/>
      <c r="AH66" s="26"/>
      <c r="AI66" s="26">
        <v>36.0</v>
      </c>
      <c r="AJ66" s="26">
        <v>140.8</v>
      </c>
      <c r="AK66" s="26">
        <v>139.6</v>
      </c>
      <c r="AL66" s="26">
        <v>142.0</v>
      </c>
      <c r="AM66" s="26">
        <v>-0.65</v>
      </c>
      <c r="AN66" s="26">
        <v>90.0</v>
      </c>
      <c r="AO66" s="26"/>
      <c r="AP66" s="26"/>
      <c r="AQ66" s="26"/>
      <c r="AR66" s="26"/>
      <c r="AS66" s="26">
        <v>37.0</v>
      </c>
      <c r="AT66" s="26">
        <v>142.2</v>
      </c>
      <c r="AU66" s="26">
        <v>140.2</v>
      </c>
      <c r="AV66" s="26">
        <v>144.3</v>
      </c>
      <c r="AW66" s="26">
        <v>1.05</v>
      </c>
      <c r="AX66" s="26">
        <v>116.0</v>
      </c>
      <c r="AY66" s="26"/>
      <c r="AZ66" s="26"/>
      <c r="BA66" s="26">
        <v>37.0</v>
      </c>
      <c r="BB66" s="26">
        <v>100.5</v>
      </c>
      <c r="BC66" s="26">
        <v>99.7</v>
      </c>
      <c r="BD66" s="26">
        <v>101.2</v>
      </c>
      <c r="BE66" s="26">
        <v>-2.99</v>
      </c>
      <c r="BF66" s="26">
        <v>55.0</v>
      </c>
      <c r="BG66" s="26"/>
      <c r="BH66" s="26"/>
      <c r="BI66" s="26"/>
      <c r="BJ66" s="26"/>
      <c r="BK66" s="26"/>
      <c r="BL66" s="26"/>
      <c r="BM66" s="26"/>
    </row>
    <row r="67" ht="15.75" customHeight="1">
      <c r="A67" s="25"/>
      <c r="B67" s="26"/>
      <c r="C67" s="26">
        <v>38.0</v>
      </c>
      <c r="D67" s="26">
        <v>115.0</v>
      </c>
      <c r="E67" s="26">
        <v>113.3</v>
      </c>
      <c r="F67" s="26">
        <v>116.8</v>
      </c>
      <c r="G67" s="26">
        <v>-1.84</v>
      </c>
      <c r="H67" s="26">
        <v>72.0</v>
      </c>
      <c r="I67" s="26"/>
      <c r="J67" s="26"/>
      <c r="K67" s="26">
        <v>38.0</v>
      </c>
      <c r="L67" s="26">
        <v>120.1</v>
      </c>
      <c r="M67" s="26">
        <v>119.4</v>
      </c>
      <c r="N67" s="26">
        <v>120.8</v>
      </c>
      <c r="O67" s="26">
        <v>-1.19</v>
      </c>
      <c r="P67" s="26">
        <v>82.0</v>
      </c>
      <c r="Q67" s="26"/>
      <c r="R67" s="26">
        <v>38.0</v>
      </c>
      <c r="S67" s="26">
        <v>123.7</v>
      </c>
      <c r="T67" s="26">
        <v>122.3</v>
      </c>
      <c r="U67" s="26">
        <v>125.2</v>
      </c>
      <c r="V67" s="26">
        <v>-1.53</v>
      </c>
      <c r="W67" s="26">
        <v>77.0</v>
      </c>
      <c r="X67" s="26"/>
      <c r="Y67" s="26"/>
      <c r="Z67" s="26">
        <v>38.0</v>
      </c>
      <c r="AA67" s="26">
        <v>118.9</v>
      </c>
      <c r="AB67" s="26">
        <v>115.5</v>
      </c>
      <c r="AC67" s="26">
        <v>122.3</v>
      </c>
      <c r="AD67" s="26">
        <v>-2.3</v>
      </c>
      <c r="AE67" s="26">
        <v>66.0</v>
      </c>
      <c r="AF67" s="26"/>
      <c r="AG67" s="26"/>
      <c r="AH67" s="26"/>
      <c r="AI67" s="26">
        <v>37.0</v>
      </c>
      <c r="AJ67" s="26">
        <v>141.4</v>
      </c>
      <c r="AK67" s="26">
        <v>104.1</v>
      </c>
      <c r="AL67" s="26">
        <v>142.6</v>
      </c>
      <c r="AM67" s="26">
        <v>-0.55</v>
      </c>
      <c r="AN67" s="26">
        <v>92.0</v>
      </c>
      <c r="AO67" s="26"/>
      <c r="AP67" s="26"/>
      <c r="AQ67" s="26"/>
      <c r="AR67" s="26"/>
      <c r="AS67" s="26">
        <v>38.0</v>
      </c>
      <c r="AT67" s="26">
        <v>143.8</v>
      </c>
      <c r="AU67" s="26">
        <v>141.6</v>
      </c>
      <c r="AV67" s="26">
        <v>146.0</v>
      </c>
      <c r="AW67" s="26">
        <v>1.32</v>
      </c>
      <c r="AX67" s="26">
        <v>120.0</v>
      </c>
      <c r="AY67" s="26"/>
      <c r="AZ67" s="26"/>
      <c r="BA67" s="26">
        <v>38.0</v>
      </c>
      <c r="BB67" s="26">
        <v>100.7</v>
      </c>
      <c r="BC67" s="26">
        <v>100.0</v>
      </c>
      <c r="BD67" s="26">
        <v>101.4</v>
      </c>
      <c r="BE67" s="26">
        <v>-2.92</v>
      </c>
      <c r="BF67" s="26">
        <v>56.0</v>
      </c>
      <c r="BG67" s="26"/>
      <c r="BH67" s="26"/>
      <c r="BI67" s="26"/>
      <c r="BJ67" s="26"/>
      <c r="BK67" s="26"/>
      <c r="BL67" s="26"/>
      <c r="BM67" s="26"/>
    </row>
    <row r="68" ht="15.75" customHeight="1">
      <c r="A68" s="25"/>
      <c r="B68" s="26"/>
      <c r="C68" s="26">
        <v>39.0</v>
      </c>
      <c r="D68" s="26">
        <v>116.0</v>
      </c>
      <c r="E68" s="26">
        <v>114.5</v>
      </c>
      <c r="F68" s="26">
        <v>117.5</v>
      </c>
      <c r="G68" s="26">
        <v>-1.7</v>
      </c>
      <c r="H68" s="26">
        <v>75.0</v>
      </c>
      <c r="I68" s="26"/>
      <c r="J68" s="26"/>
      <c r="K68" s="26">
        <v>39.0</v>
      </c>
      <c r="L68" s="26">
        <v>120.2</v>
      </c>
      <c r="M68" s="26">
        <v>119.5</v>
      </c>
      <c r="N68" s="26">
        <v>120.9</v>
      </c>
      <c r="O68" s="26">
        <v>-1.16</v>
      </c>
      <c r="P68" s="26">
        <v>83.0</v>
      </c>
      <c r="Q68" s="26"/>
      <c r="R68" s="26">
        <v>39.0</v>
      </c>
      <c r="S68" s="26">
        <v>124.6</v>
      </c>
      <c r="T68" s="26">
        <v>122.9</v>
      </c>
      <c r="U68" s="26">
        <v>126.3</v>
      </c>
      <c r="V68" s="26">
        <v>-1.37</v>
      </c>
      <c r="W68" s="26">
        <v>79.0</v>
      </c>
      <c r="X68" s="26"/>
      <c r="Y68" s="26"/>
      <c r="Z68" s="26">
        <v>39.0</v>
      </c>
      <c r="AA68" s="26">
        <v>119.5</v>
      </c>
      <c r="AB68" s="26">
        <v>116.0</v>
      </c>
      <c r="AC68" s="26">
        <v>122.9</v>
      </c>
      <c r="AD68" s="26">
        <v>-2.25</v>
      </c>
      <c r="AE68" s="26">
        <v>66.0</v>
      </c>
      <c r="AF68" s="26"/>
      <c r="AG68" s="26"/>
      <c r="AH68" s="26"/>
      <c r="AI68" s="26">
        <v>38.0</v>
      </c>
      <c r="AJ68" s="26">
        <v>142.0</v>
      </c>
      <c r="AK68" s="26">
        <v>104.6</v>
      </c>
      <c r="AL68" s="26">
        <v>143.4</v>
      </c>
      <c r="AM68" s="26">
        <v>-0.43</v>
      </c>
      <c r="AN68" s="26">
        <v>94.0</v>
      </c>
      <c r="AO68" s="26"/>
      <c r="AP68" s="26"/>
      <c r="AQ68" s="26"/>
      <c r="AR68" s="26"/>
      <c r="AS68" s="26">
        <v>39.0</v>
      </c>
      <c r="AT68" s="26">
        <v>146.2</v>
      </c>
      <c r="AU68" s="26">
        <v>143.1</v>
      </c>
      <c r="AV68" s="26">
        <v>149.3</v>
      </c>
      <c r="AW68" s="26">
        <v>1.75</v>
      </c>
      <c r="AX68" s="26">
        <v>126.0</v>
      </c>
      <c r="AY68" s="26"/>
      <c r="AZ68" s="26"/>
      <c r="BA68" s="26">
        <v>39.0</v>
      </c>
      <c r="BB68" s="26">
        <v>100.9</v>
      </c>
      <c r="BC68" s="26">
        <v>100.2</v>
      </c>
      <c r="BD68" s="26">
        <v>101.6</v>
      </c>
      <c r="BE68" s="26">
        <v>-2.86</v>
      </c>
      <c r="BF68" s="26">
        <v>57.0</v>
      </c>
      <c r="BG68" s="26"/>
      <c r="BH68" s="26"/>
      <c r="BI68" s="26"/>
      <c r="BJ68" s="26"/>
      <c r="BK68" s="26"/>
      <c r="BL68" s="26"/>
      <c r="BM68" s="26"/>
    </row>
    <row r="69" ht="15.75" customHeight="1">
      <c r="A69" s="25"/>
      <c r="B69" s="26"/>
      <c r="C69" s="26">
        <v>40.0</v>
      </c>
      <c r="D69" s="26">
        <v>117.0</v>
      </c>
      <c r="E69" s="26">
        <v>115.2</v>
      </c>
      <c r="F69" s="26">
        <v>118.7</v>
      </c>
      <c r="G69" s="26">
        <v>-1.56</v>
      </c>
      <c r="H69" s="26">
        <v>77.0</v>
      </c>
      <c r="I69" s="26"/>
      <c r="J69" s="26"/>
      <c r="K69" s="26">
        <v>40.0</v>
      </c>
      <c r="L69" s="26">
        <v>120.4</v>
      </c>
      <c r="M69" s="26">
        <v>119.7</v>
      </c>
      <c r="N69" s="26">
        <v>121.2</v>
      </c>
      <c r="O69" s="26">
        <v>-1.12</v>
      </c>
      <c r="P69" s="26">
        <v>83.0</v>
      </c>
      <c r="Q69" s="26"/>
      <c r="R69" s="26">
        <v>40.0</v>
      </c>
      <c r="S69" s="26">
        <v>125.9</v>
      </c>
      <c r="T69" s="26">
        <v>123.9</v>
      </c>
      <c r="U69" s="26">
        <v>127.9</v>
      </c>
      <c r="V69" s="26">
        <v>-1.14</v>
      </c>
      <c r="W69" s="26">
        <v>83.0</v>
      </c>
      <c r="X69" s="26"/>
      <c r="Y69" s="26"/>
      <c r="Z69" s="26">
        <v>40.0</v>
      </c>
      <c r="AA69" s="26">
        <v>120.0</v>
      </c>
      <c r="AB69" s="26">
        <v>116.6</v>
      </c>
      <c r="AC69" s="26">
        <v>123.5</v>
      </c>
      <c r="AD69" s="26">
        <v>-2.2</v>
      </c>
      <c r="AE69" s="26">
        <v>67.0</v>
      </c>
      <c r="AF69" s="26"/>
      <c r="AG69" s="26"/>
      <c r="AH69" s="26"/>
      <c r="AI69" s="26">
        <v>39.0</v>
      </c>
      <c r="AJ69" s="26">
        <v>142.8</v>
      </c>
      <c r="AK69" s="26">
        <v>141.3</v>
      </c>
      <c r="AL69" s="26">
        <v>144.3</v>
      </c>
      <c r="AM69" s="26">
        <v>-0.3</v>
      </c>
      <c r="AN69" s="26">
        <v>96.0</v>
      </c>
      <c r="AO69" s="26"/>
      <c r="AP69" s="26"/>
      <c r="AQ69" s="26"/>
      <c r="AR69" s="26"/>
      <c r="AS69" s="26">
        <v>40.0</v>
      </c>
      <c r="AT69" s="26">
        <v>148.7</v>
      </c>
      <c r="AU69" s="26">
        <v>145.2</v>
      </c>
      <c r="AV69" s="26">
        <v>152.3</v>
      </c>
      <c r="AW69" s="26">
        <v>2.19</v>
      </c>
      <c r="AX69" s="26">
        <v>133.0</v>
      </c>
      <c r="AY69" s="26"/>
      <c r="AZ69" s="26"/>
      <c r="BA69" s="26">
        <v>40.0</v>
      </c>
      <c r="BB69" s="26">
        <v>101.1</v>
      </c>
      <c r="BC69" s="26">
        <v>100.4</v>
      </c>
      <c r="BD69" s="26">
        <v>101.8</v>
      </c>
      <c r="BE69" s="26">
        <v>-2.8</v>
      </c>
      <c r="BF69" s="26">
        <v>58.0</v>
      </c>
      <c r="BG69" s="26"/>
      <c r="BH69" s="26"/>
      <c r="BI69" s="26"/>
      <c r="BJ69" s="26"/>
      <c r="BK69" s="26"/>
      <c r="BL69" s="26"/>
      <c r="BM69" s="26"/>
    </row>
    <row r="70" ht="15.75" customHeight="1">
      <c r="A70" s="25"/>
      <c r="B70" s="26"/>
      <c r="C70" s="26">
        <v>41.0</v>
      </c>
      <c r="D70" s="26">
        <v>118.0</v>
      </c>
      <c r="E70" s="26">
        <v>116.5</v>
      </c>
      <c r="F70" s="26">
        <v>119.4</v>
      </c>
      <c r="G70" s="26">
        <v>-1.41</v>
      </c>
      <c r="H70" s="26">
        <v>79.0</v>
      </c>
      <c r="I70" s="26"/>
      <c r="J70" s="26"/>
      <c r="K70" s="26">
        <v>41.0</v>
      </c>
      <c r="L70" s="26">
        <v>120.6</v>
      </c>
      <c r="M70" s="26">
        <v>119.9</v>
      </c>
      <c r="N70" s="26">
        <v>121.4</v>
      </c>
      <c r="O70" s="26">
        <v>-1.07</v>
      </c>
      <c r="P70" s="26">
        <v>84.0</v>
      </c>
      <c r="Q70" s="26"/>
      <c r="R70" s="26">
        <v>41.0</v>
      </c>
      <c r="S70" s="26">
        <v>127.5</v>
      </c>
      <c r="T70" s="26">
        <v>125.5</v>
      </c>
      <c r="U70" s="26">
        <v>129.4</v>
      </c>
      <c r="V70" s="26">
        <v>-0.87</v>
      </c>
      <c r="W70" s="26">
        <v>87.0</v>
      </c>
      <c r="X70" s="26"/>
      <c r="Y70" s="26"/>
      <c r="Z70" s="26">
        <v>41.0</v>
      </c>
      <c r="AA70" s="26">
        <v>120.6</v>
      </c>
      <c r="AB70" s="26">
        <v>117.1</v>
      </c>
      <c r="AC70" s="26">
        <v>124.1</v>
      </c>
      <c r="AD70" s="26">
        <v>-2.16</v>
      </c>
      <c r="AE70" s="26">
        <v>68.0</v>
      </c>
      <c r="AF70" s="26"/>
      <c r="AG70" s="26"/>
      <c r="AH70" s="26"/>
      <c r="AI70" s="26">
        <v>40.0</v>
      </c>
      <c r="AJ70" s="26">
        <v>143.7</v>
      </c>
      <c r="AK70" s="26">
        <v>142.0</v>
      </c>
      <c r="AL70" s="26">
        <v>145.4</v>
      </c>
      <c r="AM70" s="26">
        <v>-0.13</v>
      </c>
      <c r="AN70" s="26">
        <v>98.0</v>
      </c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101.2</v>
      </c>
      <c r="BC70" s="26">
        <v>100.5</v>
      </c>
      <c r="BD70" s="26">
        <v>101.9</v>
      </c>
      <c r="BE70" s="26">
        <v>-2.75</v>
      </c>
      <c r="BF70" s="26">
        <v>59.0</v>
      </c>
      <c r="BG70" s="26"/>
      <c r="BH70" s="26"/>
      <c r="BI70" s="26"/>
      <c r="BJ70" s="26"/>
      <c r="BK70" s="26"/>
      <c r="BL70" s="26"/>
      <c r="BM70" s="26"/>
    </row>
    <row r="71" ht="15.75" customHeight="1">
      <c r="A71" s="25"/>
      <c r="B71" s="26"/>
      <c r="C71" s="26">
        <v>42.0</v>
      </c>
      <c r="D71" s="26">
        <v>118.6</v>
      </c>
      <c r="E71" s="26">
        <v>117.3</v>
      </c>
      <c r="F71" s="26">
        <v>120.0</v>
      </c>
      <c r="G71" s="26">
        <v>-1.31</v>
      </c>
      <c r="H71" s="26">
        <v>80.0</v>
      </c>
      <c r="I71" s="26"/>
      <c r="J71" s="26"/>
      <c r="K71" s="26">
        <v>42.0</v>
      </c>
      <c r="L71" s="26">
        <v>120.9</v>
      </c>
      <c r="M71" s="26">
        <v>120.1</v>
      </c>
      <c r="N71" s="26">
        <v>121.7</v>
      </c>
      <c r="O71" s="26">
        <v>-1.03</v>
      </c>
      <c r="P71" s="26">
        <v>85.0</v>
      </c>
      <c r="Q71" s="26"/>
      <c r="R71" s="26">
        <v>42.0</v>
      </c>
      <c r="S71" s="26">
        <v>128.7</v>
      </c>
      <c r="T71" s="26">
        <v>127.0</v>
      </c>
      <c r="U71" s="26">
        <v>130.4</v>
      </c>
      <c r="V71" s="26">
        <v>-0.65</v>
      </c>
      <c r="W71" s="26">
        <v>90.0</v>
      </c>
      <c r="X71" s="26"/>
      <c r="Y71" s="26"/>
      <c r="Z71" s="26">
        <v>42.0</v>
      </c>
      <c r="AA71" s="26">
        <v>121.2</v>
      </c>
      <c r="AB71" s="26">
        <v>117.6</v>
      </c>
      <c r="AC71" s="26">
        <v>124.7</v>
      </c>
      <c r="AD71" s="26">
        <v>-2.11</v>
      </c>
      <c r="AE71" s="26">
        <v>68.0</v>
      </c>
      <c r="AF71" s="26"/>
      <c r="AG71" s="26"/>
      <c r="AH71" s="26"/>
      <c r="AI71" s="26">
        <v>41.0</v>
      </c>
      <c r="AJ71" s="26">
        <v>144.8</v>
      </c>
      <c r="AK71" s="26">
        <v>143.0</v>
      </c>
      <c r="AL71" s="26">
        <v>146.5</v>
      </c>
      <c r="AM71" s="26">
        <v>0.05</v>
      </c>
      <c r="AN71" s="26">
        <v>101.0</v>
      </c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101.4</v>
      </c>
      <c r="BC71" s="26">
        <v>100.7</v>
      </c>
      <c r="BD71" s="26">
        <v>102.1</v>
      </c>
      <c r="BE71" s="26">
        <v>-2.69</v>
      </c>
      <c r="BF71" s="26">
        <v>60.0</v>
      </c>
      <c r="BG71" s="26"/>
      <c r="BH71" s="26"/>
      <c r="BI71" s="26"/>
      <c r="BJ71" s="26"/>
      <c r="BK71" s="26"/>
      <c r="BL71" s="26"/>
      <c r="BM71" s="26"/>
    </row>
    <row r="72" ht="15.75" customHeight="1">
      <c r="A72" s="25"/>
      <c r="B72" s="26"/>
      <c r="C72" s="26">
        <v>43.0</v>
      </c>
      <c r="D72" s="26">
        <v>119.3</v>
      </c>
      <c r="E72" s="26">
        <v>117.9</v>
      </c>
      <c r="F72" s="26">
        <v>120.7</v>
      </c>
      <c r="G72" s="26">
        <v>-1.22</v>
      </c>
      <c r="H72" s="26">
        <v>82.0</v>
      </c>
      <c r="I72" s="26"/>
      <c r="J72" s="26"/>
      <c r="K72" s="26">
        <v>43.0</v>
      </c>
      <c r="L72" s="26">
        <v>121.1</v>
      </c>
      <c r="M72" s="26">
        <v>120.3</v>
      </c>
      <c r="N72" s="26">
        <v>121.9</v>
      </c>
      <c r="O72" s="26">
        <v>-0.98</v>
      </c>
      <c r="P72" s="26">
        <v>85.0</v>
      </c>
      <c r="Q72" s="26"/>
      <c r="R72" s="26">
        <v>43.0</v>
      </c>
      <c r="S72" s="26">
        <v>129.7</v>
      </c>
      <c r="T72" s="26">
        <v>128.1</v>
      </c>
      <c r="U72" s="26">
        <v>131.4</v>
      </c>
      <c r="V72" s="26">
        <v>-0.47</v>
      </c>
      <c r="W72" s="26">
        <v>93.0</v>
      </c>
      <c r="X72" s="26"/>
      <c r="Y72" s="26"/>
      <c r="Z72" s="26">
        <v>43.0</v>
      </c>
      <c r="AA72" s="26">
        <v>121.7</v>
      </c>
      <c r="AB72" s="26">
        <v>118.1</v>
      </c>
      <c r="AC72" s="26">
        <v>125.3</v>
      </c>
      <c r="AD72" s="26">
        <v>-2.05</v>
      </c>
      <c r="AE72" s="26">
        <v>69.0</v>
      </c>
      <c r="AF72" s="26"/>
      <c r="AG72" s="26"/>
      <c r="AH72" s="26"/>
      <c r="AI72" s="26">
        <v>42.0</v>
      </c>
      <c r="AJ72" s="26">
        <v>145.9</v>
      </c>
      <c r="AK72" s="26">
        <v>144.0</v>
      </c>
      <c r="AL72" s="26">
        <v>147.8</v>
      </c>
      <c r="AM72" s="26">
        <v>0.26</v>
      </c>
      <c r="AN72" s="26">
        <v>104.0</v>
      </c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101.6</v>
      </c>
      <c r="BC72" s="26">
        <v>100.9</v>
      </c>
      <c r="BD72" s="26">
        <v>102.3</v>
      </c>
      <c r="BE72" s="26">
        <v>-2.64</v>
      </c>
      <c r="BF72" s="26">
        <v>60.0</v>
      </c>
      <c r="BG72" s="26"/>
      <c r="BH72" s="26"/>
      <c r="BI72" s="26"/>
      <c r="BJ72" s="26"/>
      <c r="BK72" s="26"/>
      <c r="BL72" s="26"/>
      <c r="BM72" s="26"/>
    </row>
    <row r="73" ht="15.75" customHeight="1">
      <c r="A73" s="25"/>
      <c r="B73" s="26"/>
      <c r="C73" s="26">
        <v>44.0</v>
      </c>
      <c r="D73" s="26">
        <v>120.0</v>
      </c>
      <c r="E73" s="26">
        <v>118.7</v>
      </c>
      <c r="F73" s="26">
        <v>121.2</v>
      </c>
      <c r="G73" s="26">
        <v>-1.12</v>
      </c>
      <c r="H73" s="26">
        <v>83.0</v>
      </c>
      <c r="I73" s="26"/>
      <c r="J73" s="26"/>
      <c r="K73" s="26">
        <v>44.0</v>
      </c>
      <c r="L73" s="26">
        <v>121.4</v>
      </c>
      <c r="M73" s="26">
        <v>120.5</v>
      </c>
      <c r="N73" s="26">
        <v>122.2</v>
      </c>
      <c r="O73" s="26">
        <v>-0.93</v>
      </c>
      <c r="P73" s="26">
        <v>86.0</v>
      </c>
      <c r="Q73" s="26"/>
      <c r="R73" s="26">
        <v>44.0</v>
      </c>
      <c r="S73" s="26">
        <v>130.8</v>
      </c>
      <c r="T73" s="26">
        <v>129.0</v>
      </c>
      <c r="U73" s="26">
        <v>132.5</v>
      </c>
      <c r="V73" s="26">
        <v>-0.29</v>
      </c>
      <c r="W73" s="26">
        <v>96.0</v>
      </c>
      <c r="X73" s="26"/>
      <c r="Y73" s="26"/>
      <c r="Z73" s="26">
        <v>44.0</v>
      </c>
      <c r="AA73" s="26">
        <v>122.3</v>
      </c>
      <c r="AB73" s="26">
        <v>118.7</v>
      </c>
      <c r="AC73" s="26">
        <v>126.0</v>
      </c>
      <c r="AD73" s="26">
        <v>-2.0</v>
      </c>
      <c r="AE73" s="26">
        <v>70.0</v>
      </c>
      <c r="AF73" s="26"/>
      <c r="AG73" s="26"/>
      <c r="AH73" s="26"/>
      <c r="AI73" s="26">
        <v>43.0</v>
      </c>
      <c r="AJ73" s="26">
        <v>147.6</v>
      </c>
      <c r="AK73" s="26">
        <v>145.2</v>
      </c>
      <c r="AL73" s="26">
        <v>150.0</v>
      </c>
      <c r="AM73" s="26">
        <v>0.56</v>
      </c>
      <c r="AN73" s="26">
        <v>108.0</v>
      </c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101.8</v>
      </c>
      <c r="BC73" s="26">
        <v>101.1</v>
      </c>
      <c r="BD73" s="26">
        <v>102.4</v>
      </c>
      <c r="BE73" s="26">
        <v>-2.59</v>
      </c>
      <c r="BF73" s="26">
        <v>61.0</v>
      </c>
      <c r="BG73" s="26"/>
      <c r="BH73" s="26"/>
      <c r="BI73" s="26"/>
      <c r="BJ73" s="26"/>
      <c r="BK73" s="26"/>
      <c r="BL73" s="26"/>
      <c r="BM73" s="26"/>
    </row>
    <row r="74" ht="15.75" customHeight="1">
      <c r="A74" s="25"/>
      <c r="B74" s="26"/>
      <c r="C74" s="26">
        <v>45.0</v>
      </c>
      <c r="D74" s="26">
        <v>120.5</v>
      </c>
      <c r="E74" s="26">
        <v>119.3</v>
      </c>
      <c r="F74" s="26">
        <v>121.7</v>
      </c>
      <c r="G74" s="26">
        <v>-1.04</v>
      </c>
      <c r="H74" s="26">
        <v>84.0</v>
      </c>
      <c r="I74" s="26"/>
      <c r="J74" s="26"/>
      <c r="K74" s="26">
        <v>45.0</v>
      </c>
      <c r="L74" s="26">
        <v>121.6</v>
      </c>
      <c r="M74" s="26">
        <v>120.8</v>
      </c>
      <c r="N74" s="26">
        <v>122.5</v>
      </c>
      <c r="O74" s="26">
        <v>-0.88</v>
      </c>
      <c r="P74" s="26">
        <v>87.0</v>
      </c>
      <c r="Q74" s="26"/>
      <c r="R74" s="26">
        <v>45.0</v>
      </c>
      <c r="S74" s="26">
        <v>132.0</v>
      </c>
      <c r="T74" s="26">
        <v>130.0</v>
      </c>
      <c r="U74" s="26">
        <v>134.0</v>
      </c>
      <c r="V74" s="26">
        <v>-0.07</v>
      </c>
      <c r="W74" s="26">
        <v>99.0</v>
      </c>
      <c r="X74" s="26"/>
      <c r="Y74" s="26"/>
      <c r="Z74" s="26">
        <v>45.0</v>
      </c>
      <c r="AA74" s="26">
        <v>123.0</v>
      </c>
      <c r="AB74" s="26">
        <v>119.2</v>
      </c>
      <c r="AC74" s="26">
        <v>126.7</v>
      </c>
      <c r="AD74" s="26">
        <v>-1.95</v>
      </c>
      <c r="AE74" s="26">
        <v>71.0</v>
      </c>
      <c r="AF74" s="26"/>
      <c r="AG74" s="26"/>
      <c r="AH74" s="26"/>
      <c r="AI74" s="26">
        <v>44.0</v>
      </c>
      <c r="AJ74" s="26">
        <v>149.7</v>
      </c>
      <c r="AK74" s="26">
        <v>147.4</v>
      </c>
      <c r="AL74" s="26">
        <v>151.9</v>
      </c>
      <c r="AM74" s="26">
        <v>0.92</v>
      </c>
      <c r="AN74" s="26">
        <v>114.0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45.0</v>
      </c>
      <c r="BB74" s="26">
        <v>101.9</v>
      </c>
      <c r="BC74" s="26">
        <v>101.2</v>
      </c>
      <c r="BD74" s="26">
        <v>102.6</v>
      </c>
      <c r="BE74" s="26">
        <v>-2.53</v>
      </c>
      <c r="BF74" s="26">
        <v>62.0</v>
      </c>
      <c r="BG74" s="26"/>
      <c r="BH74" s="26"/>
      <c r="BI74" s="26"/>
      <c r="BJ74" s="26"/>
      <c r="BK74" s="26"/>
      <c r="BL74" s="26"/>
      <c r="BM74" s="26"/>
    </row>
    <row r="75" ht="15.75" customHeight="1">
      <c r="A75" s="25"/>
      <c r="B75" s="26"/>
      <c r="C75" s="26">
        <v>46.0</v>
      </c>
      <c r="D75" s="26">
        <v>121.0</v>
      </c>
      <c r="E75" s="26">
        <v>119.9</v>
      </c>
      <c r="F75" s="26">
        <v>122.1</v>
      </c>
      <c r="G75" s="26">
        <v>-0.97</v>
      </c>
      <c r="H75" s="26">
        <v>85.0</v>
      </c>
      <c r="I75" s="26"/>
      <c r="J75" s="26"/>
      <c r="K75" s="26">
        <v>46.0</v>
      </c>
      <c r="L75" s="26">
        <v>121.9</v>
      </c>
      <c r="M75" s="26">
        <v>121.0</v>
      </c>
      <c r="N75" s="26">
        <v>122.7</v>
      </c>
      <c r="O75" s="26">
        <v>-0.82</v>
      </c>
      <c r="P75" s="26">
        <v>88.0</v>
      </c>
      <c r="Q75" s="26"/>
      <c r="R75" s="26">
        <v>46.0</v>
      </c>
      <c r="S75" s="26">
        <v>134.1</v>
      </c>
      <c r="T75" s="26">
        <v>131.3</v>
      </c>
      <c r="U75" s="26">
        <v>137.0</v>
      </c>
      <c r="V75" s="26">
        <v>0.31</v>
      </c>
      <c r="W75" s="26">
        <v>105.0</v>
      </c>
      <c r="X75" s="26"/>
      <c r="Y75" s="26"/>
      <c r="Z75" s="26">
        <v>46.0</v>
      </c>
      <c r="AA75" s="26">
        <v>123.6</v>
      </c>
      <c r="AB75" s="26">
        <v>119.8</v>
      </c>
      <c r="AC75" s="26">
        <v>127.4</v>
      </c>
      <c r="AD75" s="26">
        <v>-1.89</v>
      </c>
      <c r="AE75" s="26">
        <v>72.0</v>
      </c>
      <c r="AF75" s="26"/>
      <c r="AG75" s="26"/>
      <c r="AH75" s="26"/>
      <c r="AI75" s="26">
        <v>45.0</v>
      </c>
      <c r="AJ75" s="26">
        <v>151.5</v>
      </c>
      <c r="AK75" s="26">
        <v>149.2</v>
      </c>
      <c r="AL75" s="26">
        <v>153.9</v>
      </c>
      <c r="AM75" s="26">
        <v>1.25</v>
      </c>
      <c r="AN75" s="26">
        <v>119.0</v>
      </c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>
        <v>46.0</v>
      </c>
      <c r="BB75" s="26">
        <v>102.1</v>
      </c>
      <c r="BC75" s="26">
        <v>101.4</v>
      </c>
      <c r="BD75" s="26">
        <v>102.8</v>
      </c>
      <c r="BE75" s="26">
        <v>-2.48</v>
      </c>
      <c r="BF75" s="26">
        <v>63.0</v>
      </c>
      <c r="BG75" s="26"/>
      <c r="BH75" s="26"/>
      <c r="BI75" s="26"/>
      <c r="BJ75" s="26"/>
      <c r="BK75" s="26"/>
      <c r="BL75" s="26"/>
      <c r="BM75" s="26"/>
    </row>
    <row r="76" ht="15.75" customHeight="1">
      <c r="A76" s="25"/>
      <c r="B76" s="26"/>
      <c r="C76" s="26">
        <v>47.0</v>
      </c>
      <c r="D76" s="26">
        <v>121.5</v>
      </c>
      <c r="E76" s="26">
        <v>120.3</v>
      </c>
      <c r="F76" s="26">
        <v>122.6</v>
      </c>
      <c r="G76" s="26">
        <v>-0.9</v>
      </c>
      <c r="H76" s="26">
        <v>86.0</v>
      </c>
      <c r="I76" s="26"/>
      <c r="J76" s="26"/>
      <c r="K76" s="26">
        <v>47.0</v>
      </c>
      <c r="L76" s="26">
        <v>122.1</v>
      </c>
      <c r="M76" s="26">
        <v>121.3</v>
      </c>
      <c r="N76" s="26">
        <v>123.0</v>
      </c>
      <c r="O76" s="26">
        <v>-0.77</v>
      </c>
      <c r="P76" s="26">
        <v>88.0</v>
      </c>
      <c r="Q76" s="26"/>
      <c r="R76" s="26">
        <v>47.0</v>
      </c>
      <c r="S76" s="26">
        <v>137.0</v>
      </c>
      <c r="T76" s="26">
        <v>134.2</v>
      </c>
      <c r="U76" s="26">
        <v>139.9</v>
      </c>
      <c r="V76" s="26">
        <v>0.82</v>
      </c>
      <c r="W76" s="26">
        <v>112.0</v>
      </c>
      <c r="X76" s="26"/>
      <c r="Y76" s="26"/>
      <c r="Z76" s="26">
        <v>47.0</v>
      </c>
      <c r="AA76" s="26">
        <v>124.3</v>
      </c>
      <c r="AB76" s="26">
        <v>120.4</v>
      </c>
      <c r="AC76" s="26">
        <v>128.1</v>
      </c>
      <c r="AD76" s="26">
        <v>-1.83</v>
      </c>
      <c r="AE76" s="26">
        <v>72.0</v>
      </c>
      <c r="AF76" s="26"/>
      <c r="AG76" s="26"/>
      <c r="AH76" s="26"/>
      <c r="AI76" s="26">
        <v>46.0</v>
      </c>
      <c r="AJ76" s="26">
        <v>154.1</v>
      </c>
      <c r="AK76" s="26">
        <v>151.1</v>
      </c>
      <c r="AL76" s="26">
        <v>157.1</v>
      </c>
      <c r="AM76" s="26">
        <v>1.71</v>
      </c>
      <c r="AN76" s="26">
        <v>126.0</v>
      </c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>
        <v>47.0</v>
      </c>
      <c r="BB76" s="26">
        <v>102.3</v>
      </c>
      <c r="BC76" s="26">
        <v>101.6</v>
      </c>
      <c r="BD76" s="26">
        <v>102.9</v>
      </c>
      <c r="BE76" s="26">
        <v>-2.43</v>
      </c>
      <c r="BF76" s="26">
        <v>64.0</v>
      </c>
      <c r="BG76" s="26"/>
      <c r="BH76" s="26"/>
      <c r="BI76" s="26"/>
      <c r="BJ76" s="26"/>
      <c r="BK76" s="26"/>
      <c r="BL76" s="26"/>
      <c r="BM76" s="26"/>
    </row>
    <row r="77" ht="15.75" customHeight="1">
      <c r="A77" s="25"/>
      <c r="B77" s="26"/>
      <c r="C77" s="26">
        <v>48.0</v>
      </c>
      <c r="D77" s="26">
        <v>121.9</v>
      </c>
      <c r="E77" s="26">
        <v>120.8</v>
      </c>
      <c r="F77" s="26">
        <v>123.1</v>
      </c>
      <c r="G77" s="26">
        <v>-0.84</v>
      </c>
      <c r="H77" s="26">
        <v>87.0</v>
      </c>
      <c r="I77" s="26"/>
      <c r="J77" s="26"/>
      <c r="K77" s="26">
        <v>48.0</v>
      </c>
      <c r="L77" s="26">
        <v>122.4</v>
      </c>
      <c r="M77" s="26">
        <v>121.6</v>
      </c>
      <c r="N77" s="26">
        <v>123.2</v>
      </c>
      <c r="O77" s="26">
        <v>-0.72</v>
      </c>
      <c r="P77" s="26">
        <v>89.0</v>
      </c>
      <c r="Q77" s="26"/>
      <c r="R77" s="26">
        <v>48.0</v>
      </c>
      <c r="S77" s="26">
        <v>139.3</v>
      </c>
      <c r="T77" s="26">
        <v>135.8</v>
      </c>
      <c r="U77" s="26">
        <v>142.8</v>
      </c>
      <c r="V77" s="26">
        <v>1.22</v>
      </c>
      <c r="W77" s="26">
        <v>118.0</v>
      </c>
      <c r="X77" s="26"/>
      <c r="Y77" s="26"/>
      <c r="Z77" s="26">
        <v>48.0</v>
      </c>
      <c r="AA77" s="26">
        <v>125.0</v>
      </c>
      <c r="AB77" s="26">
        <v>121.0</v>
      </c>
      <c r="AC77" s="26">
        <v>128.9</v>
      </c>
      <c r="AD77" s="26">
        <v>-1.77</v>
      </c>
      <c r="AE77" s="26">
        <v>73.0</v>
      </c>
      <c r="AF77" s="26"/>
      <c r="AG77" s="26"/>
      <c r="AH77" s="26"/>
      <c r="AI77" s="26">
        <v>47.0</v>
      </c>
      <c r="AJ77" s="26">
        <v>157.8</v>
      </c>
      <c r="AK77" s="26">
        <v>154.1</v>
      </c>
      <c r="AL77" s="26">
        <v>161.4</v>
      </c>
      <c r="AM77" s="26">
        <v>2.35</v>
      </c>
      <c r="AN77" s="26">
        <v>135.0</v>
      </c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>
        <v>48.0</v>
      </c>
      <c r="BB77" s="26">
        <v>102.4</v>
      </c>
      <c r="BC77" s="26">
        <v>101.7</v>
      </c>
      <c r="BD77" s="26">
        <v>103.1</v>
      </c>
      <c r="BE77" s="26">
        <v>-2.38</v>
      </c>
      <c r="BF77" s="26">
        <v>64.0</v>
      </c>
      <c r="BG77" s="26"/>
      <c r="BH77" s="26"/>
      <c r="BI77" s="26"/>
      <c r="BJ77" s="26"/>
      <c r="BK77" s="26"/>
      <c r="BL77" s="26"/>
      <c r="BM77" s="26"/>
    </row>
    <row r="78" ht="15.75" customHeight="1">
      <c r="A78" s="25"/>
      <c r="B78" s="26"/>
      <c r="C78" s="26">
        <v>49.0</v>
      </c>
      <c r="D78" s="26">
        <v>122.4</v>
      </c>
      <c r="E78" s="26">
        <v>121.3</v>
      </c>
      <c r="F78" s="26">
        <v>123.5</v>
      </c>
      <c r="G78" s="26">
        <v>-0.77</v>
      </c>
      <c r="H78" s="26">
        <v>88.0</v>
      </c>
      <c r="I78" s="26"/>
      <c r="J78" s="26"/>
      <c r="K78" s="26">
        <v>49.0</v>
      </c>
      <c r="L78" s="26">
        <v>122.6</v>
      </c>
      <c r="M78" s="26">
        <v>121.8</v>
      </c>
      <c r="N78" s="26">
        <v>123.5</v>
      </c>
      <c r="O78" s="26">
        <v>-0.67</v>
      </c>
      <c r="P78" s="26">
        <v>90.0</v>
      </c>
      <c r="Q78" s="26"/>
      <c r="R78" s="26"/>
      <c r="S78" s="26"/>
      <c r="T78" s="26"/>
      <c r="U78" s="26"/>
      <c r="V78" s="26"/>
      <c r="W78" s="26"/>
      <c r="X78" s="26"/>
      <c r="Y78" s="26"/>
      <c r="Z78" s="26">
        <v>49.0</v>
      </c>
      <c r="AA78" s="26">
        <v>125.7</v>
      </c>
      <c r="AB78" s="26">
        <v>121.6</v>
      </c>
      <c r="AC78" s="26">
        <v>129.8</v>
      </c>
      <c r="AD78" s="26">
        <v>-1.71</v>
      </c>
      <c r="AE78" s="26">
        <v>74.0</v>
      </c>
      <c r="AF78" s="26"/>
      <c r="AG78" s="26"/>
      <c r="AH78" s="26"/>
      <c r="AI78" s="26">
        <v>48.0</v>
      </c>
      <c r="AJ78" s="26">
        <v>160.7</v>
      </c>
      <c r="AK78" s="26">
        <v>157.1</v>
      </c>
      <c r="AL78" s="26">
        <v>164.2</v>
      </c>
      <c r="AM78" s="26">
        <v>2.86</v>
      </c>
      <c r="AN78" s="26">
        <v>143.0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>
        <v>49.0</v>
      </c>
      <c r="BB78" s="26">
        <v>102.6</v>
      </c>
      <c r="BC78" s="26">
        <v>101.9</v>
      </c>
      <c r="BD78" s="26">
        <v>103.3</v>
      </c>
      <c r="BE78" s="26">
        <v>-2.32</v>
      </c>
      <c r="BF78" s="26">
        <v>65.0</v>
      </c>
      <c r="BG78" s="26"/>
      <c r="BH78" s="26"/>
      <c r="BI78" s="26"/>
      <c r="BJ78" s="26"/>
      <c r="BK78" s="26"/>
      <c r="BL78" s="26"/>
      <c r="BM78" s="26"/>
    </row>
    <row r="79" ht="15.75" customHeight="1">
      <c r="A79" s="25"/>
      <c r="B79" s="26"/>
      <c r="C79" s="26">
        <v>50.0</v>
      </c>
      <c r="D79" s="26">
        <v>122.9</v>
      </c>
      <c r="E79" s="26">
        <v>121.7</v>
      </c>
      <c r="F79" s="26">
        <v>124.0</v>
      </c>
      <c r="G79" s="26">
        <v>-0.7</v>
      </c>
      <c r="H79" s="26">
        <v>90.0</v>
      </c>
      <c r="I79" s="26"/>
      <c r="J79" s="26"/>
      <c r="K79" s="26">
        <v>50.0</v>
      </c>
      <c r="L79" s="26">
        <v>122.9</v>
      </c>
      <c r="M79" s="26">
        <v>122.0</v>
      </c>
      <c r="N79" s="26">
        <v>123.8</v>
      </c>
      <c r="O79" s="26">
        <v>-0.61</v>
      </c>
      <c r="P79" s="26">
        <v>91.0</v>
      </c>
      <c r="Q79" s="26"/>
      <c r="R79" s="26"/>
      <c r="S79" s="26"/>
      <c r="T79" s="26"/>
      <c r="U79" s="26"/>
      <c r="V79" s="26"/>
      <c r="W79" s="26"/>
      <c r="X79" s="26"/>
      <c r="Y79" s="26"/>
      <c r="Z79" s="26">
        <v>50.0</v>
      </c>
      <c r="AA79" s="26">
        <v>126.5</v>
      </c>
      <c r="AB79" s="26">
        <v>122.3</v>
      </c>
      <c r="AC79" s="26">
        <v>130.7</v>
      </c>
      <c r="AD79" s="26">
        <v>-1.64</v>
      </c>
      <c r="AE79" s="26">
        <v>75.0</v>
      </c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>
        <v>50.0</v>
      </c>
      <c r="BB79" s="26">
        <v>102.8</v>
      </c>
      <c r="BC79" s="26">
        <v>102.1</v>
      </c>
      <c r="BD79" s="26">
        <v>103.4</v>
      </c>
      <c r="BE79" s="26">
        <v>-2.27</v>
      </c>
      <c r="BF79" s="26">
        <v>66.0</v>
      </c>
      <c r="BG79" s="26"/>
      <c r="BH79" s="26"/>
      <c r="BI79" s="26"/>
      <c r="BJ79" s="26"/>
      <c r="BK79" s="26"/>
      <c r="BL79" s="26"/>
      <c r="BM79" s="26"/>
    </row>
    <row r="80" ht="15.75" customHeight="1">
      <c r="A80" s="25"/>
      <c r="B80" s="26"/>
      <c r="C80" s="26">
        <v>51.0</v>
      </c>
      <c r="D80" s="26">
        <v>123.4</v>
      </c>
      <c r="E80" s="26">
        <v>122.2</v>
      </c>
      <c r="F80" s="26">
        <v>124.7</v>
      </c>
      <c r="G80" s="26">
        <v>-0.62</v>
      </c>
      <c r="H80" s="26">
        <v>91.0</v>
      </c>
      <c r="I80" s="26"/>
      <c r="J80" s="26"/>
      <c r="K80" s="26">
        <v>51.0</v>
      </c>
      <c r="L80" s="26">
        <v>123.2</v>
      </c>
      <c r="M80" s="26">
        <v>122.3</v>
      </c>
      <c r="N80" s="26">
        <v>124.1</v>
      </c>
      <c r="O80" s="26">
        <v>-0.56</v>
      </c>
      <c r="P80" s="26">
        <v>92.0</v>
      </c>
      <c r="Q80" s="26"/>
      <c r="R80" s="26"/>
      <c r="S80" s="26"/>
      <c r="T80" s="26"/>
      <c r="U80" s="26"/>
      <c r="V80" s="26"/>
      <c r="W80" s="26"/>
      <c r="X80" s="26"/>
      <c r="Y80" s="26"/>
      <c r="Z80" s="26">
        <v>51.0</v>
      </c>
      <c r="AA80" s="26">
        <v>127.3</v>
      </c>
      <c r="AB80" s="26">
        <v>123.0</v>
      </c>
      <c r="AC80" s="26">
        <v>131.6</v>
      </c>
      <c r="AD80" s="26">
        <v>-1.57</v>
      </c>
      <c r="AE80" s="26">
        <v>76.0</v>
      </c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>
        <v>51.0</v>
      </c>
      <c r="BB80" s="26">
        <v>102.9</v>
      </c>
      <c r="BC80" s="26">
        <v>102.2</v>
      </c>
      <c r="BD80" s="26">
        <v>103.6</v>
      </c>
      <c r="BE80" s="26">
        <v>-2.22</v>
      </c>
      <c r="BF80" s="26">
        <v>67.0</v>
      </c>
      <c r="BG80" s="26"/>
      <c r="BH80" s="26"/>
      <c r="BI80" s="26"/>
      <c r="BJ80" s="26"/>
      <c r="BK80" s="26"/>
      <c r="BL80" s="26"/>
      <c r="BM80" s="26"/>
    </row>
    <row r="81" ht="15.75" customHeight="1">
      <c r="A81" s="25"/>
      <c r="B81" s="26"/>
      <c r="C81" s="26">
        <v>52.0</v>
      </c>
      <c r="D81" s="26">
        <v>124.0</v>
      </c>
      <c r="E81" s="26">
        <v>122.7</v>
      </c>
      <c r="F81" s="26">
        <v>125.3</v>
      </c>
      <c r="G81" s="26">
        <v>-0.53</v>
      </c>
      <c r="H81" s="26">
        <v>92.0</v>
      </c>
      <c r="I81" s="26"/>
      <c r="J81" s="26"/>
      <c r="K81" s="26">
        <v>52.0</v>
      </c>
      <c r="L81" s="26">
        <v>123.5</v>
      </c>
      <c r="M81" s="26">
        <v>122.6</v>
      </c>
      <c r="N81" s="26">
        <v>124.5</v>
      </c>
      <c r="O81" s="26">
        <v>-0.49</v>
      </c>
      <c r="P81" s="26">
        <v>93.0</v>
      </c>
      <c r="Q81" s="26"/>
      <c r="R81" s="26"/>
      <c r="S81" s="26"/>
      <c r="T81" s="26"/>
      <c r="U81" s="26"/>
      <c r="V81" s="26"/>
      <c r="W81" s="26"/>
      <c r="X81" s="26"/>
      <c r="Y81" s="26"/>
      <c r="Z81" s="26">
        <v>52.0</v>
      </c>
      <c r="AA81" s="26">
        <v>128.2</v>
      </c>
      <c r="AB81" s="26">
        <v>123.7</v>
      </c>
      <c r="AC81" s="26">
        <v>132.7</v>
      </c>
      <c r="AD81" s="26">
        <v>-1.49</v>
      </c>
      <c r="AE81" s="26">
        <v>78.0</v>
      </c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>
        <v>52.0</v>
      </c>
      <c r="BB81" s="26">
        <v>103.1</v>
      </c>
      <c r="BC81" s="26">
        <v>102.4</v>
      </c>
      <c r="BD81" s="26">
        <v>103.8</v>
      </c>
      <c r="BE81" s="26">
        <v>-2.16</v>
      </c>
      <c r="BF81" s="26">
        <v>68.0</v>
      </c>
      <c r="BG81" s="26"/>
      <c r="BH81" s="26"/>
      <c r="BI81" s="26"/>
      <c r="BJ81" s="26"/>
      <c r="BK81" s="26"/>
      <c r="BL81" s="26"/>
      <c r="BM81" s="26"/>
    </row>
    <row r="82" ht="15.75" customHeight="1">
      <c r="A82" s="25"/>
      <c r="B82" s="26"/>
      <c r="C82" s="26">
        <v>53.0</v>
      </c>
      <c r="D82" s="26">
        <v>124.6</v>
      </c>
      <c r="E82" s="26">
        <v>123.4</v>
      </c>
      <c r="F82" s="26">
        <v>125.8</v>
      </c>
      <c r="G82" s="26">
        <v>-0.45</v>
      </c>
      <c r="H82" s="26">
        <v>93.0</v>
      </c>
      <c r="I82" s="26"/>
      <c r="J82" s="26"/>
      <c r="K82" s="26">
        <v>53.0</v>
      </c>
      <c r="L82" s="26">
        <v>123.9</v>
      </c>
      <c r="M82" s="26">
        <v>122.8</v>
      </c>
      <c r="N82" s="26">
        <v>124.9</v>
      </c>
      <c r="O82" s="26">
        <v>-0.42</v>
      </c>
      <c r="P82" s="26">
        <v>94.0</v>
      </c>
      <c r="Q82" s="26"/>
      <c r="R82" s="26"/>
      <c r="S82" s="26"/>
      <c r="T82" s="26"/>
      <c r="U82" s="26"/>
      <c r="V82" s="26"/>
      <c r="W82" s="26"/>
      <c r="X82" s="26"/>
      <c r="Y82" s="26"/>
      <c r="Z82" s="26">
        <v>53.0</v>
      </c>
      <c r="AA82" s="26">
        <v>129.2</v>
      </c>
      <c r="AB82" s="26">
        <v>124.5</v>
      </c>
      <c r="AC82" s="26">
        <v>133.9</v>
      </c>
      <c r="AD82" s="26">
        <v>-1.41</v>
      </c>
      <c r="AE82" s="26">
        <v>79.0</v>
      </c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>
        <v>53.0</v>
      </c>
      <c r="BB82" s="26">
        <v>103.3</v>
      </c>
      <c r="BC82" s="26">
        <v>102.6</v>
      </c>
      <c r="BD82" s="26">
        <v>104.0</v>
      </c>
      <c r="BE82" s="26">
        <v>-2.11</v>
      </c>
      <c r="BF82" s="26">
        <v>68.0</v>
      </c>
      <c r="BG82" s="26"/>
      <c r="BH82" s="26"/>
      <c r="BI82" s="26"/>
      <c r="BJ82" s="26"/>
      <c r="BK82" s="26"/>
      <c r="BL82" s="26"/>
      <c r="BM82" s="26"/>
    </row>
    <row r="83" ht="15.75" customHeight="1">
      <c r="A83" s="25"/>
      <c r="B83" s="26"/>
      <c r="C83" s="26">
        <v>54.0</v>
      </c>
      <c r="D83" s="26">
        <v>125.1</v>
      </c>
      <c r="E83" s="26">
        <v>123.9</v>
      </c>
      <c r="F83" s="26">
        <v>126.3</v>
      </c>
      <c r="G83" s="26">
        <v>-0.37</v>
      </c>
      <c r="H83" s="26">
        <v>94.0</v>
      </c>
      <c r="I83" s="26"/>
      <c r="J83" s="26"/>
      <c r="K83" s="26">
        <v>54.0</v>
      </c>
      <c r="L83" s="26">
        <v>124.3</v>
      </c>
      <c r="M83" s="26">
        <v>123.2</v>
      </c>
      <c r="N83" s="26">
        <v>125.4</v>
      </c>
      <c r="O83" s="26">
        <v>-0.33</v>
      </c>
      <c r="P83" s="26">
        <v>95.0</v>
      </c>
      <c r="Q83" s="26"/>
      <c r="R83" s="26"/>
      <c r="S83" s="26"/>
      <c r="T83" s="26"/>
      <c r="U83" s="26"/>
      <c r="V83" s="26"/>
      <c r="W83" s="26"/>
      <c r="X83" s="26"/>
      <c r="Y83" s="26"/>
      <c r="Z83" s="26">
        <v>54.0</v>
      </c>
      <c r="AA83" s="26">
        <v>130.3</v>
      </c>
      <c r="AB83" s="26">
        <v>125.3</v>
      </c>
      <c r="AC83" s="26">
        <v>135.2</v>
      </c>
      <c r="AD83" s="26">
        <v>-1.31</v>
      </c>
      <c r="AE83" s="26">
        <v>80.0</v>
      </c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>
        <v>54.0</v>
      </c>
      <c r="BB83" s="26">
        <v>103.4</v>
      </c>
      <c r="BC83" s="26">
        <v>102.7</v>
      </c>
      <c r="BD83" s="26">
        <v>104.1</v>
      </c>
      <c r="BE83" s="26">
        <v>-2.05</v>
      </c>
      <c r="BF83" s="26">
        <v>69.0</v>
      </c>
      <c r="BG83" s="26"/>
      <c r="BH83" s="26"/>
      <c r="BI83" s="26"/>
      <c r="BJ83" s="26"/>
      <c r="BK83" s="26"/>
      <c r="BL83" s="26"/>
      <c r="BM83" s="26"/>
    </row>
    <row r="84" ht="15.75" customHeight="1">
      <c r="A84" s="25"/>
      <c r="B84" s="26"/>
      <c r="C84" s="26">
        <v>55.0</v>
      </c>
      <c r="D84" s="26">
        <v>125.7</v>
      </c>
      <c r="E84" s="26">
        <v>124.4</v>
      </c>
      <c r="F84" s="26">
        <v>127.0</v>
      </c>
      <c r="G84" s="26">
        <v>-0.29</v>
      </c>
      <c r="H84" s="26">
        <v>96.0</v>
      </c>
      <c r="I84" s="26"/>
      <c r="J84" s="26"/>
      <c r="K84" s="26">
        <v>55.0</v>
      </c>
      <c r="L84" s="26">
        <v>124.7</v>
      </c>
      <c r="M84" s="26">
        <v>123.6</v>
      </c>
      <c r="N84" s="26">
        <v>125.9</v>
      </c>
      <c r="O84" s="26">
        <v>-0.24</v>
      </c>
      <c r="P84" s="26">
        <v>96.0</v>
      </c>
      <c r="Q84" s="26"/>
      <c r="R84" s="26"/>
      <c r="S84" s="26"/>
      <c r="T84" s="26"/>
      <c r="U84" s="26"/>
      <c r="V84" s="26"/>
      <c r="W84" s="26"/>
      <c r="X84" s="26"/>
      <c r="Y84" s="26"/>
      <c r="Z84" s="26">
        <v>55.0</v>
      </c>
      <c r="AA84" s="26">
        <v>131.5</v>
      </c>
      <c r="AB84" s="26">
        <v>126.2</v>
      </c>
      <c r="AC84" s="26">
        <v>136.7</v>
      </c>
      <c r="AD84" s="26">
        <v>-1.21</v>
      </c>
      <c r="AE84" s="26">
        <v>82.0</v>
      </c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>
        <v>55.0</v>
      </c>
      <c r="BB84" s="26">
        <v>103.6</v>
      </c>
      <c r="BC84" s="26">
        <v>102.9</v>
      </c>
      <c r="BD84" s="26">
        <v>104.3</v>
      </c>
      <c r="BE84" s="26">
        <v>-2.0</v>
      </c>
      <c r="BF84" s="26">
        <v>70.0</v>
      </c>
      <c r="BG84" s="26"/>
      <c r="BH84" s="26"/>
      <c r="BI84" s="26"/>
      <c r="BJ84" s="26"/>
      <c r="BK84" s="26"/>
      <c r="BL84" s="26"/>
      <c r="BM84" s="26"/>
    </row>
    <row r="85" ht="15.75" customHeight="1">
      <c r="A85" s="25"/>
      <c r="B85" s="26"/>
      <c r="C85" s="26">
        <v>56.0</v>
      </c>
      <c r="D85" s="26">
        <v>126.6</v>
      </c>
      <c r="E85" s="26">
        <v>124.9</v>
      </c>
      <c r="F85" s="26">
        <v>128.2</v>
      </c>
      <c r="G85" s="26">
        <v>-0.17</v>
      </c>
      <c r="H85" s="26">
        <v>97.0</v>
      </c>
      <c r="I85" s="26"/>
      <c r="J85" s="26"/>
      <c r="K85" s="26">
        <v>56.0</v>
      </c>
      <c r="L85" s="26">
        <v>125.2</v>
      </c>
      <c r="M85" s="26">
        <v>124.1</v>
      </c>
      <c r="N85" s="26">
        <v>126.4</v>
      </c>
      <c r="O85" s="26">
        <v>-0.14</v>
      </c>
      <c r="P85" s="26">
        <v>98.0</v>
      </c>
      <c r="Q85" s="26"/>
      <c r="R85" s="26"/>
      <c r="S85" s="26"/>
      <c r="T85" s="26"/>
      <c r="U85" s="26"/>
      <c r="V85" s="26"/>
      <c r="W85" s="26"/>
      <c r="X85" s="26"/>
      <c r="Y85" s="26"/>
      <c r="Z85" s="26">
        <v>56.0</v>
      </c>
      <c r="AA85" s="26">
        <v>132.8</v>
      </c>
      <c r="AB85" s="26">
        <v>127.2</v>
      </c>
      <c r="AC85" s="26">
        <v>138.5</v>
      </c>
      <c r="AD85" s="26">
        <v>-1.09</v>
      </c>
      <c r="AE85" s="26">
        <v>84.0</v>
      </c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>
        <v>56.0</v>
      </c>
      <c r="BB85" s="26">
        <v>103.8</v>
      </c>
      <c r="BC85" s="26">
        <v>103.1</v>
      </c>
      <c r="BD85" s="26">
        <v>104.5</v>
      </c>
      <c r="BE85" s="26">
        <v>-1.94</v>
      </c>
      <c r="BF85" s="26">
        <v>71.0</v>
      </c>
      <c r="BG85" s="26"/>
      <c r="BH85" s="26"/>
      <c r="BI85" s="26"/>
      <c r="BJ85" s="26"/>
      <c r="BK85" s="26"/>
      <c r="BL85" s="26"/>
      <c r="BM85" s="26"/>
    </row>
    <row r="86" ht="15.75" customHeight="1">
      <c r="A86" s="25"/>
      <c r="B86" s="26"/>
      <c r="C86" s="26">
        <v>57.0</v>
      </c>
      <c r="D86" s="26">
        <v>127.4</v>
      </c>
      <c r="E86" s="26">
        <v>126.1</v>
      </c>
      <c r="F86" s="26">
        <v>128.6</v>
      </c>
      <c r="G86" s="26">
        <v>-0.05</v>
      </c>
      <c r="H86" s="26">
        <v>99.0</v>
      </c>
      <c r="I86" s="26"/>
      <c r="J86" s="26"/>
      <c r="K86" s="26">
        <v>57.0</v>
      </c>
      <c r="L86" s="26">
        <v>125.8</v>
      </c>
      <c r="M86" s="26">
        <v>124.6</v>
      </c>
      <c r="N86" s="26">
        <v>127.0</v>
      </c>
      <c r="O86" s="26">
        <v>-0.03</v>
      </c>
      <c r="P86" s="26">
        <v>100.0</v>
      </c>
      <c r="Q86" s="26"/>
      <c r="R86" s="26"/>
      <c r="S86" s="26"/>
      <c r="T86" s="26"/>
      <c r="U86" s="26"/>
      <c r="V86" s="26"/>
      <c r="W86" s="26"/>
      <c r="X86" s="26"/>
      <c r="Y86" s="26"/>
      <c r="Z86" s="26">
        <v>57.0</v>
      </c>
      <c r="AA86" s="26">
        <v>134.4</v>
      </c>
      <c r="AB86" s="26">
        <v>128.3</v>
      </c>
      <c r="AC86" s="26">
        <v>140.6</v>
      </c>
      <c r="AD86" s="26">
        <v>-0.95</v>
      </c>
      <c r="AE86" s="26">
        <v>86.0</v>
      </c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>
        <v>57.0</v>
      </c>
      <c r="BB86" s="26">
        <v>104.0</v>
      </c>
      <c r="BC86" s="26">
        <v>103.3</v>
      </c>
      <c r="BD86" s="26">
        <v>104.7</v>
      </c>
      <c r="BE86" s="26">
        <v>-1.88</v>
      </c>
      <c r="BF86" s="26">
        <v>72.0</v>
      </c>
      <c r="BG86" s="26"/>
      <c r="BH86" s="26"/>
      <c r="BI86" s="26"/>
      <c r="BJ86" s="26"/>
      <c r="BK86" s="26"/>
      <c r="BL86" s="26"/>
      <c r="BM86" s="26"/>
    </row>
    <row r="87" ht="15.75" customHeight="1">
      <c r="A87" s="25"/>
      <c r="B87" s="26"/>
      <c r="C87" s="26">
        <v>58.0</v>
      </c>
      <c r="D87" s="26">
        <v>127.9</v>
      </c>
      <c r="E87" s="26">
        <v>126.8</v>
      </c>
      <c r="F87" s="26">
        <v>128.9</v>
      </c>
      <c r="G87" s="26">
        <v>0.02</v>
      </c>
      <c r="H87" s="26">
        <v>100.0</v>
      </c>
      <c r="I87" s="26"/>
      <c r="J87" s="26"/>
      <c r="K87" s="26">
        <v>58.0</v>
      </c>
      <c r="L87" s="26">
        <v>126.4</v>
      </c>
      <c r="M87" s="26">
        <v>125.1</v>
      </c>
      <c r="N87" s="26">
        <v>127.6</v>
      </c>
      <c r="O87" s="26">
        <v>0.09</v>
      </c>
      <c r="P87" s="26">
        <v>101.0</v>
      </c>
      <c r="Q87" s="26"/>
      <c r="R87" s="26"/>
      <c r="S87" s="26"/>
      <c r="T87" s="26"/>
      <c r="U87" s="26"/>
      <c r="V87" s="26"/>
      <c r="W87" s="26"/>
      <c r="X87" s="26"/>
      <c r="Y87" s="26"/>
      <c r="Z87" s="26">
        <v>58.0</v>
      </c>
      <c r="AA87" s="26">
        <v>136.4</v>
      </c>
      <c r="AB87" s="26">
        <v>129.5</v>
      </c>
      <c r="AC87" s="26">
        <v>143.2</v>
      </c>
      <c r="AD87" s="26">
        <v>-0.78</v>
      </c>
      <c r="AE87" s="26">
        <v>88.0</v>
      </c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58.0</v>
      </c>
      <c r="BB87" s="26">
        <v>104.2</v>
      </c>
      <c r="BC87" s="26">
        <v>103.5</v>
      </c>
      <c r="BD87" s="26">
        <v>104.9</v>
      </c>
      <c r="BE87" s="26">
        <v>-1.83</v>
      </c>
      <c r="BF87" s="26">
        <v>73.0</v>
      </c>
      <c r="BG87" s="26"/>
      <c r="BH87" s="26"/>
      <c r="BI87" s="26"/>
      <c r="BJ87" s="26"/>
      <c r="BK87" s="26"/>
      <c r="BL87" s="26"/>
      <c r="BM87" s="26"/>
    </row>
    <row r="88" ht="15.75" customHeight="1">
      <c r="A88" s="25"/>
      <c r="B88" s="26"/>
      <c r="C88" s="26">
        <v>59.0</v>
      </c>
      <c r="D88" s="26">
        <v>128.3</v>
      </c>
      <c r="E88" s="26">
        <v>127.2</v>
      </c>
      <c r="F88" s="26">
        <v>129.3</v>
      </c>
      <c r="G88" s="26">
        <v>0.08</v>
      </c>
      <c r="H88" s="26">
        <v>101.0</v>
      </c>
      <c r="I88" s="26"/>
      <c r="J88" s="26"/>
      <c r="K88" s="26">
        <v>59.0</v>
      </c>
      <c r="L88" s="26">
        <v>127.0</v>
      </c>
      <c r="M88" s="26">
        <v>125.6</v>
      </c>
      <c r="N88" s="26">
        <v>128.4</v>
      </c>
      <c r="O88" s="26">
        <v>0.23</v>
      </c>
      <c r="P88" s="26">
        <v>103.0</v>
      </c>
      <c r="Q88" s="26"/>
      <c r="R88" s="26"/>
      <c r="S88" s="26"/>
      <c r="T88" s="26"/>
      <c r="U88" s="26"/>
      <c r="V88" s="26"/>
      <c r="W88" s="26"/>
      <c r="X88" s="26"/>
      <c r="Y88" s="26"/>
      <c r="Z88" s="26">
        <v>59.0</v>
      </c>
      <c r="AA88" s="26">
        <v>138.9</v>
      </c>
      <c r="AB88" s="26">
        <v>131.0</v>
      </c>
      <c r="AC88" s="26">
        <v>146.7</v>
      </c>
      <c r="AD88" s="26">
        <v>-0.56</v>
      </c>
      <c r="AE88" s="26">
        <v>92.0</v>
      </c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>
        <v>59.0</v>
      </c>
      <c r="BB88" s="26">
        <v>104.4</v>
      </c>
      <c r="BC88" s="26">
        <v>103.6</v>
      </c>
      <c r="BD88" s="26">
        <v>105.1</v>
      </c>
      <c r="BE88" s="26">
        <v>-1.77</v>
      </c>
      <c r="BF88" s="26">
        <v>74.0</v>
      </c>
      <c r="BG88" s="26"/>
      <c r="BH88" s="26"/>
      <c r="BI88" s="26"/>
      <c r="BJ88" s="26"/>
      <c r="BK88" s="26"/>
      <c r="BL88" s="26"/>
      <c r="BM88" s="26"/>
    </row>
    <row r="89" ht="15.75" customHeight="1">
      <c r="A89" s="25"/>
      <c r="B89" s="26"/>
      <c r="C89" s="26">
        <v>60.0</v>
      </c>
      <c r="D89" s="26">
        <v>128.7</v>
      </c>
      <c r="E89" s="26">
        <v>127.6</v>
      </c>
      <c r="F89" s="26">
        <v>129.8</v>
      </c>
      <c r="G89" s="26">
        <v>0.15</v>
      </c>
      <c r="H89" s="26">
        <v>102.0</v>
      </c>
      <c r="I89" s="26"/>
      <c r="J89" s="26"/>
      <c r="K89" s="26">
        <v>60.0</v>
      </c>
      <c r="L89" s="26">
        <v>127.9</v>
      </c>
      <c r="M89" s="26">
        <v>126.1</v>
      </c>
      <c r="N89" s="26">
        <v>129.7</v>
      </c>
      <c r="O89" s="26">
        <v>0.41</v>
      </c>
      <c r="P89" s="26">
        <v>106.0</v>
      </c>
      <c r="Q89" s="26"/>
      <c r="R89" s="26"/>
      <c r="S89" s="26"/>
      <c r="T89" s="26"/>
      <c r="U89" s="26"/>
      <c r="V89" s="26"/>
      <c r="W89" s="26"/>
      <c r="X89" s="26"/>
      <c r="Y89" s="26"/>
      <c r="Z89" s="26">
        <v>60.0</v>
      </c>
      <c r="AA89" s="26">
        <v>142.3</v>
      </c>
      <c r="AB89" s="26">
        <v>132.7</v>
      </c>
      <c r="AC89" s="26">
        <v>151.9</v>
      </c>
      <c r="AD89" s="26">
        <v>-0.26</v>
      </c>
      <c r="AE89" s="26">
        <v>96.0</v>
      </c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>
        <v>60.0</v>
      </c>
      <c r="BB89" s="26">
        <v>104.5</v>
      </c>
      <c r="BC89" s="26">
        <v>103.8</v>
      </c>
      <c r="BD89" s="26">
        <v>105.3</v>
      </c>
      <c r="BE89" s="26">
        <v>-1.71</v>
      </c>
      <c r="BF89" s="26">
        <v>74.0</v>
      </c>
      <c r="BG89" s="26"/>
      <c r="BH89" s="26"/>
      <c r="BI89" s="26"/>
      <c r="BJ89" s="26"/>
      <c r="BK89" s="26"/>
      <c r="BL89" s="26"/>
      <c r="BM89" s="26"/>
    </row>
    <row r="90" ht="15.75" customHeight="1">
      <c r="A90" s="25"/>
      <c r="B90" s="26"/>
      <c r="C90" s="26">
        <v>61.0</v>
      </c>
      <c r="D90" s="26">
        <v>129.2</v>
      </c>
      <c r="E90" s="26">
        <v>128.0</v>
      </c>
      <c r="F90" s="26">
        <v>130.5</v>
      </c>
      <c r="G90" s="26">
        <v>0.22</v>
      </c>
      <c r="H90" s="26">
        <v>103.0</v>
      </c>
      <c r="I90" s="26"/>
      <c r="J90" s="26"/>
      <c r="K90" s="26">
        <v>61.0</v>
      </c>
      <c r="L90" s="26">
        <v>130.3</v>
      </c>
      <c r="M90" s="26">
        <v>126.8</v>
      </c>
      <c r="N90" s="26">
        <v>133.8</v>
      </c>
      <c r="O90" s="26">
        <v>0.89</v>
      </c>
      <c r="P90" s="26">
        <v>113.0</v>
      </c>
      <c r="Q90" s="26"/>
      <c r="R90" s="26"/>
      <c r="S90" s="26"/>
      <c r="T90" s="26"/>
      <c r="U90" s="26"/>
      <c r="V90" s="26"/>
      <c r="W90" s="26"/>
      <c r="X90" s="26"/>
      <c r="Y90" s="26"/>
      <c r="Z90" s="26">
        <v>61.0</v>
      </c>
      <c r="AA90" s="26">
        <v>148.1</v>
      </c>
      <c r="AB90" s="26">
        <v>134.7</v>
      </c>
      <c r="AC90" s="26">
        <v>161.5</v>
      </c>
      <c r="AD90" s="26">
        <v>0.24</v>
      </c>
      <c r="AE90" s="26">
        <v>104.0</v>
      </c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>
        <v>61.0</v>
      </c>
      <c r="BB90" s="26">
        <v>104.7</v>
      </c>
      <c r="BC90" s="26">
        <v>104.0</v>
      </c>
      <c r="BD90" s="26">
        <v>105.5</v>
      </c>
      <c r="BE90" s="26">
        <v>-1.64</v>
      </c>
      <c r="BF90" s="26">
        <v>75.0</v>
      </c>
      <c r="BG90" s="26"/>
      <c r="BH90" s="26"/>
      <c r="BI90" s="26"/>
      <c r="BJ90" s="26"/>
      <c r="BK90" s="26"/>
      <c r="BL90" s="26"/>
      <c r="BM90" s="26"/>
    </row>
    <row r="91" ht="15.75" customHeight="1">
      <c r="A91" s="25"/>
      <c r="B91" s="26"/>
      <c r="C91" s="26">
        <v>62.0</v>
      </c>
      <c r="D91" s="26">
        <v>129.9</v>
      </c>
      <c r="E91" s="26">
        <v>128.4</v>
      </c>
      <c r="F91" s="26">
        <v>131.3</v>
      </c>
      <c r="G91" s="26">
        <v>0.31</v>
      </c>
      <c r="H91" s="26">
        <v>105.0</v>
      </c>
      <c r="I91" s="26"/>
      <c r="J91" s="26"/>
      <c r="K91" s="26">
        <v>62.0</v>
      </c>
      <c r="L91" s="26">
        <v>134.1</v>
      </c>
      <c r="M91" s="26">
        <v>130.8</v>
      </c>
      <c r="N91" s="26">
        <v>137.3</v>
      </c>
      <c r="O91" s="26">
        <v>1.66</v>
      </c>
      <c r="P91" s="26">
        <v>125.0</v>
      </c>
      <c r="Q91" s="26"/>
      <c r="R91" s="26"/>
      <c r="S91" s="26"/>
      <c r="T91" s="26"/>
      <c r="U91" s="26"/>
      <c r="V91" s="26"/>
      <c r="W91" s="26"/>
      <c r="X91" s="26"/>
      <c r="Y91" s="26"/>
      <c r="Z91" s="26">
        <v>62.0</v>
      </c>
      <c r="AA91" s="26">
        <v>158.0</v>
      </c>
      <c r="AB91" s="26">
        <v>133.7</v>
      </c>
      <c r="AC91" s="26">
        <v>182.2</v>
      </c>
      <c r="AD91" s="26">
        <v>1.1</v>
      </c>
      <c r="AE91" s="26">
        <v>117.0</v>
      </c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62.0</v>
      </c>
      <c r="BB91" s="26">
        <v>104.9</v>
      </c>
      <c r="BC91" s="26">
        <v>104.2</v>
      </c>
      <c r="BD91" s="26">
        <v>105.7</v>
      </c>
      <c r="BE91" s="26">
        <v>-1.58</v>
      </c>
      <c r="BF91" s="26">
        <v>76.0</v>
      </c>
      <c r="BG91" s="26"/>
      <c r="BH91" s="26"/>
      <c r="BI91" s="26"/>
      <c r="BJ91" s="26"/>
      <c r="BK91" s="26"/>
      <c r="BL91" s="26"/>
      <c r="BM91" s="26"/>
    </row>
    <row r="92" ht="15.75" customHeight="1">
      <c r="A92" s="25"/>
      <c r="B92" s="26"/>
      <c r="C92" s="26">
        <v>63.0</v>
      </c>
      <c r="D92" s="26">
        <v>131.4</v>
      </c>
      <c r="E92" s="26">
        <v>128.6</v>
      </c>
      <c r="F92" s="26">
        <v>134.2</v>
      </c>
      <c r="G92" s="26">
        <v>0.54</v>
      </c>
      <c r="H92" s="26">
        <v>108.0</v>
      </c>
      <c r="I92" s="26"/>
      <c r="J92" s="26"/>
      <c r="K92" s="26">
        <v>63.0</v>
      </c>
      <c r="L92" s="26">
        <v>136.7</v>
      </c>
      <c r="M92" s="26">
        <v>134.3</v>
      </c>
      <c r="N92" s="26">
        <v>139.0</v>
      </c>
      <c r="O92" s="26">
        <v>2.19</v>
      </c>
      <c r="P92" s="26">
        <v>133.0</v>
      </c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>
        <v>63.0</v>
      </c>
      <c r="BB92" s="26">
        <v>105.2</v>
      </c>
      <c r="BC92" s="26">
        <v>104.4</v>
      </c>
      <c r="BD92" s="26">
        <v>105.9</v>
      </c>
      <c r="BE92" s="26">
        <v>-1.51</v>
      </c>
      <c r="BF92" s="26">
        <v>77.0</v>
      </c>
      <c r="BG92" s="26"/>
      <c r="BH92" s="26"/>
      <c r="BI92" s="26"/>
      <c r="BJ92" s="26"/>
      <c r="BK92" s="26"/>
      <c r="BL92" s="26"/>
      <c r="BM92" s="26"/>
    </row>
    <row r="93" ht="15.75" customHeight="1">
      <c r="A93" s="25"/>
      <c r="B93" s="26"/>
      <c r="C93" s="26">
        <v>64.0</v>
      </c>
      <c r="D93" s="26">
        <v>132.8</v>
      </c>
      <c r="E93" s="26">
        <v>131.4</v>
      </c>
      <c r="F93" s="26">
        <v>134.2</v>
      </c>
      <c r="G93" s="26">
        <v>0.74</v>
      </c>
      <c r="H93" s="26">
        <v>111.0</v>
      </c>
      <c r="I93" s="26"/>
      <c r="J93" s="26"/>
      <c r="K93" s="26">
        <v>64.0</v>
      </c>
      <c r="L93" s="26">
        <v>138.9</v>
      </c>
      <c r="M93" s="26">
        <v>136.3</v>
      </c>
      <c r="N93" s="26">
        <v>141.6</v>
      </c>
      <c r="O93" s="26">
        <v>2.65</v>
      </c>
      <c r="P93" s="26">
        <v>140.0</v>
      </c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>
        <v>64.0</v>
      </c>
      <c r="BB93" s="26">
        <v>105.4</v>
      </c>
      <c r="BC93" s="26">
        <v>104.6</v>
      </c>
      <c r="BD93" s="26">
        <v>106.2</v>
      </c>
      <c r="BE93" s="26">
        <v>-1.44</v>
      </c>
      <c r="BF93" s="26">
        <v>78.0</v>
      </c>
      <c r="BG93" s="26"/>
      <c r="BH93" s="26"/>
      <c r="BI93" s="26"/>
      <c r="BJ93" s="26"/>
      <c r="BK93" s="26"/>
      <c r="BL93" s="26"/>
      <c r="BM93" s="26"/>
    </row>
    <row r="94" ht="15.75" customHeight="1">
      <c r="A94" s="25"/>
      <c r="B94" s="26"/>
      <c r="C94" s="26">
        <v>65.0</v>
      </c>
      <c r="D94" s="26">
        <v>133.4</v>
      </c>
      <c r="E94" s="26">
        <v>132.2</v>
      </c>
      <c r="F94" s="26">
        <v>134.5</v>
      </c>
      <c r="G94" s="26">
        <v>0.82</v>
      </c>
      <c r="H94" s="26">
        <v>112.0</v>
      </c>
      <c r="I94" s="26"/>
      <c r="J94" s="26"/>
      <c r="K94" s="26">
        <v>65.0</v>
      </c>
      <c r="L94" s="26">
        <v>141.4</v>
      </c>
      <c r="M94" s="26">
        <v>138.9</v>
      </c>
      <c r="N94" s="26">
        <v>143.9</v>
      </c>
      <c r="O94" s="26">
        <v>3.14</v>
      </c>
      <c r="P94" s="26">
        <v>147.0</v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>
        <v>65.0</v>
      </c>
      <c r="BB94" s="26">
        <v>105.6</v>
      </c>
      <c r="BC94" s="26">
        <v>104.8</v>
      </c>
      <c r="BD94" s="26">
        <v>106.4</v>
      </c>
      <c r="BE94" s="26">
        <v>-1.37</v>
      </c>
      <c r="BF94" s="26">
        <v>79.0</v>
      </c>
      <c r="BG94" s="26"/>
      <c r="BH94" s="26"/>
      <c r="BI94" s="26"/>
      <c r="BJ94" s="26"/>
      <c r="BK94" s="26"/>
      <c r="BL94" s="26"/>
      <c r="BM94" s="26"/>
    </row>
    <row r="95" ht="15.75" customHeight="1">
      <c r="A95" s="25"/>
      <c r="B95" s="26"/>
      <c r="C95" s="26">
        <v>66.0</v>
      </c>
      <c r="D95" s="26">
        <v>133.8</v>
      </c>
      <c r="E95" s="26">
        <v>132.7</v>
      </c>
      <c r="F95" s="26">
        <v>134.8</v>
      </c>
      <c r="G95" s="26">
        <v>0.88</v>
      </c>
      <c r="H95" s="26">
        <v>113.0</v>
      </c>
      <c r="I95" s="26"/>
      <c r="J95" s="26"/>
      <c r="K95" s="26">
        <v>66.0</v>
      </c>
      <c r="L95" s="26">
        <v>143.3</v>
      </c>
      <c r="M95" s="26">
        <v>139.9</v>
      </c>
      <c r="N95" s="26">
        <v>146.7</v>
      </c>
      <c r="O95" s="26">
        <v>3.54</v>
      </c>
      <c r="P95" s="26">
        <v>153.0</v>
      </c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>
        <v>66.0</v>
      </c>
      <c r="BB95" s="26">
        <v>105.9</v>
      </c>
      <c r="BC95" s="26">
        <v>105.0</v>
      </c>
      <c r="BD95" s="26">
        <v>106.7</v>
      </c>
      <c r="BE95" s="26">
        <v>-1.29</v>
      </c>
      <c r="BF95" s="26">
        <v>81.0</v>
      </c>
      <c r="BG95" s="26"/>
      <c r="BH95" s="26"/>
      <c r="BI95" s="26"/>
      <c r="BJ95" s="26"/>
      <c r="BK95" s="26"/>
      <c r="BL95" s="26"/>
      <c r="BM95" s="26"/>
    </row>
    <row r="96" ht="15.75" customHeight="1">
      <c r="A96" s="25"/>
      <c r="B96" s="26"/>
      <c r="C96" s="26">
        <v>67.0</v>
      </c>
      <c r="D96" s="26">
        <v>134.1</v>
      </c>
      <c r="E96" s="26">
        <v>133.2</v>
      </c>
      <c r="F96" s="26">
        <v>135.1</v>
      </c>
      <c r="G96" s="26">
        <v>0.93</v>
      </c>
      <c r="H96" s="26">
        <v>114.0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>
        <v>67.0</v>
      </c>
      <c r="BB96" s="26">
        <v>106.1</v>
      </c>
      <c r="BC96" s="26">
        <v>105.3</v>
      </c>
      <c r="BD96" s="26">
        <v>107.0</v>
      </c>
      <c r="BE96" s="26">
        <v>-1.2</v>
      </c>
      <c r="BF96" s="26">
        <v>82.0</v>
      </c>
      <c r="BG96" s="26"/>
      <c r="BH96" s="26"/>
      <c r="BI96" s="26"/>
      <c r="BJ96" s="26"/>
      <c r="BK96" s="26"/>
      <c r="BL96" s="26"/>
      <c r="BM96" s="26"/>
    </row>
    <row r="97" ht="15.75" customHeight="1">
      <c r="A97" s="25"/>
      <c r="B97" s="26"/>
      <c r="C97" s="26">
        <v>68.0</v>
      </c>
      <c r="D97" s="26">
        <v>134.5</v>
      </c>
      <c r="E97" s="26">
        <v>133.5</v>
      </c>
      <c r="F97" s="26">
        <v>135.4</v>
      </c>
      <c r="G97" s="26">
        <v>0.98</v>
      </c>
      <c r="H97" s="26">
        <v>115.0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>
        <v>68.0</v>
      </c>
      <c r="BB97" s="26">
        <v>106.4</v>
      </c>
      <c r="BC97" s="26">
        <v>105.6</v>
      </c>
      <c r="BD97" s="26">
        <v>107.2</v>
      </c>
      <c r="BE97" s="26">
        <v>-1.12</v>
      </c>
      <c r="BF97" s="26">
        <v>83.0</v>
      </c>
      <c r="BG97" s="26"/>
      <c r="BH97" s="26"/>
      <c r="BI97" s="26"/>
      <c r="BJ97" s="26"/>
      <c r="BK97" s="26"/>
      <c r="BL97" s="26"/>
      <c r="BM97" s="26"/>
    </row>
    <row r="98" ht="15.75" customHeight="1">
      <c r="A98" s="25"/>
      <c r="B98" s="26"/>
      <c r="C98" s="26">
        <v>69.0</v>
      </c>
      <c r="D98" s="26">
        <v>134.8</v>
      </c>
      <c r="E98" s="26">
        <v>133.8</v>
      </c>
      <c r="F98" s="26">
        <v>135.8</v>
      </c>
      <c r="G98" s="26">
        <v>1.03</v>
      </c>
      <c r="H98" s="26">
        <v>116.0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>
        <v>69.0</v>
      </c>
      <c r="BB98" s="26">
        <v>106.6</v>
      </c>
      <c r="BC98" s="26">
        <v>105.8</v>
      </c>
      <c r="BD98" s="26">
        <v>107.4</v>
      </c>
      <c r="BE98" s="26">
        <v>-1.05</v>
      </c>
      <c r="BF98" s="26">
        <v>84.0</v>
      </c>
      <c r="BG98" s="26"/>
      <c r="BH98" s="26"/>
      <c r="BI98" s="26"/>
      <c r="BJ98" s="26"/>
      <c r="BK98" s="26"/>
      <c r="BL98" s="26"/>
      <c r="BM98" s="26"/>
    </row>
    <row r="99" ht="15.75" customHeight="1">
      <c r="A99" s="25"/>
      <c r="B99" s="26"/>
      <c r="C99" s="26">
        <v>70.0</v>
      </c>
      <c r="D99" s="26">
        <v>135.2</v>
      </c>
      <c r="E99" s="26">
        <v>134.1</v>
      </c>
      <c r="F99" s="26">
        <v>136.3</v>
      </c>
      <c r="G99" s="26">
        <v>1.09</v>
      </c>
      <c r="H99" s="26">
        <v>116.0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>
        <v>70.0</v>
      </c>
      <c r="BB99" s="26">
        <v>106.9</v>
      </c>
      <c r="BC99" s="26">
        <v>106.1</v>
      </c>
      <c r="BD99" s="26">
        <v>107.6</v>
      </c>
      <c r="BE99" s="26">
        <v>-0.98</v>
      </c>
      <c r="BF99" s="26">
        <v>85.0</v>
      </c>
      <c r="BG99" s="26"/>
      <c r="BH99" s="26"/>
      <c r="BI99" s="26"/>
      <c r="BJ99" s="26"/>
      <c r="BK99" s="26"/>
      <c r="BL99" s="26"/>
      <c r="BM99" s="26"/>
    </row>
    <row r="100" ht="15.75" customHeight="1">
      <c r="A100" s="25"/>
      <c r="B100" s="26"/>
      <c r="C100" s="26">
        <v>71.0</v>
      </c>
      <c r="D100" s="26">
        <v>135.7</v>
      </c>
      <c r="E100" s="26">
        <v>134.4</v>
      </c>
      <c r="F100" s="26">
        <v>137.0</v>
      </c>
      <c r="G100" s="26">
        <v>1.17</v>
      </c>
      <c r="H100" s="26">
        <v>117.0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>
        <v>71.0</v>
      </c>
      <c r="BB100" s="26">
        <v>107.1</v>
      </c>
      <c r="BC100" s="26">
        <v>106.3</v>
      </c>
      <c r="BD100" s="26">
        <v>107.8</v>
      </c>
      <c r="BE100" s="26">
        <v>-0.91</v>
      </c>
      <c r="BF100" s="26">
        <v>86.0</v>
      </c>
      <c r="BG100" s="26"/>
      <c r="BH100" s="26"/>
      <c r="BI100" s="26"/>
      <c r="BJ100" s="26"/>
      <c r="BK100" s="26"/>
      <c r="BL100" s="26"/>
      <c r="BM100" s="26"/>
    </row>
    <row r="101" ht="15.75" customHeight="1">
      <c r="A101" s="25"/>
      <c r="B101" s="26"/>
      <c r="C101" s="26">
        <v>72.0</v>
      </c>
      <c r="D101" s="26">
        <v>136.4</v>
      </c>
      <c r="E101" s="26">
        <v>135.0</v>
      </c>
      <c r="F101" s="26">
        <v>137.8</v>
      </c>
      <c r="G101" s="26">
        <v>1.26</v>
      </c>
      <c r="H101" s="26">
        <v>119.0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>
        <v>72.0</v>
      </c>
      <c r="BB101" s="26">
        <v>107.3</v>
      </c>
      <c r="BC101" s="26">
        <v>106.5</v>
      </c>
      <c r="BD101" s="26">
        <v>108.0</v>
      </c>
      <c r="BE101" s="26">
        <v>-0.85</v>
      </c>
      <c r="BF101" s="26">
        <v>87.0</v>
      </c>
      <c r="BG101" s="26"/>
      <c r="BH101" s="26"/>
      <c r="BI101" s="26"/>
      <c r="BJ101" s="26"/>
      <c r="BK101" s="26"/>
      <c r="BL101" s="26"/>
      <c r="BM101" s="26"/>
    </row>
    <row r="102" ht="15.75" customHeight="1">
      <c r="A102" s="25"/>
      <c r="B102" s="26"/>
      <c r="C102" s="26">
        <v>73.0</v>
      </c>
      <c r="D102" s="26">
        <v>137.0</v>
      </c>
      <c r="E102" s="26">
        <v>135.8</v>
      </c>
      <c r="F102" s="26">
        <v>138.3</v>
      </c>
      <c r="G102" s="26">
        <v>1.35</v>
      </c>
      <c r="H102" s="26">
        <v>120.0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>
        <v>73.0</v>
      </c>
      <c r="BB102" s="26">
        <v>107.4</v>
      </c>
      <c r="BC102" s="26">
        <v>106.7</v>
      </c>
      <c r="BD102" s="26">
        <v>108.1</v>
      </c>
      <c r="BE102" s="26">
        <v>-0.79</v>
      </c>
      <c r="BF102" s="26">
        <v>88.0</v>
      </c>
      <c r="BG102" s="26"/>
      <c r="BH102" s="26"/>
      <c r="BI102" s="26"/>
      <c r="BJ102" s="26"/>
      <c r="BK102" s="26"/>
      <c r="BL102" s="26"/>
      <c r="BM102" s="26"/>
    </row>
    <row r="103" ht="15.75" customHeight="1">
      <c r="A103" s="25"/>
      <c r="B103" s="26"/>
      <c r="C103" s="26">
        <v>74.0</v>
      </c>
      <c r="D103" s="26">
        <v>137.6</v>
      </c>
      <c r="E103" s="26">
        <v>136.3</v>
      </c>
      <c r="F103" s="26">
        <v>138.8</v>
      </c>
      <c r="G103" s="26">
        <v>1.43</v>
      </c>
      <c r="H103" s="26">
        <v>122.0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>
        <v>74.0</v>
      </c>
      <c r="BB103" s="26">
        <v>107.6</v>
      </c>
      <c r="BC103" s="26">
        <v>106.9</v>
      </c>
      <c r="BD103" s="26">
        <v>108.3</v>
      </c>
      <c r="BE103" s="26">
        <v>-0.73</v>
      </c>
      <c r="BF103" s="26">
        <v>89.0</v>
      </c>
      <c r="BG103" s="26"/>
      <c r="BH103" s="26"/>
      <c r="BI103" s="26"/>
      <c r="BJ103" s="26"/>
      <c r="BK103" s="26"/>
      <c r="BL103" s="26"/>
      <c r="BM103" s="26"/>
    </row>
    <row r="104" ht="15.75" customHeight="1">
      <c r="A104" s="25"/>
      <c r="B104" s="26"/>
      <c r="C104" s="26">
        <v>75.0</v>
      </c>
      <c r="D104" s="26">
        <v>138.2</v>
      </c>
      <c r="E104" s="26">
        <v>136.7</v>
      </c>
      <c r="F104" s="26">
        <v>139.7</v>
      </c>
      <c r="G104" s="26">
        <v>1.53</v>
      </c>
      <c r="H104" s="26">
        <v>123.0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>
        <v>75.0</v>
      </c>
      <c r="BB104" s="26">
        <v>107.8</v>
      </c>
      <c r="BC104" s="26">
        <v>107.1</v>
      </c>
      <c r="BD104" s="26">
        <v>108.5</v>
      </c>
      <c r="BE104" s="26">
        <v>-0.67</v>
      </c>
      <c r="BF104" s="26">
        <v>90.0</v>
      </c>
      <c r="BG104" s="26"/>
      <c r="BH104" s="26"/>
      <c r="BI104" s="26"/>
      <c r="BJ104" s="26"/>
      <c r="BK104" s="26"/>
      <c r="BL104" s="26"/>
      <c r="BM104" s="26"/>
    </row>
    <row r="105" ht="15.75" customHeight="1">
      <c r="A105" s="25"/>
      <c r="B105" s="26"/>
      <c r="C105" s="26">
        <v>76.0</v>
      </c>
      <c r="D105" s="26">
        <v>139.6</v>
      </c>
      <c r="E105" s="26">
        <v>137.3</v>
      </c>
      <c r="F105" s="26">
        <v>141.8</v>
      </c>
      <c r="G105" s="26">
        <v>1.72</v>
      </c>
      <c r="H105" s="26">
        <v>126.0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>
        <v>76.0</v>
      </c>
      <c r="BB105" s="26">
        <v>108.0</v>
      </c>
      <c r="BC105" s="26">
        <v>107.3</v>
      </c>
      <c r="BD105" s="26">
        <v>108.7</v>
      </c>
      <c r="BE105" s="26">
        <v>-0.61</v>
      </c>
      <c r="BF105" s="26">
        <v>91.0</v>
      </c>
      <c r="BG105" s="26"/>
      <c r="BH105" s="26"/>
      <c r="BI105" s="26"/>
      <c r="BJ105" s="26"/>
      <c r="BK105" s="26"/>
      <c r="BL105" s="26"/>
      <c r="BM105" s="26"/>
    </row>
    <row r="106" ht="15.75" customHeight="1">
      <c r="A106" s="25"/>
      <c r="B106" s="26"/>
      <c r="C106" s="26">
        <v>77.0</v>
      </c>
      <c r="D106" s="26">
        <v>141.0</v>
      </c>
      <c r="E106" s="26">
        <v>139.2</v>
      </c>
      <c r="F106" s="26">
        <v>142.8</v>
      </c>
      <c r="G106" s="26">
        <v>1.93</v>
      </c>
      <c r="H106" s="26">
        <v>129.0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>
        <v>77.0</v>
      </c>
      <c r="BB106" s="26">
        <v>108.2</v>
      </c>
      <c r="BC106" s="26">
        <v>107.5</v>
      </c>
      <c r="BD106" s="26">
        <v>108.9</v>
      </c>
      <c r="BE106" s="26">
        <v>-0.56</v>
      </c>
      <c r="BF106" s="26">
        <v>92.0</v>
      </c>
      <c r="BG106" s="26"/>
      <c r="BH106" s="26"/>
      <c r="BI106" s="26"/>
      <c r="BJ106" s="26"/>
      <c r="BK106" s="26"/>
      <c r="BL106" s="26"/>
      <c r="BM106" s="26"/>
    </row>
    <row r="107" ht="15.75" customHeight="1">
      <c r="A107" s="25"/>
      <c r="B107" s="26"/>
      <c r="C107" s="26">
        <v>78.0</v>
      </c>
      <c r="D107" s="26">
        <v>143.1</v>
      </c>
      <c r="E107" s="26">
        <v>139.1</v>
      </c>
      <c r="F107" s="26">
        <v>147.2</v>
      </c>
      <c r="G107" s="26">
        <v>2.24</v>
      </c>
      <c r="H107" s="26">
        <v>134.0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>
        <v>78.0</v>
      </c>
      <c r="BB107" s="26">
        <v>108.4</v>
      </c>
      <c r="BC107" s="26">
        <v>107.6</v>
      </c>
      <c r="BD107" s="26">
        <v>109.1</v>
      </c>
      <c r="BE107" s="26">
        <v>-0.5</v>
      </c>
      <c r="BF107" s="26">
        <v>93.0</v>
      </c>
      <c r="BG107" s="26"/>
      <c r="BH107" s="26"/>
      <c r="BI107" s="26"/>
      <c r="BJ107" s="26"/>
      <c r="BK107" s="26"/>
      <c r="BL107" s="26"/>
      <c r="BM107" s="26"/>
    </row>
    <row r="108" ht="15.75" customHeight="1">
      <c r="A108" s="25"/>
      <c r="B108" s="26"/>
      <c r="C108" s="26">
        <v>79.0</v>
      </c>
      <c r="D108" s="26">
        <v>146.3</v>
      </c>
      <c r="E108" s="26">
        <v>144.1</v>
      </c>
      <c r="F108" s="26">
        <v>148.5</v>
      </c>
      <c r="G108" s="26">
        <v>2.7</v>
      </c>
      <c r="H108" s="26">
        <v>140.0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>
        <v>79.0</v>
      </c>
      <c r="BB108" s="26">
        <v>108.6</v>
      </c>
      <c r="BC108" s="26">
        <v>107.8</v>
      </c>
      <c r="BD108" s="26">
        <v>1109.3</v>
      </c>
      <c r="BE108" s="26">
        <v>-0.43</v>
      </c>
      <c r="BF108" s="26">
        <v>94.0</v>
      </c>
      <c r="BG108" s="26"/>
      <c r="BH108" s="26"/>
      <c r="BI108" s="26"/>
      <c r="BJ108" s="26"/>
      <c r="BK108" s="26"/>
      <c r="BL108" s="26"/>
      <c r="BM108" s="26"/>
    </row>
    <row r="109" ht="15.75" customHeight="1">
      <c r="A109" s="25"/>
      <c r="B109" s="26"/>
      <c r="C109" s="26">
        <v>80.0</v>
      </c>
      <c r="D109" s="26">
        <v>148.2</v>
      </c>
      <c r="E109" s="26">
        <v>145.8</v>
      </c>
      <c r="F109" s="26">
        <v>150.6</v>
      </c>
      <c r="G109" s="26">
        <v>2.98</v>
      </c>
      <c r="H109" s="26">
        <v>145.0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>
        <v>80.0</v>
      </c>
      <c r="BB109" s="26">
        <v>108.8</v>
      </c>
      <c r="BC109" s="26">
        <v>108.0</v>
      </c>
      <c r="BD109" s="26">
        <v>109.6</v>
      </c>
      <c r="BE109" s="26">
        <v>-0.36</v>
      </c>
      <c r="BF109" s="26">
        <v>95.0</v>
      </c>
      <c r="BG109" s="26"/>
      <c r="BH109" s="26"/>
      <c r="BI109" s="26"/>
      <c r="BJ109" s="26"/>
      <c r="BK109" s="26"/>
      <c r="BL109" s="26"/>
      <c r="BM109" s="26"/>
    </row>
    <row r="110" ht="15.75" customHeight="1">
      <c r="A110" s="25"/>
      <c r="B110" s="26"/>
      <c r="C110" s="26">
        <v>81.0</v>
      </c>
      <c r="D110" s="26">
        <v>150.2</v>
      </c>
      <c r="E110" s="26">
        <v>147.9</v>
      </c>
      <c r="F110" s="26">
        <v>152.5</v>
      </c>
      <c r="G110" s="26">
        <v>3.27</v>
      </c>
      <c r="H110" s="26">
        <v>149.0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>
        <v>81.0</v>
      </c>
      <c r="BB110" s="26">
        <v>109.1</v>
      </c>
      <c r="BC110" s="26">
        <v>108.2</v>
      </c>
      <c r="BD110" s="26">
        <v>109.9</v>
      </c>
      <c r="BE110" s="26">
        <v>-0.28</v>
      </c>
      <c r="BF110" s="26">
        <v>96.0</v>
      </c>
      <c r="BG110" s="26"/>
      <c r="BH110" s="26"/>
      <c r="BI110" s="26"/>
      <c r="BJ110" s="26"/>
      <c r="BK110" s="26"/>
      <c r="BL110" s="26"/>
      <c r="BM110" s="26"/>
    </row>
    <row r="111" ht="15.75" customHeight="1">
      <c r="A111" s="25"/>
      <c r="B111" s="26"/>
      <c r="C111" s="26">
        <v>82.0</v>
      </c>
      <c r="D111" s="26">
        <v>151.9</v>
      </c>
      <c r="E111" s="26">
        <v>148.7</v>
      </c>
      <c r="F111" s="26">
        <v>155.2</v>
      </c>
      <c r="G111" s="26">
        <v>3.52</v>
      </c>
      <c r="H111" s="26">
        <v>153.0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>
        <v>82.0</v>
      </c>
      <c r="BB111" s="26">
        <v>109.3</v>
      </c>
      <c r="BC111" s="26">
        <v>108.5</v>
      </c>
      <c r="BD111" s="26">
        <v>110.1</v>
      </c>
      <c r="BE111" s="26">
        <v>-0.21</v>
      </c>
      <c r="BF111" s="26">
        <v>97.0</v>
      </c>
      <c r="BG111" s="26"/>
      <c r="BH111" s="26"/>
      <c r="BI111" s="26"/>
      <c r="BJ111" s="26"/>
      <c r="BK111" s="26"/>
      <c r="BL111" s="26"/>
      <c r="BM111" s="26"/>
    </row>
    <row r="112" ht="15.75" customHeight="1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>
        <v>83.0</v>
      </c>
      <c r="BB112" s="26">
        <v>109.6</v>
      </c>
      <c r="BC112" s="26">
        <v>108.7</v>
      </c>
      <c r="BD112" s="26">
        <v>110.4</v>
      </c>
      <c r="BE112" s="26">
        <v>-0.12</v>
      </c>
      <c r="BF112" s="26">
        <v>98.0</v>
      </c>
      <c r="BG112" s="26"/>
      <c r="BH112" s="26"/>
      <c r="BI112" s="26"/>
      <c r="BJ112" s="26"/>
      <c r="BK112" s="26"/>
      <c r="BL112" s="26"/>
      <c r="BM112" s="26"/>
    </row>
    <row r="113" ht="15.75" customHeight="1">
      <c r="A113" s="25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>
        <v>84.0</v>
      </c>
      <c r="BB113" s="26">
        <v>109.8</v>
      </c>
      <c r="BC113" s="26">
        <v>109.0</v>
      </c>
      <c r="BD113" s="26">
        <v>110.6</v>
      </c>
      <c r="BE113" s="26">
        <v>-0.04</v>
      </c>
      <c r="BF113" s="26">
        <v>99.0</v>
      </c>
      <c r="BG113" s="26"/>
      <c r="BH113" s="26"/>
      <c r="BI113" s="26"/>
      <c r="BJ113" s="26"/>
      <c r="BK113" s="26"/>
      <c r="BL113" s="26"/>
      <c r="BM113" s="26"/>
    </row>
    <row r="114" ht="15.75" customHeight="1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>
        <v>85.0</v>
      </c>
      <c r="BB114" s="26">
        <v>110.1</v>
      </c>
      <c r="BC114" s="26">
        <v>109.3</v>
      </c>
      <c r="BD114" s="26">
        <v>110.9</v>
      </c>
      <c r="BE114" s="26">
        <v>0.04</v>
      </c>
      <c r="BF114" s="26">
        <v>101.0</v>
      </c>
      <c r="BG114" s="26"/>
      <c r="BH114" s="26"/>
      <c r="BI114" s="26"/>
      <c r="BJ114" s="26"/>
      <c r="BK114" s="26"/>
      <c r="BL114" s="26"/>
      <c r="BM114" s="26"/>
    </row>
    <row r="115" ht="15.75" customHeight="1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>
        <v>86.0</v>
      </c>
      <c r="BB115" s="26">
        <v>110.3</v>
      </c>
      <c r="BC115" s="26">
        <v>109.5</v>
      </c>
      <c r="BD115" s="26">
        <v>111.1</v>
      </c>
      <c r="BE115" s="26">
        <v>0.11</v>
      </c>
      <c r="BF115" s="26">
        <v>102.0</v>
      </c>
      <c r="BG115" s="26"/>
      <c r="BH115" s="26"/>
      <c r="BI115" s="26"/>
      <c r="BJ115" s="26"/>
      <c r="BK115" s="26"/>
      <c r="BL115" s="26"/>
      <c r="BM115" s="26"/>
    </row>
    <row r="116" ht="15.75" customHeight="1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>
        <v>87.0</v>
      </c>
      <c r="BB116" s="26">
        <v>110.5</v>
      </c>
      <c r="BC116" s="26">
        <v>109.8</v>
      </c>
      <c r="BD116" s="26">
        <v>111.3</v>
      </c>
      <c r="BE116" s="26">
        <v>0.18</v>
      </c>
      <c r="BF116" s="26">
        <v>103.0</v>
      </c>
      <c r="BG116" s="26"/>
      <c r="BH116" s="26"/>
      <c r="BI116" s="26"/>
      <c r="BJ116" s="26"/>
      <c r="BK116" s="26"/>
      <c r="BL116" s="26"/>
      <c r="BM116" s="26"/>
    </row>
    <row r="117" ht="15.75" customHeight="1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>
        <v>88.0</v>
      </c>
      <c r="BB117" s="26">
        <v>110.7</v>
      </c>
      <c r="BC117" s="26">
        <v>110.0</v>
      </c>
      <c r="BD117" s="26">
        <v>111.5</v>
      </c>
      <c r="BE117" s="26">
        <v>0.25</v>
      </c>
      <c r="BF117" s="26">
        <v>104.0</v>
      </c>
      <c r="BG117" s="26"/>
      <c r="BH117" s="26"/>
      <c r="BI117" s="26"/>
      <c r="BJ117" s="26"/>
      <c r="BK117" s="26"/>
      <c r="BL117" s="26"/>
      <c r="BM117" s="26"/>
    </row>
    <row r="118" ht="15.75" customHeight="1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>
        <v>89.0</v>
      </c>
      <c r="BB118" s="26">
        <v>110.9</v>
      </c>
      <c r="BC118" s="26">
        <v>110.2</v>
      </c>
      <c r="BD118" s="26">
        <v>111.7</v>
      </c>
      <c r="BE118" s="26">
        <v>0.31</v>
      </c>
      <c r="BF118" s="26">
        <v>105.0</v>
      </c>
      <c r="BG118" s="26"/>
      <c r="BH118" s="26"/>
      <c r="BI118" s="26"/>
      <c r="BJ118" s="26"/>
      <c r="BK118" s="26"/>
      <c r="BL118" s="26"/>
      <c r="BM118" s="26"/>
    </row>
    <row r="119" ht="15.75" customHeight="1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>
        <v>90.0</v>
      </c>
      <c r="BB119" s="26">
        <v>111.1</v>
      </c>
      <c r="BC119" s="26">
        <v>110.4</v>
      </c>
      <c r="BD119" s="26">
        <v>111.9</v>
      </c>
      <c r="BE119" s="26">
        <v>0.38</v>
      </c>
      <c r="BF119" s="26">
        <v>106.0</v>
      </c>
      <c r="BG119" s="26"/>
      <c r="BH119" s="26"/>
      <c r="BI119" s="26"/>
      <c r="BJ119" s="26"/>
      <c r="BK119" s="26"/>
      <c r="BL119" s="26"/>
      <c r="BM119" s="26"/>
    </row>
    <row r="120" ht="15.75" customHeight="1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>
        <v>91.0</v>
      </c>
      <c r="BB120" s="26">
        <v>111.3</v>
      </c>
      <c r="BC120" s="26">
        <v>110.6</v>
      </c>
      <c r="BD120" s="26">
        <v>112.1</v>
      </c>
      <c r="BE120" s="26">
        <v>0.44</v>
      </c>
      <c r="BF120" s="26">
        <v>107.0</v>
      </c>
      <c r="BG120" s="26"/>
      <c r="BH120" s="26"/>
      <c r="BI120" s="26"/>
      <c r="BJ120" s="26"/>
      <c r="BK120" s="26"/>
      <c r="BL120" s="26"/>
      <c r="BM120" s="26"/>
    </row>
    <row r="121" ht="15.75" customHeight="1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>
        <v>92.0</v>
      </c>
      <c r="BB121" s="26">
        <v>111.5</v>
      </c>
      <c r="BC121" s="26">
        <v>110.8</v>
      </c>
      <c r="BD121" s="26">
        <v>112.3</v>
      </c>
      <c r="BE121" s="26">
        <v>0.5</v>
      </c>
      <c r="BF121" s="26">
        <v>108.0</v>
      </c>
      <c r="BG121" s="26"/>
      <c r="BH121" s="26"/>
      <c r="BI121" s="26"/>
      <c r="BJ121" s="26"/>
      <c r="BK121" s="26"/>
      <c r="BL121" s="26"/>
      <c r="BM121" s="26"/>
    </row>
    <row r="122" ht="15.75" customHeight="1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>
        <v>93.0</v>
      </c>
      <c r="BB122" s="26">
        <v>111.8</v>
      </c>
      <c r="BC122" s="26">
        <v>111.0</v>
      </c>
      <c r="BD122" s="26">
        <v>112.5</v>
      </c>
      <c r="BE122" s="26">
        <v>0.57</v>
      </c>
      <c r="BF122" s="26">
        <v>109.0</v>
      </c>
      <c r="BG122" s="26"/>
      <c r="BH122" s="26"/>
      <c r="BI122" s="26"/>
      <c r="BJ122" s="26"/>
      <c r="BK122" s="26"/>
      <c r="BL122" s="26"/>
      <c r="BM122" s="26"/>
    </row>
    <row r="123" ht="15.75" customHeight="1"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>
        <v>94.0</v>
      </c>
      <c r="BB123" s="26">
        <v>112.0</v>
      </c>
      <c r="BC123" s="26">
        <v>111.2</v>
      </c>
      <c r="BD123" s="26">
        <v>112.8</v>
      </c>
      <c r="BE123" s="26">
        <v>0.64</v>
      </c>
      <c r="BF123" s="26">
        <v>110.0</v>
      </c>
      <c r="BG123" s="26"/>
      <c r="BH123" s="26"/>
      <c r="BI123" s="26"/>
      <c r="BJ123" s="26"/>
      <c r="BK123" s="26"/>
      <c r="BL123" s="26"/>
      <c r="BM123" s="26"/>
    </row>
    <row r="124" ht="15.75" customHeight="1"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>
        <v>95.0</v>
      </c>
      <c r="BB124" s="26">
        <v>112.2</v>
      </c>
      <c r="BC124" s="26">
        <v>111.4</v>
      </c>
      <c r="BD124" s="26">
        <v>113.1</v>
      </c>
      <c r="BE124" s="26">
        <v>0.72</v>
      </c>
      <c r="BF124" s="26">
        <v>111.0</v>
      </c>
      <c r="BG124" s="26"/>
      <c r="BH124" s="26"/>
      <c r="BI124" s="26"/>
      <c r="BJ124" s="26"/>
      <c r="BK124" s="26"/>
      <c r="BL124" s="26"/>
      <c r="BM124" s="26"/>
    </row>
    <row r="125" ht="15.75" customHeight="1"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>
        <v>96.0</v>
      </c>
      <c r="BB125" s="26">
        <v>112.5</v>
      </c>
      <c r="BC125" s="26">
        <v>111.6</v>
      </c>
      <c r="BD125" s="26">
        <v>113.4</v>
      </c>
      <c r="BE125" s="26">
        <v>0.81</v>
      </c>
      <c r="BF125" s="26">
        <v>112.0</v>
      </c>
      <c r="BG125" s="26"/>
      <c r="BH125" s="26"/>
      <c r="BI125" s="26"/>
      <c r="BJ125" s="26"/>
      <c r="BK125" s="26"/>
      <c r="BL125" s="26"/>
      <c r="BM125" s="26"/>
    </row>
    <row r="126" ht="15.75" customHeight="1"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>
        <v>97.0</v>
      </c>
      <c r="BB126" s="26">
        <v>112.8</v>
      </c>
      <c r="BC126" s="26">
        <v>111.9</v>
      </c>
      <c r="BD126" s="26">
        <v>113.6</v>
      </c>
      <c r="BE126" s="26">
        <v>0.9</v>
      </c>
      <c r="BF126" s="26">
        <v>113.0</v>
      </c>
      <c r="BG126" s="26"/>
      <c r="BH126" s="26"/>
      <c r="BI126" s="26"/>
      <c r="BJ126" s="26"/>
      <c r="BK126" s="26"/>
      <c r="BL126" s="26"/>
      <c r="BM126" s="26"/>
    </row>
    <row r="127" ht="15.75" customHeight="1"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>
        <v>98.0</v>
      </c>
      <c r="BB127" s="26">
        <v>113.1</v>
      </c>
      <c r="BC127" s="26">
        <v>112.2</v>
      </c>
      <c r="BD127" s="26">
        <v>113.9</v>
      </c>
      <c r="BE127" s="26">
        <v>0.98</v>
      </c>
      <c r="BF127" s="26">
        <v>115.0</v>
      </c>
      <c r="BG127" s="26"/>
      <c r="BH127" s="26"/>
      <c r="BI127" s="26"/>
      <c r="BJ127" s="26"/>
      <c r="BK127" s="26"/>
      <c r="BL127" s="26"/>
      <c r="BM127" s="26"/>
    </row>
    <row r="128" ht="15.75" customHeight="1"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>
        <v>99.0</v>
      </c>
      <c r="BB128" s="26">
        <v>113.3</v>
      </c>
      <c r="BC128" s="26">
        <v>112.5</v>
      </c>
      <c r="BD128" s="26">
        <v>114.2</v>
      </c>
      <c r="BE128" s="26">
        <v>1.06</v>
      </c>
      <c r="BF128" s="26">
        <v>116.0</v>
      </c>
      <c r="BG128" s="26"/>
      <c r="BH128" s="26"/>
      <c r="BI128" s="26"/>
      <c r="BJ128" s="26"/>
      <c r="BK128" s="26"/>
      <c r="BL128" s="26"/>
      <c r="BM128" s="26"/>
    </row>
    <row r="129" ht="15.75" customHeight="1"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>
        <v>100.0</v>
      </c>
      <c r="BB129" s="26">
        <v>113.6</v>
      </c>
      <c r="BC129" s="26">
        <v>112.7</v>
      </c>
      <c r="BD129" s="26">
        <v>114.4</v>
      </c>
      <c r="BE129" s="26">
        <v>1.14</v>
      </c>
      <c r="BF129" s="26">
        <v>117.0</v>
      </c>
      <c r="BG129" s="26"/>
      <c r="BH129" s="26"/>
      <c r="BI129" s="26"/>
      <c r="BJ129" s="26"/>
      <c r="BK129" s="26"/>
      <c r="BL129" s="26"/>
      <c r="BM129" s="26"/>
    </row>
    <row r="130" ht="15.75" customHeight="1"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>
        <v>101.0</v>
      </c>
      <c r="BB130" s="26">
        <v>113.8</v>
      </c>
      <c r="BC130" s="26">
        <v>113.0</v>
      </c>
      <c r="BD130" s="26">
        <v>114.7</v>
      </c>
      <c r="BE130" s="26">
        <v>1.23</v>
      </c>
      <c r="BF130" s="26">
        <v>118.0</v>
      </c>
      <c r="BG130" s="26"/>
      <c r="BH130" s="26"/>
      <c r="BI130" s="26"/>
      <c r="BJ130" s="26"/>
      <c r="BK130" s="26"/>
      <c r="BL130" s="26"/>
      <c r="BM130" s="26"/>
    </row>
    <row r="131" ht="15.75" customHeight="1"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>
        <v>102.0</v>
      </c>
      <c r="BB131" s="26">
        <v>114.1</v>
      </c>
      <c r="BC131" s="26">
        <v>113.2</v>
      </c>
      <c r="BD131" s="26">
        <v>115.0</v>
      </c>
      <c r="BE131" s="26">
        <v>1.31</v>
      </c>
      <c r="BF131" s="26">
        <v>120.0</v>
      </c>
      <c r="BG131" s="26"/>
      <c r="BH131" s="26"/>
      <c r="BI131" s="26"/>
      <c r="BJ131" s="26"/>
      <c r="BK131" s="26"/>
      <c r="BL131" s="26"/>
      <c r="BM131" s="26"/>
    </row>
    <row r="132" ht="15.75" customHeight="1"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>
        <v>103.0</v>
      </c>
      <c r="BB132" s="26">
        <v>114.4</v>
      </c>
      <c r="BC132" s="26">
        <v>113.5</v>
      </c>
      <c r="BD132" s="26">
        <v>115.3</v>
      </c>
      <c r="BE132" s="26">
        <v>1.41</v>
      </c>
      <c r="BF132" s="26">
        <v>121.0</v>
      </c>
      <c r="BG132" s="26"/>
      <c r="BH132" s="26"/>
      <c r="BI132" s="26"/>
      <c r="BJ132" s="26"/>
      <c r="BK132" s="26"/>
      <c r="BL132" s="26"/>
      <c r="BM132" s="26"/>
    </row>
    <row r="133" ht="15.75" customHeight="1"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>
        <v>104.0</v>
      </c>
      <c r="BB133" s="26">
        <v>114.7</v>
      </c>
      <c r="BC133" s="26">
        <v>113.8</v>
      </c>
      <c r="BD133" s="26">
        <v>115.6</v>
      </c>
      <c r="BE133" s="26">
        <v>1.5</v>
      </c>
      <c r="BF133" s="26">
        <v>123.0</v>
      </c>
      <c r="BG133" s="26"/>
      <c r="BH133" s="26"/>
      <c r="BI133" s="26"/>
      <c r="BJ133" s="26"/>
      <c r="BK133" s="26"/>
      <c r="BL133" s="26"/>
      <c r="BM133" s="26"/>
    </row>
    <row r="134" ht="15.75" customHeight="1"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>
        <v>105.0</v>
      </c>
      <c r="BB134" s="26">
        <v>115.0</v>
      </c>
      <c r="BC134" s="26">
        <v>114.1</v>
      </c>
      <c r="BD134" s="26">
        <v>116.0</v>
      </c>
      <c r="BE134" s="26">
        <v>1.6</v>
      </c>
      <c r="BF134" s="26">
        <v>124.0</v>
      </c>
      <c r="BG134" s="26"/>
      <c r="BH134" s="26"/>
      <c r="BI134" s="26"/>
      <c r="BJ134" s="26"/>
      <c r="BK134" s="26"/>
      <c r="BL134" s="26"/>
      <c r="BM134" s="26"/>
    </row>
    <row r="135" ht="15.75" customHeight="1"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>
        <v>106.0</v>
      </c>
      <c r="BB135" s="26">
        <v>115.4</v>
      </c>
      <c r="BC135" s="26">
        <v>114.4</v>
      </c>
      <c r="BD135" s="26">
        <v>116.3</v>
      </c>
      <c r="BE135" s="26">
        <v>1.7</v>
      </c>
      <c r="BF135" s="26">
        <v>126.0</v>
      </c>
      <c r="BG135" s="26"/>
      <c r="BH135" s="26"/>
      <c r="BI135" s="26"/>
      <c r="BJ135" s="26"/>
      <c r="BK135" s="26"/>
      <c r="BL135" s="26"/>
      <c r="BM135" s="26"/>
    </row>
    <row r="136" ht="15.75" customHeight="1"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>
        <v>107.0</v>
      </c>
      <c r="BB136" s="26">
        <v>115.7</v>
      </c>
      <c r="BC136" s="26">
        <v>114.7</v>
      </c>
      <c r="BD136" s="26">
        <v>116.7</v>
      </c>
      <c r="BE136" s="26">
        <v>1.81</v>
      </c>
      <c r="BF136" s="26">
        <v>127.0</v>
      </c>
      <c r="BG136" s="26"/>
      <c r="BH136" s="26"/>
      <c r="BI136" s="26"/>
      <c r="BJ136" s="26"/>
      <c r="BK136" s="26"/>
      <c r="BL136" s="26"/>
      <c r="BM136" s="26"/>
    </row>
    <row r="137" ht="15.75" customHeight="1"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>
        <v>108.0</v>
      </c>
      <c r="BB137" s="26">
        <v>116.1</v>
      </c>
      <c r="BC137" s="26">
        <v>115.0</v>
      </c>
      <c r="BD137" s="26">
        <v>117.1</v>
      </c>
      <c r="BE137" s="26">
        <v>1.93</v>
      </c>
      <c r="BF137" s="26">
        <v>129.0</v>
      </c>
      <c r="BG137" s="26"/>
      <c r="BH137" s="26"/>
      <c r="BI137" s="26"/>
      <c r="BJ137" s="26"/>
      <c r="BK137" s="26"/>
      <c r="BL137" s="26"/>
      <c r="BM137" s="26"/>
    </row>
    <row r="138" ht="15.75" customHeight="1"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>
        <v>109.0</v>
      </c>
      <c r="BB138" s="26">
        <v>116.5</v>
      </c>
      <c r="BC138" s="26">
        <v>115.3</v>
      </c>
      <c r="BD138" s="26">
        <v>117.8</v>
      </c>
      <c r="BE138" s="26">
        <v>2.08</v>
      </c>
      <c r="BF138" s="26">
        <v>131.0</v>
      </c>
      <c r="BG138" s="26"/>
      <c r="BH138" s="26"/>
      <c r="BI138" s="26"/>
      <c r="BJ138" s="26"/>
      <c r="BK138" s="26"/>
      <c r="BL138" s="26"/>
      <c r="BM138" s="26"/>
    </row>
    <row r="139" ht="15.75" customHeight="1"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>
        <v>110.0</v>
      </c>
      <c r="BB139" s="26">
        <v>117.2</v>
      </c>
      <c r="BC139" s="26">
        <v>115.7</v>
      </c>
      <c r="BD139" s="26">
        <v>118.7</v>
      </c>
      <c r="BE139" s="26">
        <v>2.29</v>
      </c>
      <c r="BF139" s="26">
        <v>134.0</v>
      </c>
      <c r="BG139" s="26"/>
      <c r="BH139" s="26"/>
      <c r="BI139" s="26"/>
      <c r="BJ139" s="26"/>
      <c r="BK139" s="26"/>
      <c r="BL139" s="26"/>
      <c r="BM139" s="26"/>
    </row>
    <row r="140" ht="15.75" customHeight="1"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>
        <v>111.0</v>
      </c>
      <c r="BB140" s="26">
        <v>118.3</v>
      </c>
      <c r="BC140" s="26">
        <v>116.3</v>
      </c>
      <c r="BD140" s="26">
        <v>120.3</v>
      </c>
      <c r="BE140" s="26">
        <v>2.64</v>
      </c>
      <c r="BF140" s="26">
        <v>140.0</v>
      </c>
      <c r="BG140" s="26"/>
      <c r="BH140" s="26"/>
      <c r="BI140" s="26"/>
      <c r="BJ140" s="26"/>
      <c r="BK140" s="26"/>
      <c r="BL140" s="26"/>
      <c r="BM140" s="26"/>
    </row>
    <row r="141" ht="15.75" customHeight="1"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>
        <v>112.0</v>
      </c>
      <c r="BB141" s="26">
        <v>120.0</v>
      </c>
      <c r="BC141" s="26">
        <v>117.8</v>
      </c>
      <c r="BD141" s="26">
        <v>122.2</v>
      </c>
      <c r="BE141" s="26">
        <v>3.17</v>
      </c>
      <c r="BF141" s="26">
        <v>148.0</v>
      </c>
      <c r="BG141" s="26"/>
      <c r="BH141" s="26"/>
      <c r="BI141" s="26"/>
      <c r="BJ141" s="26"/>
      <c r="BK141" s="26"/>
      <c r="BL141" s="26"/>
      <c r="BM141" s="26"/>
    </row>
    <row r="142" ht="15.75" customHeight="1"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>
        <v>113.0</v>
      </c>
      <c r="BB142" s="26">
        <v>121.9</v>
      </c>
      <c r="BC142" s="26">
        <v>119.5</v>
      </c>
      <c r="BD142" s="26">
        <v>124.2</v>
      </c>
      <c r="BE142" s="26">
        <v>3.76</v>
      </c>
      <c r="BF142" s="26">
        <v>156.0</v>
      </c>
      <c r="BG142" s="26"/>
      <c r="BH142" s="26"/>
      <c r="BI142" s="26"/>
      <c r="BJ142" s="26"/>
      <c r="BK142" s="26"/>
      <c r="BL142" s="26"/>
      <c r="BM142" s="26"/>
    </row>
    <row r="143" ht="15.75" customHeight="1"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>
        <v>114.0</v>
      </c>
      <c r="BB143" s="26">
        <v>123.7</v>
      </c>
      <c r="BC143" s="26">
        <v>120.4</v>
      </c>
      <c r="BD143" s="26">
        <v>127.1</v>
      </c>
      <c r="BE143" s="26">
        <v>4.34</v>
      </c>
      <c r="BF143" s="26">
        <v>165.0</v>
      </c>
      <c r="BG143" s="26"/>
      <c r="BH143" s="26"/>
      <c r="BI143" s="26"/>
      <c r="BJ143" s="26"/>
      <c r="BK143" s="26"/>
      <c r="BL143" s="26"/>
      <c r="BM143" s="26"/>
    </row>
    <row r="144" ht="15.75" customHeight="1"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</row>
    <row r="145" ht="15.75" customHeight="1"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</row>
    <row r="146" ht="15.75" customHeight="1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</row>
    <row r="147" ht="15.75" customHeight="1"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</row>
    <row r="148" ht="15.75" customHeight="1"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</row>
    <row r="149" ht="15.75" customHeight="1"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</row>
    <row r="150" ht="15.75" customHeight="1"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</row>
    <row r="151" ht="15.75" customHeight="1"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</row>
    <row r="152" ht="15.75" customHeight="1"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</row>
    <row r="153" ht="15.75" customHeight="1"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7" width="11.43"/>
    <col customWidth="1" min="8" max="8" width="17.0"/>
    <col customWidth="1" min="9" max="11" width="8.71"/>
    <col customWidth="1" min="12" max="12" width="28.14"/>
    <col customWidth="1" min="13" max="13" width="11.86"/>
    <col customWidth="1" min="14" max="14" width="19.71"/>
    <col customWidth="1" min="15" max="62" width="8.71"/>
  </cols>
  <sheetData>
    <row r="1">
      <c r="A1" s="1" t="s">
        <v>38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44724.0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1</v>
      </c>
      <c r="E6" s="12">
        <f>DATEDIF(D4,D3,"M")-DATEDIF(D4,D3,"Y")*12</f>
        <v>10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42-47MESES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31" t="s">
        <v>18</v>
      </c>
      <c r="G13" s="32">
        <v>38.0</v>
      </c>
      <c r="H13" s="31">
        <f t="shared" ref="H13:K13" si="1">VLOOKUP(G13,C29:H113,2,0)</f>
        <v>111.2</v>
      </c>
      <c r="I13" s="31">
        <f t="shared" si="1"/>
        <v>110.4</v>
      </c>
      <c r="J13" s="31">
        <f t="shared" si="1"/>
        <v>112</v>
      </c>
      <c r="K13" s="31">
        <f t="shared" si="1"/>
        <v>-1.5</v>
      </c>
      <c r="L13" s="31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Alerta para atraso</v>
      </c>
      <c r="M13" s="31">
        <f>VLOOKUP(G13,C29:H113,6,0)</f>
        <v>78</v>
      </c>
      <c r="N13" s="31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Abaixo da Média</v>
      </c>
    </row>
    <row r="14">
      <c r="F14" s="31" t="s">
        <v>19</v>
      </c>
      <c r="G14" s="32">
        <v>41.0</v>
      </c>
      <c r="H14" s="31">
        <f t="shared" ref="H14:K14" si="2">VLOOKUP(G14,K29:L133,2,0)</f>
        <v>115</v>
      </c>
      <c r="I14" s="31">
        <f t="shared" si="2"/>
        <v>114.1</v>
      </c>
      <c r="J14" s="31">
        <f t="shared" si="2"/>
        <v>116</v>
      </c>
      <c r="K14" s="31">
        <f t="shared" si="2"/>
        <v>-2.15</v>
      </c>
      <c r="L14" s="31" t="str">
        <f t="shared" si="3"/>
        <v>Atraso signifiticativo</v>
      </c>
      <c r="M14" s="31">
        <f>VLOOKUP(G14,K29:P133,6,0)</f>
        <v>68</v>
      </c>
      <c r="N14" s="31" t="str">
        <f t="shared" si="4"/>
        <v>Muito Inferior</v>
      </c>
    </row>
    <row r="15">
      <c r="F15" s="31" t="s">
        <v>20</v>
      </c>
      <c r="G15" s="32">
        <v>43.0</v>
      </c>
      <c r="H15" s="31">
        <f t="shared" ref="H15:K15" si="5">VLOOKUP(G15,R28:W93,2,0)</f>
        <v>120.4</v>
      </c>
      <c r="I15" s="31">
        <f t="shared" si="5"/>
        <v>119.2</v>
      </c>
      <c r="J15" s="31">
        <f t="shared" si="5"/>
        <v>121.6</v>
      </c>
      <c r="K15" s="31">
        <f t="shared" si="5"/>
        <v>-1.48</v>
      </c>
      <c r="L15" s="31" t="str">
        <f t="shared" si="3"/>
        <v>Alerta para atraso</v>
      </c>
      <c r="M15" s="31">
        <f>VLOOKUP(G15,R28:W93,6,0)</f>
        <v>78</v>
      </c>
      <c r="N15" s="31" t="str">
        <f t="shared" si="4"/>
        <v>Abaixo da Média</v>
      </c>
    </row>
    <row r="16">
      <c r="F16" s="31" t="s">
        <v>21</v>
      </c>
      <c r="G16" s="32">
        <v>19.0</v>
      </c>
      <c r="H16" s="31">
        <f t="shared" ref="H16:K16" si="6">VLOOKUP(G16,Z29:AE117,2,0)</f>
        <v>101.7</v>
      </c>
      <c r="I16" s="31">
        <f t="shared" si="6"/>
        <v>98.2</v>
      </c>
      <c r="J16" s="31">
        <f t="shared" si="6"/>
        <v>105.2</v>
      </c>
      <c r="K16" s="31">
        <f t="shared" si="6"/>
        <v>-6.1</v>
      </c>
      <c r="L16" s="31" t="str">
        <f t="shared" si="3"/>
        <v>Atraso signifiticativo</v>
      </c>
      <c r="M16" s="31">
        <f>VLOOKUP(G16,Z29:AE117,6,0)</f>
        <v>8</v>
      </c>
      <c r="N16" s="31" t="str">
        <f t="shared" si="4"/>
        <v>Muito Inferior</v>
      </c>
    </row>
    <row r="17">
      <c r="F17" s="31" t="s">
        <v>22</v>
      </c>
      <c r="G17" s="32">
        <v>35.0</v>
      </c>
      <c r="H17" s="31">
        <f t="shared" ref="H17:K17" si="7">VLOOKUP(G17,AI30:AN92,2,0)</f>
        <v>136.7</v>
      </c>
      <c r="I17" s="31">
        <f t="shared" si="7"/>
        <v>135.4</v>
      </c>
      <c r="J17" s="31">
        <f t="shared" si="7"/>
        <v>137.9</v>
      </c>
      <c r="K17" s="31">
        <f t="shared" si="7"/>
        <v>-0.69</v>
      </c>
      <c r="L17" s="31" t="str">
        <f t="shared" si="3"/>
        <v>Típico</v>
      </c>
      <c r="M17" s="31">
        <f>VLOOKUP(G17,AI30:AN92,6,0)</f>
        <v>97</v>
      </c>
      <c r="N17" s="31" t="str">
        <f t="shared" si="4"/>
        <v>Médio</v>
      </c>
    </row>
    <row r="18">
      <c r="F18" s="31" t="s">
        <v>23</v>
      </c>
      <c r="G18" s="32">
        <v>33.0</v>
      </c>
      <c r="H18" s="31">
        <f t="shared" ref="H18:K18" si="8">VLOOKUP(G18,AS29:AX71,2,0)</f>
        <v>138</v>
      </c>
      <c r="I18" s="31">
        <f t="shared" si="8"/>
        <v>136.5</v>
      </c>
      <c r="J18" s="31">
        <f t="shared" si="8"/>
        <v>139.4</v>
      </c>
      <c r="K18" s="31">
        <f t="shared" si="8"/>
        <v>1.23</v>
      </c>
      <c r="L18" s="31" t="str">
        <f t="shared" si="3"/>
        <v>Típico</v>
      </c>
      <c r="M18" s="31">
        <f>VLOOKUP(G18,AS29:AX71,6,0)</f>
        <v>118</v>
      </c>
      <c r="N18" s="31" t="str">
        <f t="shared" si="4"/>
        <v>Acima da Média</v>
      </c>
    </row>
    <row r="19">
      <c r="F19" s="31" t="s">
        <v>24</v>
      </c>
      <c r="G19" s="32">
        <v>61.0</v>
      </c>
      <c r="H19" s="31">
        <f t="shared" ref="H19:K19" si="9">VLOOKUP(G19,BA29:BF115,2,0)</f>
        <v>104.3</v>
      </c>
      <c r="I19" s="31">
        <f t="shared" si="9"/>
        <v>103.6</v>
      </c>
      <c r="J19" s="31">
        <f t="shared" si="9"/>
        <v>105.1</v>
      </c>
      <c r="K19" s="31">
        <f t="shared" si="9"/>
        <v>-0.92</v>
      </c>
      <c r="L19" s="31" t="str">
        <f t="shared" si="3"/>
        <v>Típico</v>
      </c>
      <c r="M19" s="31">
        <f>VLOOKUP(G19,BA29:BF115,6,0)</f>
        <v>86</v>
      </c>
      <c r="N19" s="31" t="str">
        <f t="shared" si="4"/>
        <v>Médio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</row>
    <row r="25" ht="15.75" customHeight="1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</row>
    <row r="26" ht="15.75" customHeight="1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</row>
    <row r="27" ht="15.75" customHeight="1">
      <c r="A27" s="25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7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</row>
    <row r="28" ht="15.75" customHeight="1">
      <c r="A28" s="25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</row>
    <row r="29" ht="15.75" customHeight="1">
      <c r="A29" s="25"/>
      <c r="B29" s="26"/>
      <c r="C29" s="26">
        <v>0.0</v>
      </c>
      <c r="D29" s="26">
        <v>82.7</v>
      </c>
      <c r="E29" s="26">
        <v>79.1</v>
      </c>
      <c r="F29" s="26">
        <v>86.3</v>
      </c>
      <c r="G29" s="26">
        <v>-5.64</v>
      </c>
      <c r="H29" s="26">
        <v>15.0</v>
      </c>
      <c r="I29" s="26"/>
      <c r="J29" s="26"/>
      <c r="K29" s="26">
        <v>0.0</v>
      </c>
      <c r="L29" s="26">
        <v>87.2</v>
      </c>
      <c r="M29" s="26">
        <v>83.6</v>
      </c>
      <c r="N29" s="26">
        <v>90.8</v>
      </c>
      <c r="O29" s="26">
        <v>-9.07</v>
      </c>
      <c r="P29" s="26">
        <v>-36.0</v>
      </c>
      <c r="Q29" s="26"/>
      <c r="R29" s="26">
        <v>0.0</v>
      </c>
      <c r="S29" s="26">
        <v>96.8</v>
      </c>
      <c r="T29" s="26">
        <v>93.6</v>
      </c>
      <c r="U29" s="26">
        <v>100.0</v>
      </c>
      <c r="V29" s="26">
        <v>-5.43</v>
      </c>
      <c r="W29" s="26">
        <v>19.0</v>
      </c>
      <c r="X29" s="26"/>
      <c r="Y29" s="26"/>
      <c r="Z29" s="26">
        <v>0.0</v>
      </c>
      <c r="AA29" s="26">
        <v>70.0</v>
      </c>
      <c r="AB29" s="26">
        <v>46.4</v>
      </c>
      <c r="AC29" s="26">
        <v>93.6</v>
      </c>
      <c r="AD29" s="26">
        <v>-12.27</v>
      </c>
      <c r="AE29" s="26">
        <v>-84.0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104.4</v>
      </c>
      <c r="AU29" s="26">
        <v>101.0</v>
      </c>
      <c r="AV29" s="26">
        <v>107.8</v>
      </c>
      <c r="AW29" s="26">
        <v>-5.33</v>
      </c>
      <c r="AX29" s="26">
        <v>20.0</v>
      </c>
      <c r="AY29" s="26"/>
      <c r="AZ29" s="26"/>
      <c r="BA29" s="26">
        <v>0.0</v>
      </c>
      <c r="BB29" s="26">
        <v>81.8</v>
      </c>
      <c r="BC29" s="26">
        <v>78.3</v>
      </c>
      <c r="BD29" s="26">
        <v>85.3</v>
      </c>
      <c r="BE29" s="26">
        <v>-7.58</v>
      </c>
      <c r="BF29" s="26">
        <v>-14.0</v>
      </c>
      <c r="BG29" s="26"/>
      <c r="BH29" s="26"/>
      <c r="BI29" s="26"/>
      <c r="BJ29" s="26"/>
    </row>
    <row r="30" ht="15.75" customHeight="1">
      <c r="A30" s="25"/>
      <c r="B30" s="26"/>
      <c r="C30" s="26">
        <v>1.0</v>
      </c>
      <c r="D30" s="26">
        <v>86.7</v>
      </c>
      <c r="E30" s="26">
        <v>81.7</v>
      </c>
      <c r="F30" s="26">
        <v>91.7</v>
      </c>
      <c r="G30" s="26">
        <v>-5.06</v>
      </c>
      <c r="H30" s="26">
        <v>24.0</v>
      </c>
      <c r="I30" s="26"/>
      <c r="J30" s="26"/>
      <c r="K30" s="26">
        <v>1.0</v>
      </c>
      <c r="L30" s="26">
        <v>90.4</v>
      </c>
      <c r="M30" s="26">
        <v>86.4</v>
      </c>
      <c r="N30" s="26">
        <v>94.3</v>
      </c>
      <c r="O30" s="26">
        <v>-8.29</v>
      </c>
      <c r="P30" s="26">
        <v>-24.0</v>
      </c>
      <c r="Q30" s="26"/>
      <c r="R30" s="26">
        <v>1.0</v>
      </c>
      <c r="S30" s="26">
        <v>98.4</v>
      </c>
      <c r="T30" s="26">
        <v>96.3</v>
      </c>
      <c r="U30" s="26">
        <v>100.4</v>
      </c>
      <c r="V30" s="26">
        <v>-5.17</v>
      </c>
      <c r="W30" s="26">
        <v>22.0</v>
      </c>
      <c r="X30" s="26"/>
      <c r="Y30" s="26"/>
      <c r="Z30" s="26">
        <v>1.0</v>
      </c>
      <c r="AA30" s="26">
        <v>79.0</v>
      </c>
      <c r="AB30" s="26">
        <v>66.4</v>
      </c>
      <c r="AC30" s="26">
        <v>91.5</v>
      </c>
      <c r="AD30" s="26">
        <v>-10.53</v>
      </c>
      <c r="AE30" s="26">
        <v>-58.0</v>
      </c>
      <c r="AF30" s="26"/>
      <c r="AG30" s="26"/>
      <c r="AH30" s="26"/>
      <c r="AI30" s="26">
        <v>0.0</v>
      </c>
      <c r="AJ30" s="26">
        <v>110.3</v>
      </c>
      <c r="AK30" s="26">
        <v>106.9</v>
      </c>
      <c r="AL30" s="26">
        <v>113.6</v>
      </c>
      <c r="AM30" s="26">
        <v>-5.12</v>
      </c>
      <c r="AN30" s="26">
        <v>31.0</v>
      </c>
      <c r="AO30" s="26"/>
      <c r="AP30" s="26"/>
      <c r="AQ30" s="26"/>
      <c r="AR30" s="26"/>
      <c r="AS30" s="26">
        <v>1.0</v>
      </c>
      <c r="AT30" s="26">
        <v>106.3</v>
      </c>
      <c r="AU30" s="26">
        <v>103.9</v>
      </c>
      <c r="AV30" s="26">
        <v>108.6</v>
      </c>
      <c r="AW30" s="26">
        <v>-4.96</v>
      </c>
      <c r="AX30" s="26">
        <v>26.0</v>
      </c>
      <c r="AY30" s="26"/>
      <c r="AZ30" s="26"/>
      <c r="BA30" s="26">
        <v>1.0</v>
      </c>
      <c r="BB30" s="26">
        <v>84.2</v>
      </c>
      <c r="BC30" s="26">
        <v>81.3</v>
      </c>
      <c r="BD30" s="26">
        <v>87.1</v>
      </c>
      <c r="BE30" s="26">
        <v>-6.88</v>
      </c>
      <c r="BF30" s="26">
        <v>-3.0</v>
      </c>
      <c r="BG30" s="26"/>
      <c r="BH30" s="26"/>
      <c r="BI30" s="26"/>
      <c r="BJ30" s="26"/>
    </row>
    <row r="31" ht="15.75" customHeight="1">
      <c r="A31" s="25"/>
      <c r="B31" s="26"/>
      <c r="C31" s="26">
        <v>2.0</v>
      </c>
      <c r="D31" s="26">
        <v>88.7</v>
      </c>
      <c r="E31" s="26">
        <v>87.2</v>
      </c>
      <c r="F31" s="26">
        <v>90.2</v>
      </c>
      <c r="G31" s="26">
        <v>-4.78</v>
      </c>
      <c r="H31" s="26">
        <v>28.0</v>
      </c>
      <c r="I31" s="26"/>
      <c r="J31" s="26"/>
      <c r="K31" s="26">
        <v>2.0</v>
      </c>
      <c r="L31" s="26">
        <v>93.3</v>
      </c>
      <c r="M31" s="26">
        <v>91.1</v>
      </c>
      <c r="N31" s="26">
        <v>95.4</v>
      </c>
      <c r="O31" s="26">
        <v>-7.57</v>
      </c>
      <c r="P31" s="26">
        <v>-14.0</v>
      </c>
      <c r="Q31" s="26"/>
      <c r="R31" s="26">
        <v>2.0</v>
      </c>
      <c r="S31" s="26">
        <v>99.7</v>
      </c>
      <c r="T31" s="26">
        <v>97.9</v>
      </c>
      <c r="U31" s="26">
        <v>101.6</v>
      </c>
      <c r="V31" s="26">
        <v>-4.94</v>
      </c>
      <c r="W31" s="26">
        <v>26.0</v>
      </c>
      <c r="X31" s="26"/>
      <c r="Y31" s="26"/>
      <c r="Z31" s="26">
        <v>2.0</v>
      </c>
      <c r="AA31" s="26">
        <v>83.9</v>
      </c>
      <c r="AB31" s="26">
        <v>75.2</v>
      </c>
      <c r="AC31" s="26">
        <v>92.6</v>
      </c>
      <c r="AD31" s="26">
        <v>-9.57</v>
      </c>
      <c r="AE31" s="26">
        <v>-44.0</v>
      </c>
      <c r="AF31" s="26"/>
      <c r="AG31" s="26"/>
      <c r="AH31" s="26"/>
      <c r="AI31" s="26">
        <v>1.0</v>
      </c>
      <c r="AJ31" s="26">
        <v>112.2</v>
      </c>
      <c r="AK31" s="26">
        <v>109.8</v>
      </c>
      <c r="AL31" s="26">
        <v>114.5</v>
      </c>
      <c r="AM31" s="26">
        <v>-4.8</v>
      </c>
      <c r="AN31" s="26">
        <v>36.0</v>
      </c>
      <c r="AO31" s="26"/>
      <c r="AP31" s="26"/>
      <c r="AQ31" s="26"/>
      <c r="AR31" s="26"/>
      <c r="AS31" s="26">
        <v>2.0</v>
      </c>
      <c r="AT31" s="26">
        <v>108.0</v>
      </c>
      <c r="AU31" s="26">
        <v>105.9</v>
      </c>
      <c r="AV31" s="26">
        <v>110.2</v>
      </c>
      <c r="AW31" s="26">
        <v>-4.62</v>
      </c>
      <c r="AX31" s="26">
        <v>31.0</v>
      </c>
      <c r="AY31" s="26"/>
      <c r="AZ31" s="26"/>
      <c r="BA31" s="26">
        <v>2.0</v>
      </c>
      <c r="BB31" s="26">
        <v>86.3</v>
      </c>
      <c r="BC31" s="26">
        <v>84.3</v>
      </c>
      <c r="BD31" s="26">
        <v>88.3</v>
      </c>
      <c r="BE31" s="26">
        <v>-6.25</v>
      </c>
      <c r="BF31" s="26">
        <v>6.0</v>
      </c>
      <c r="BG31" s="26"/>
      <c r="BH31" s="26"/>
      <c r="BI31" s="26"/>
      <c r="BJ31" s="26"/>
    </row>
    <row r="32" ht="15.75" customHeight="1">
      <c r="A32" s="25"/>
      <c r="B32" s="26"/>
      <c r="C32" s="26">
        <v>3.0</v>
      </c>
      <c r="D32" s="26">
        <v>89.4</v>
      </c>
      <c r="E32" s="26">
        <v>88.0</v>
      </c>
      <c r="F32" s="26">
        <v>90.8</v>
      </c>
      <c r="G32" s="26">
        <v>-4.67</v>
      </c>
      <c r="H32" s="26">
        <v>30.0</v>
      </c>
      <c r="I32" s="26"/>
      <c r="J32" s="26"/>
      <c r="K32" s="26">
        <v>3.0</v>
      </c>
      <c r="L32" s="26">
        <v>94.8</v>
      </c>
      <c r="M32" s="26">
        <v>92.7</v>
      </c>
      <c r="N32" s="26">
        <v>97.0</v>
      </c>
      <c r="O32" s="26">
        <v>-7.17</v>
      </c>
      <c r="P32" s="26">
        <v>-8.0</v>
      </c>
      <c r="Q32" s="26"/>
      <c r="R32" s="26">
        <v>3.0</v>
      </c>
      <c r="S32" s="26">
        <v>101.0</v>
      </c>
      <c r="T32" s="26">
        <v>99.1</v>
      </c>
      <c r="U32" s="26">
        <v>102.9</v>
      </c>
      <c r="V32" s="26">
        <v>-4.73</v>
      </c>
      <c r="W32" s="26">
        <v>29.0</v>
      </c>
      <c r="X32" s="26"/>
      <c r="Y32" s="26"/>
      <c r="Z32" s="26">
        <v>3.0</v>
      </c>
      <c r="AA32" s="26">
        <v>86.7</v>
      </c>
      <c r="AB32" s="26">
        <v>79.6</v>
      </c>
      <c r="AC32" s="26">
        <v>93.8</v>
      </c>
      <c r="AD32" s="26">
        <v>-9.02</v>
      </c>
      <c r="AE32" s="26">
        <v>-35.0</v>
      </c>
      <c r="AF32" s="26"/>
      <c r="AG32" s="26"/>
      <c r="AH32" s="26"/>
      <c r="AI32" s="26">
        <v>2.0</v>
      </c>
      <c r="AJ32" s="26">
        <v>114.0</v>
      </c>
      <c r="AK32" s="26">
        <v>111.9</v>
      </c>
      <c r="AL32" s="26">
        <v>116.1</v>
      </c>
      <c r="AM32" s="26">
        <v>-4.5</v>
      </c>
      <c r="AN32" s="26">
        <v>40.0</v>
      </c>
      <c r="AO32" s="26"/>
      <c r="AP32" s="26"/>
      <c r="AQ32" s="26"/>
      <c r="AR32" s="26"/>
      <c r="AS32" s="26">
        <v>3.0</v>
      </c>
      <c r="AT32" s="26">
        <v>111.3</v>
      </c>
      <c r="AU32" s="26">
        <v>106.8</v>
      </c>
      <c r="AV32" s="26">
        <v>115.9</v>
      </c>
      <c r="AW32" s="26">
        <v>-3.98</v>
      </c>
      <c r="AX32" s="26">
        <v>40.0</v>
      </c>
      <c r="AY32" s="26"/>
      <c r="AZ32" s="26"/>
      <c r="BA32" s="26">
        <v>3.0</v>
      </c>
      <c r="BB32" s="26">
        <v>87.5</v>
      </c>
      <c r="BC32" s="26">
        <v>85.8</v>
      </c>
      <c r="BD32" s="26">
        <v>89.2</v>
      </c>
      <c r="BE32" s="26">
        <v>-5.89</v>
      </c>
      <c r="BF32" s="26">
        <v>12.0</v>
      </c>
      <c r="BG32" s="26"/>
      <c r="BH32" s="26"/>
      <c r="BI32" s="26"/>
      <c r="BJ32" s="26"/>
    </row>
    <row r="33" ht="15.75" customHeight="1">
      <c r="A33" s="25"/>
      <c r="B33" s="26"/>
      <c r="C33" s="26">
        <v>4.0</v>
      </c>
      <c r="D33" s="26">
        <v>90.1</v>
      </c>
      <c r="E33" s="26">
        <v>88.6</v>
      </c>
      <c r="F33" s="26">
        <v>91.6</v>
      </c>
      <c r="G33" s="26">
        <v>-4.56</v>
      </c>
      <c r="H33" s="26">
        <v>32.0</v>
      </c>
      <c r="I33" s="26"/>
      <c r="J33" s="26"/>
      <c r="K33" s="26">
        <v>4.0</v>
      </c>
      <c r="L33" s="26">
        <v>96.8</v>
      </c>
      <c r="M33" s="26">
        <v>94.3</v>
      </c>
      <c r="N33" s="26">
        <v>99.3</v>
      </c>
      <c r="O33" s="26">
        <v>-6.69</v>
      </c>
      <c r="P33" s="26">
        <v>0.0</v>
      </c>
      <c r="Q33" s="26"/>
      <c r="R33" s="26">
        <v>4.0</v>
      </c>
      <c r="S33" s="26">
        <v>102.1</v>
      </c>
      <c r="T33" s="26">
        <v>100.5</v>
      </c>
      <c r="U33" s="26">
        <v>103.7</v>
      </c>
      <c r="V33" s="26">
        <v>-4.54</v>
      </c>
      <c r="W33" s="26">
        <v>32.0</v>
      </c>
      <c r="X33" s="26"/>
      <c r="Y33" s="26"/>
      <c r="Z33" s="26">
        <v>4.0</v>
      </c>
      <c r="AA33" s="26">
        <v>88.7</v>
      </c>
      <c r="AB33" s="26">
        <v>82.5</v>
      </c>
      <c r="AC33" s="26">
        <v>94.9</v>
      </c>
      <c r="AD33" s="26">
        <v>-8.63</v>
      </c>
      <c r="AE33" s="26">
        <v>-29.0</v>
      </c>
      <c r="AF33" s="26"/>
      <c r="AG33" s="26"/>
      <c r="AH33" s="26"/>
      <c r="AI33" s="26">
        <v>3.0</v>
      </c>
      <c r="AJ33" s="26">
        <v>115.5</v>
      </c>
      <c r="AK33" s="26">
        <v>113.5</v>
      </c>
      <c r="AL33" s="26">
        <v>117.4</v>
      </c>
      <c r="AM33" s="26">
        <v>-4.24</v>
      </c>
      <c r="AN33" s="26">
        <v>44.0</v>
      </c>
      <c r="AO33" s="26"/>
      <c r="AP33" s="26"/>
      <c r="AQ33" s="26"/>
      <c r="AR33" s="26"/>
      <c r="AS33" s="26">
        <v>4.0</v>
      </c>
      <c r="AT33" s="26">
        <v>114.6</v>
      </c>
      <c r="AU33" s="26">
        <v>112.4</v>
      </c>
      <c r="AV33" s="26">
        <v>116.9</v>
      </c>
      <c r="AW33" s="26">
        <v>-3.33</v>
      </c>
      <c r="AX33" s="26">
        <v>50.0</v>
      </c>
      <c r="AY33" s="26"/>
      <c r="AZ33" s="26"/>
      <c r="BA33" s="26">
        <v>4.0</v>
      </c>
      <c r="BB33" s="26">
        <v>88.5</v>
      </c>
      <c r="BC33" s="26">
        <v>86.9</v>
      </c>
      <c r="BD33" s="26">
        <v>90.2</v>
      </c>
      <c r="BE33" s="26">
        <v>-5.59</v>
      </c>
      <c r="BF33" s="26">
        <v>16.0</v>
      </c>
      <c r="BG33" s="26"/>
      <c r="BH33" s="26"/>
      <c r="BI33" s="26"/>
      <c r="BJ33" s="26"/>
    </row>
    <row r="34" ht="15.75" customHeight="1">
      <c r="A34" s="25"/>
      <c r="B34" s="26"/>
      <c r="C34" s="26">
        <v>5.0</v>
      </c>
      <c r="D34" s="26">
        <v>92.6</v>
      </c>
      <c r="E34" s="26">
        <v>86.1</v>
      </c>
      <c r="F34" s="26">
        <v>99.1</v>
      </c>
      <c r="G34" s="26">
        <v>-4.21</v>
      </c>
      <c r="H34" s="26">
        <v>37.0</v>
      </c>
      <c r="I34" s="26"/>
      <c r="J34" s="26"/>
      <c r="K34" s="26">
        <v>5.0</v>
      </c>
      <c r="L34" s="26">
        <v>99.7</v>
      </c>
      <c r="M34" s="26">
        <v>96.6</v>
      </c>
      <c r="N34" s="26">
        <v>102.7</v>
      </c>
      <c r="O34" s="26">
        <v>-5.98</v>
      </c>
      <c r="P34" s="26">
        <v>10.0</v>
      </c>
      <c r="Q34" s="26"/>
      <c r="R34" s="26">
        <v>5.0</v>
      </c>
      <c r="S34" s="26">
        <v>102.9</v>
      </c>
      <c r="T34" s="26">
        <v>101.5</v>
      </c>
      <c r="U34" s="26">
        <v>104.3</v>
      </c>
      <c r="V34" s="26">
        <v>-4.41</v>
      </c>
      <c r="W34" s="26">
        <v>34.0</v>
      </c>
      <c r="X34" s="26"/>
      <c r="Y34" s="26"/>
      <c r="Z34" s="26">
        <v>5.0</v>
      </c>
      <c r="AA34" s="26">
        <v>90.3</v>
      </c>
      <c r="AB34" s="26">
        <v>84.7</v>
      </c>
      <c r="AC34" s="26">
        <v>95.9</v>
      </c>
      <c r="AD34" s="26">
        <v>-8.32</v>
      </c>
      <c r="AE34" s="26">
        <v>-25.0</v>
      </c>
      <c r="AF34" s="26"/>
      <c r="AG34" s="26"/>
      <c r="AH34" s="26"/>
      <c r="AI34" s="26">
        <v>4.0</v>
      </c>
      <c r="AJ34" s="26">
        <v>116.7</v>
      </c>
      <c r="AK34" s="26">
        <v>115.0</v>
      </c>
      <c r="AL34" s="26">
        <v>118.3</v>
      </c>
      <c r="AM34" s="26">
        <v>-4.05</v>
      </c>
      <c r="AN34" s="26">
        <v>47.0</v>
      </c>
      <c r="AO34" s="26"/>
      <c r="AP34" s="26"/>
      <c r="AQ34" s="26"/>
      <c r="AR34" s="26"/>
      <c r="AS34" s="26">
        <v>5.0</v>
      </c>
      <c r="AT34" s="26">
        <v>116.7</v>
      </c>
      <c r="AU34" s="26">
        <v>114.2</v>
      </c>
      <c r="AV34" s="26">
        <v>119.3</v>
      </c>
      <c r="AW34" s="26">
        <v>-2.92</v>
      </c>
      <c r="AX34" s="26">
        <v>56.0</v>
      </c>
      <c r="AY34" s="26"/>
      <c r="AZ34" s="26"/>
      <c r="BA34" s="26">
        <v>5.0</v>
      </c>
      <c r="BB34" s="26">
        <v>89.4</v>
      </c>
      <c r="BC34" s="26">
        <v>88.0</v>
      </c>
      <c r="BD34" s="26">
        <v>90.9</v>
      </c>
      <c r="BE34" s="26">
        <v>-5.32</v>
      </c>
      <c r="BF34" s="26">
        <v>20.0</v>
      </c>
      <c r="BG34" s="26"/>
      <c r="BH34" s="26"/>
      <c r="BI34" s="26"/>
      <c r="BJ34" s="26"/>
    </row>
    <row r="35" ht="15.75" customHeight="1">
      <c r="A35" s="25"/>
      <c r="B35" s="26"/>
      <c r="C35" s="26">
        <v>6.0</v>
      </c>
      <c r="D35" s="26">
        <v>95.1</v>
      </c>
      <c r="E35" s="26">
        <v>93.7</v>
      </c>
      <c r="F35" s="26">
        <v>96.5</v>
      </c>
      <c r="G35" s="26">
        <v>-3.84</v>
      </c>
      <c r="H35" s="26">
        <v>42.0</v>
      </c>
      <c r="I35" s="26"/>
      <c r="J35" s="26"/>
      <c r="K35" s="26">
        <v>6.0</v>
      </c>
      <c r="L35" s="26">
        <v>101.4</v>
      </c>
      <c r="M35" s="26">
        <v>99.9</v>
      </c>
      <c r="N35" s="26">
        <v>102.9</v>
      </c>
      <c r="O35" s="26">
        <v>-5.55</v>
      </c>
      <c r="P35" s="26">
        <v>17.0</v>
      </c>
      <c r="Q35" s="26"/>
      <c r="R35" s="26">
        <v>6.0</v>
      </c>
      <c r="S35" s="26">
        <v>103.6</v>
      </c>
      <c r="T35" s="26">
        <v>102.3</v>
      </c>
      <c r="U35" s="26">
        <v>104.9</v>
      </c>
      <c r="V35" s="26">
        <v>-4.29</v>
      </c>
      <c r="W35" s="26">
        <v>36.0</v>
      </c>
      <c r="X35" s="26"/>
      <c r="Y35" s="26"/>
      <c r="Z35" s="26">
        <v>6.0</v>
      </c>
      <c r="AA35" s="26">
        <v>91.6</v>
      </c>
      <c r="AB35" s="26">
        <v>86.4</v>
      </c>
      <c r="AC35" s="26">
        <v>96.8</v>
      </c>
      <c r="AD35" s="26">
        <v>-8.06</v>
      </c>
      <c r="AE35" s="26">
        <v>-21.0</v>
      </c>
      <c r="AF35" s="26"/>
      <c r="AG35" s="26"/>
      <c r="AH35" s="26"/>
      <c r="AI35" s="26">
        <v>5.0</v>
      </c>
      <c r="AJ35" s="26">
        <v>117.5</v>
      </c>
      <c r="AK35" s="26">
        <v>116.1</v>
      </c>
      <c r="AL35" s="26">
        <v>118.9</v>
      </c>
      <c r="AM35" s="26">
        <v>-3.91</v>
      </c>
      <c r="AN35" s="26">
        <v>49.0</v>
      </c>
      <c r="AO35" s="26"/>
      <c r="AP35" s="26"/>
      <c r="AQ35" s="26"/>
      <c r="AR35" s="26"/>
      <c r="AS35" s="26">
        <v>6.0</v>
      </c>
      <c r="AT35" s="26">
        <v>118.5</v>
      </c>
      <c r="AU35" s="26">
        <v>116.7</v>
      </c>
      <c r="AV35" s="26">
        <v>120.4</v>
      </c>
      <c r="AW35" s="26">
        <v>-2.57</v>
      </c>
      <c r="AX35" s="26">
        <v>62.0</v>
      </c>
      <c r="AY35" s="26"/>
      <c r="AZ35" s="26"/>
      <c r="BA35" s="26">
        <v>6.0</v>
      </c>
      <c r="BB35" s="26">
        <v>90.1</v>
      </c>
      <c r="BC35" s="26">
        <v>88.9</v>
      </c>
      <c r="BD35" s="26">
        <v>91.3</v>
      </c>
      <c r="BE35" s="26">
        <v>-5.14</v>
      </c>
      <c r="BF35" s="26">
        <v>23.0</v>
      </c>
      <c r="BG35" s="26"/>
      <c r="BH35" s="26"/>
      <c r="BI35" s="26"/>
      <c r="BJ35" s="26"/>
    </row>
    <row r="36" ht="15.75" customHeight="1">
      <c r="A36" s="25"/>
      <c r="B36" s="26"/>
      <c r="C36" s="26">
        <v>7.0</v>
      </c>
      <c r="D36" s="26">
        <v>95.7</v>
      </c>
      <c r="E36" s="26">
        <v>94.5</v>
      </c>
      <c r="F36" s="26">
        <v>96.8</v>
      </c>
      <c r="G36" s="26">
        <v>-3.76</v>
      </c>
      <c r="H36" s="26">
        <v>44.0</v>
      </c>
      <c r="I36" s="26"/>
      <c r="J36" s="26"/>
      <c r="K36" s="26">
        <v>7.0</v>
      </c>
      <c r="L36" s="26">
        <v>102.0</v>
      </c>
      <c r="M36" s="26">
        <v>100.8</v>
      </c>
      <c r="N36" s="26">
        <v>103.2</v>
      </c>
      <c r="O36" s="26">
        <v>-5.4</v>
      </c>
      <c r="P36" s="26">
        <v>19.0</v>
      </c>
      <c r="Q36" s="26"/>
      <c r="R36" s="26">
        <v>7.0</v>
      </c>
      <c r="S36" s="26">
        <v>104.2</v>
      </c>
      <c r="T36" s="26">
        <v>102.9</v>
      </c>
      <c r="U36" s="26">
        <v>105.5</v>
      </c>
      <c r="V36" s="26">
        <v>-4.19</v>
      </c>
      <c r="W36" s="26">
        <v>37.0</v>
      </c>
      <c r="X36" s="26"/>
      <c r="Y36" s="26"/>
      <c r="Z36" s="26">
        <v>7.0</v>
      </c>
      <c r="AA36" s="26">
        <v>92.8</v>
      </c>
      <c r="AB36" s="26">
        <v>87.9</v>
      </c>
      <c r="AC36" s="26">
        <v>97.6</v>
      </c>
      <c r="AD36" s="26">
        <v>-7.84</v>
      </c>
      <c r="AE36" s="26">
        <v>-18.0</v>
      </c>
      <c r="AF36" s="26"/>
      <c r="AG36" s="26"/>
      <c r="AH36" s="26"/>
      <c r="AI36" s="26">
        <v>6.0</v>
      </c>
      <c r="AJ36" s="26">
        <v>118.1</v>
      </c>
      <c r="AK36" s="26">
        <v>116.9</v>
      </c>
      <c r="AL36" s="26">
        <v>119.4</v>
      </c>
      <c r="AM36" s="26">
        <v>-3.8</v>
      </c>
      <c r="AN36" s="26">
        <v>50.0</v>
      </c>
      <c r="AO36" s="26"/>
      <c r="AP36" s="26"/>
      <c r="AQ36" s="26"/>
      <c r="AR36" s="26"/>
      <c r="AS36" s="26">
        <v>7.0</v>
      </c>
      <c r="AT36" s="26">
        <v>119.5</v>
      </c>
      <c r="AU36" s="26">
        <v>118.0</v>
      </c>
      <c r="AV36" s="26">
        <v>121.1</v>
      </c>
      <c r="AW36" s="26">
        <v>-2.37</v>
      </c>
      <c r="AX36" s="26">
        <v>64.0</v>
      </c>
      <c r="AY36" s="26"/>
      <c r="AZ36" s="26"/>
      <c r="BA36" s="26">
        <v>7.0</v>
      </c>
      <c r="BB36" s="26">
        <v>90.5</v>
      </c>
      <c r="BC36" s="26">
        <v>89.5</v>
      </c>
      <c r="BD36" s="26">
        <v>91.5</v>
      </c>
      <c r="BE36" s="26">
        <v>-5.01</v>
      </c>
      <c r="BF36" s="26">
        <v>25.0</v>
      </c>
      <c r="BG36" s="26"/>
      <c r="BH36" s="26"/>
      <c r="BI36" s="26"/>
      <c r="BJ36" s="26"/>
    </row>
    <row r="37" ht="15.75" customHeight="1">
      <c r="A37" s="25"/>
      <c r="B37" s="26"/>
      <c r="C37" s="26">
        <v>8.0</v>
      </c>
      <c r="D37" s="26">
        <v>96.2</v>
      </c>
      <c r="E37" s="26">
        <v>94.9</v>
      </c>
      <c r="F37" s="26">
        <v>97.4</v>
      </c>
      <c r="G37" s="26">
        <v>-3.68</v>
      </c>
      <c r="H37" s="26">
        <v>45.0</v>
      </c>
      <c r="I37" s="26"/>
      <c r="J37" s="26"/>
      <c r="K37" s="26">
        <v>8.0</v>
      </c>
      <c r="L37" s="26">
        <v>102.4</v>
      </c>
      <c r="M37" s="26">
        <v>101.4</v>
      </c>
      <c r="N37" s="26">
        <v>103.5</v>
      </c>
      <c r="O37" s="26">
        <v>-5.28</v>
      </c>
      <c r="P37" s="26">
        <v>21.0</v>
      </c>
      <c r="Q37" s="26"/>
      <c r="R37" s="26">
        <v>8.0</v>
      </c>
      <c r="S37" s="26">
        <v>104.8</v>
      </c>
      <c r="T37" s="26">
        <v>103.5</v>
      </c>
      <c r="U37" s="26">
        <v>106.1</v>
      </c>
      <c r="V37" s="26">
        <v>-4.09</v>
      </c>
      <c r="W37" s="26">
        <v>39.0</v>
      </c>
      <c r="X37" s="26"/>
      <c r="Y37" s="26"/>
      <c r="Z37" s="26">
        <v>8.0</v>
      </c>
      <c r="AA37" s="26">
        <v>93.8</v>
      </c>
      <c r="AB37" s="26">
        <v>89.2</v>
      </c>
      <c r="AC37" s="26">
        <v>98.4</v>
      </c>
      <c r="AD37" s="26">
        <v>-7.64</v>
      </c>
      <c r="AE37" s="26">
        <v>-15.0</v>
      </c>
      <c r="AF37" s="26"/>
      <c r="AG37" s="26"/>
      <c r="AH37" s="26"/>
      <c r="AI37" s="26">
        <v>7.0</v>
      </c>
      <c r="AJ37" s="26">
        <v>118.7</v>
      </c>
      <c r="AK37" s="26">
        <v>117.5</v>
      </c>
      <c r="AL37" s="26">
        <v>119.9</v>
      </c>
      <c r="AM37" s="26">
        <v>-3.7</v>
      </c>
      <c r="AN37" s="26">
        <v>52.0</v>
      </c>
      <c r="AO37" s="26"/>
      <c r="AP37" s="26"/>
      <c r="AQ37" s="26"/>
      <c r="AR37" s="26"/>
      <c r="AS37" s="26">
        <v>8.0</v>
      </c>
      <c r="AT37" s="26">
        <v>120.3</v>
      </c>
      <c r="AU37" s="26">
        <v>118.9</v>
      </c>
      <c r="AV37" s="26">
        <v>121.7</v>
      </c>
      <c r="AW37" s="26">
        <v>-2.22</v>
      </c>
      <c r="AX37" s="26">
        <v>67.0</v>
      </c>
      <c r="AY37" s="26"/>
      <c r="AZ37" s="26"/>
      <c r="BA37" s="26">
        <v>8.0</v>
      </c>
      <c r="BB37" s="26">
        <v>90.8</v>
      </c>
      <c r="BC37" s="26">
        <v>89.9</v>
      </c>
      <c r="BD37" s="26">
        <v>91.8</v>
      </c>
      <c r="BE37" s="26">
        <v>-4.91</v>
      </c>
      <c r="BF37" s="26">
        <v>26.0</v>
      </c>
      <c r="BG37" s="26"/>
      <c r="BH37" s="26"/>
      <c r="BI37" s="26"/>
      <c r="BJ37" s="26"/>
    </row>
    <row r="38" ht="15.75" customHeight="1">
      <c r="A38" s="25"/>
      <c r="B38" s="26"/>
      <c r="C38" s="26">
        <v>9.0</v>
      </c>
      <c r="D38" s="26">
        <v>97.0</v>
      </c>
      <c r="E38" s="26">
        <v>95.2</v>
      </c>
      <c r="F38" s="26">
        <v>98.7</v>
      </c>
      <c r="G38" s="26">
        <v>-3.57</v>
      </c>
      <c r="H38" s="26">
        <v>46.0</v>
      </c>
      <c r="I38" s="26"/>
      <c r="J38" s="26"/>
      <c r="K38" s="26">
        <v>9.0</v>
      </c>
      <c r="L38" s="26">
        <v>102.8</v>
      </c>
      <c r="M38" s="26">
        <v>101.8</v>
      </c>
      <c r="N38" s="26">
        <v>103.8</v>
      </c>
      <c r="O38" s="26">
        <v>-5.19</v>
      </c>
      <c r="P38" s="26">
        <v>22.0</v>
      </c>
      <c r="Q38" s="26"/>
      <c r="R38" s="26">
        <v>9.0</v>
      </c>
      <c r="S38" s="26">
        <v>105.5</v>
      </c>
      <c r="T38" s="26">
        <v>104.1</v>
      </c>
      <c r="U38" s="26">
        <v>106.8</v>
      </c>
      <c r="V38" s="26">
        <v>-3.98</v>
      </c>
      <c r="W38" s="26">
        <v>40.0</v>
      </c>
      <c r="X38" s="26"/>
      <c r="Y38" s="26"/>
      <c r="Z38" s="26">
        <v>9.0</v>
      </c>
      <c r="AA38" s="26">
        <v>94.8</v>
      </c>
      <c r="AB38" s="26">
        <v>90.3</v>
      </c>
      <c r="AC38" s="26">
        <v>99.2</v>
      </c>
      <c r="AD38" s="26">
        <v>-7.46</v>
      </c>
      <c r="AE38" s="26">
        <v>-12.0</v>
      </c>
      <c r="AF38" s="26"/>
      <c r="AG38" s="26"/>
      <c r="AH38" s="26"/>
      <c r="AI38" s="26">
        <v>8.0</v>
      </c>
      <c r="AJ38" s="26">
        <v>119.2</v>
      </c>
      <c r="AK38" s="26">
        <v>118.1</v>
      </c>
      <c r="AL38" s="26">
        <v>120.2</v>
      </c>
      <c r="AM38" s="26">
        <v>-3.63</v>
      </c>
      <c r="AN38" s="26">
        <v>53.0</v>
      </c>
      <c r="AO38" s="26"/>
      <c r="AP38" s="26"/>
      <c r="AQ38" s="26"/>
      <c r="AR38" s="26"/>
      <c r="AS38" s="26">
        <v>9.0</v>
      </c>
      <c r="AT38" s="26">
        <v>121.0</v>
      </c>
      <c r="AU38" s="26">
        <v>119.7</v>
      </c>
      <c r="AV38" s="26">
        <v>122.3</v>
      </c>
      <c r="AW38" s="26">
        <v>-2.09</v>
      </c>
      <c r="AX38" s="26">
        <v>69.0</v>
      </c>
      <c r="AY38" s="26"/>
      <c r="AZ38" s="26"/>
      <c r="BA38" s="26">
        <v>9.0</v>
      </c>
      <c r="BB38" s="26">
        <v>91.1</v>
      </c>
      <c r="BC38" s="26">
        <v>90.3</v>
      </c>
      <c r="BD38" s="26">
        <v>92.0</v>
      </c>
      <c r="BE38" s="26">
        <v>-4.82</v>
      </c>
      <c r="BF38" s="26">
        <v>28.0</v>
      </c>
      <c r="BG38" s="26"/>
      <c r="BH38" s="26"/>
      <c r="BI38" s="26"/>
      <c r="BJ38" s="26"/>
    </row>
    <row r="39" ht="15.75" customHeight="1">
      <c r="A39" s="25"/>
      <c r="B39" s="26"/>
      <c r="C39" s="26">
        <v>10.0</v>
      </c>
      <c r="D39" s="26">
        <v>99.6</v>
      </c>
      <c r="E39" s="26">
        <v>96.6</v>
      </c>
      <c r="F39" s="26">
        <v>102.5</v>
      </c>
      <c r="G39" s="26">
        <v>-3.19</v>
      </c>
      <c r="H39" s="26">
        <v>52.0</v>
      </c>
      <c r="I39" s="26"/>
      <c r="J39" s="26"/>
      <c r="K39" s="26">
        <v>10.0</v>
      </c>
      <c r="L39" s="26">
        <v>103.2</v>
      </c>
      <c r="M39" s="26">
        <v>102.2</v>
      </c>
      <c r="N39" s="26">
        <v>104.2</v>
      </c>
      <c r="O39" s="26">
        <v>-5.1</v>
      </c>
      <c r="P39" s="26">
        <v>24.0</v>
      </c>
      <c r="Q39" s="26"/>
      <c r="R39" s="26">
        <v>10.0</v>
      </c>
      <c r="S39" s="26">
        <v>106.1</v>
      </c>
      <c r="T39" s="26">
        <v>104.8</v>
      </c>
      <c r="U39" s="26">
        <v>107.5</v>
      </c>
      <c r="V39" s="26">
        <v>-3.87</v>
      </c>
      <c r="W39" s="26">
        <v>42.0</v>
      </c>
      <c r="X39" s="26"/>
      <c r="Y39" s="26"/>
      <c r="Z39" s="26">
        <v>10.0</v>
      </c>
      <c r="AA39" s="26">
        <v>95.6</v>
      </c>
      <c r="AB39" s="26">
        <v>91.4</v>
      </c>
      <c r="AC39" s="26">
        <v>99.9</v>
      </c>
      <c r="AD39" s="26">
        <v>-7.29</v>
      </c>
      <c r="AE39" s="26">
        <v>-9.0</v>
      </c>
      <c r="AF39" s="26"/>
      <c r="AG39" s="26"/>
      <c r="AH39" s="26"/>
      <c r="AI39" s="26">
        <v>9.0</v>
      </c>
      <c r="AJ39" s="26">
        <v>119.6</v>
      </c>
      <c r="AK39" s="26">
        <v>118.5</v>
      </c>
      <c r="AL39" s="26">
        <v>120.6</v>
      </c>
      <c r="AM39" s="26">
        <v>-3.56</v>
      </c>
      <c r="AN39" s="26">
        <v>54.0</v>
      </c>
      <c r="AO39" s="26"/>
      <c r="AP39" s="26"/>
      <c r="AQ39" s="26"/>
      <c r="AR39" s="26"/>
      <c r="AS39" s="26">
        <v>10.0</v>
      </c>
      <c r="AT39" s="26">
        <v>121.6</v>
      </c>
      <c r="AU39" s="26">
        <v>120.3</v>
      </c>
      <c r="AV39" s="26">
        <v>122.9</v>
      </c>
      <c r="AW39" s="26">
        <v>-1.97</v>
      </c>
      <c r="AX39" s="26">
        <v>70.0</v>
      </c>
      <c r="AY39" s="26"/>
      <c r="AZ39" s="26"/>
      <c r="BA39" s="26">
        <v>10.0</v>
      </c>
      <c r="BB39" s="26">
        <v>91.4</v>
      </c>
      <c r="BC39" s="26">
        <v>90.5</v>
      </c>
      <c r="BD39" s="26">
        <v>92.2</v>
      </c>
      <c r="BE39" s="26">
        <v>-4.75</v>
      </c>
      <c r="BF39" s="26">
        <v>29.0</v>
      </c>
      <c r="BG39" s="26"/>
      <c r="BH39" s="26"/>
      <c r="BI39" s="26"/>
      <c r="BJ39" s="26"/>
    </row>
    <row r="40" ht="15.75" customHeight="1">
      <c r="A40" s="25"/>
      <c r="B40" s="26"/>
      <c r="C40" s="26">
        <v>11.0</v>
      </c>
      <c r="D40" s="26">
        <v>100.9</v>
      </c>
      <c r="E40" s="26">
        <v>99.5</v>
      </c>
      <c r="F40" s="26">
        <v>102.3</v>
      </c>
      <c r="G40" s="26">
        <v>-2.99</v>
      </c>
      <c r="H40" s="26">
        <v>55.0</v>
      </c>
      <c r="I40" s="26"/>
      <c r="J40" s="26"/>
      <c r="K40" s="26">
        <v>11.0</v>
      </c>
      <c r="L40" s="26">
        <v>103.5</v>
      </c>
      <c r="M40" s="26">
        <v>102.6</v>
      </c>
      <c r="N40" s="26">
        <v>104.5</v>
      </c>
      <c r="O40" s="26">
        <v>-5.01</v>
      </c>
      <c r="P40" s="26">
        <v>25.0</v>
      </c>
      <c r="Q40" s="26"/>
      <c r="R40" s="26">
        <v>11.0</v>
      </c>
      <c r="S40" s="26">
        <v>106.8</v>
      </c>
      <c r="T40" s="26">
        <v>105.4</v>
      </c>
      <c r="U40" s="26">
        <v>108.2</v>
      </c>
      <c r="V40" s="26">
        <v>-3.76</v>
      </c>
      <c r="W40" s="26">
        <v>44.0</v>
      </c>
      <c r="X40" s="26"/>
      <c r="Y40" s="26"/>
      <c r="Z40" s="26">
        <v>11.0</v>
      </c>
      <c r="AA40" s="26">
        <v>96.4</v>
      </c>
      <c r="AB40" s="26">
        <v>92.3</v>
      </c>
      <c r="AC40" s="26">
        <v>100.5</v>
      </c>
      <c r="AD40" s="26">
        <v>-7.13</v>
      </c>
      <c r="AE40" s="26">
        <v>-7.0</v>
      </c>
      <c r="AF40" s="26"/>
      <c r="AG40" s="26"/>
      <c r="AH40" s="26"/>
      <c r="AI40" s="26">
        <v>10.0</v>
      </c>
      <c r="AJ40" s="26">
        <v>119.9</v>
      </c>
      <c r="AK40" s="26">
        <v>119.0</v>
      </c>
      <c r="AL40" s="26">
        <v>120.8</v>
      </c>
      <c r="AM40" s="26">
        <v>-3.5</v>
      </c>
      <c r="AN40" s="26">
        <v>55.0</v>
      </c>
      <c r="AO40" s="26"/>
      <c r="AP40" s="26"/>
      <c r="AQ40" s="26"/>
      <c r="AR40" s="26"/>
      <c r="AS40" s="26">
        <v>11.0</v>
      </c>
      <c r="AT40" s="26">
        <v>122.3</v>
      </c>
      <c r="AU40" s="26">
        <v>120.9</v>
      </c>
      <c r="AV40" s="26">
        <v>123.7</v>
      </c>
      <c r="AW40" s="26">
        <v>-1.83</v>
      </c>
      <c r="AX40" s="26">
        <v>73.0</v>
      </c>
      <c r="AY40" s="26"/>
      <c r="AZ40" s="26"/>
      <c r="BA40" s="26">
        <v>11.0</v>
      </c>
      <c r="BB40" s="26">
        <v>91.6</v>
      </c>
      <c r="BC40" s="26">
        <v>90.8</v>
      </c>
      <c r="BD40" s="26">
        <v>92.5</v>
      </c>
      <c r="BE40" s="26">
        <v>-4.67</v>
      </c>
      <c r="BF40" s="26">
        <v>30.0</v>
      </c>
      <c r="BG40" s="26"/>
      <c r="BH40" s="26"/>
      <c r="BI40" s="26"/>
      <c r="BJ40" s="26"/>
    </row>
    <row r="41" ht="15.75" customHeight="1">
      <c r="A41" s="25"/>
      <c r="B41" s="26"/>
      <c r="C41" s="26">
        <v>12.0</v>
      </c>
      <c r="D41" s="26">
        <v>101.6</v>
      </c>
      <c r="E41" s="26">
        <v>100.3</v>
      </c>
      <c r="F41" s="26">
        <v>102.8</v>
      </c>
      <c r="G41" s="26">
        <v>-2.9</v>
      </c>
      <c r="H41" s="26">
        <v>57.0</v>
      </c>
      <c r="I41" s="26"/>
      <c r="J41" s="26"/>
      <c r="K41" s="26">
        <v>12.0</v>
      </c>
      <c r="L41" s="26">
        <v>103.9</v>
      </c>
      <c r="M41" s="26">
        <v>102.9</v>
      </c>
      <c r="N41" s="26">
        <v>104.8</v>
      </c>
      <c r="O41" s="26">
        <v>-4.93</v>
      </c>
      <c r="P41" s="26">
        <v>26.0</v>
      </c>
      <c r="Q41" s="26"/>
      <c r="R41" s="26">
        <v>12.0</v>
      </c>
      <c r="S41" s="26">
        <v>107.5</v>
      </c>
      <c r="T41" s="26">
        <v>106.1</v>
      </c>
      <c r="U41" s="26">
        <v>109.0</v>
      </c>
      <c r="V41" s="26">
        <v>-3.63</v>
      </c>
      <c r="W41" s="26">
        <v>46.0</v>
      </c>
      <c r="X41" s="26"/>
      <c r="Y41" s="26"/>
      <c r="Z41" s="26">
        <v>12.0</v>
      </c>
      <c r="AA41" s="26">
        <v>97.2</v>
      </c>
      <c r="AB41" s="26">
        <v>93.2</v>
      </c>
      <c r="AC41" s="26">
        <v>101.2</v>
      </c>
      <c r="AD41" s="26">
        <v>-6.98</v>
      </c>
      <c r="AE41" s="26">
        <v>-5.0</v>
      </c>
      <c r="AF41" s="26"/>
      <c r="AG41" s="26"/>
      <c r="AH41" s="26"/>
      <c r="AI41" s="26">
        <v>11.0</v>
      </c>
      <c r="AJ41" s="26">
        <v>120.2</v>
      </c>
      <c r="AK41" s="26">
        <v>119.3</v>
      </c>
      <c r="AL41" s="26">
        <v>121.1</v>
      </c>
      <c r="AM41" s="26">
        <v>-3.45</v>
      </c>
      <c r="AN41" s="26">
        <v>56.0</v>
      </c>
      <c r="AO41" s="26"/>
      <c r="AP41" s="26"/>
      <c r="AQ41" s="26"/>
      <c r="AR41" s="26"/>
      <c r="AS41" s="26">
        <v>12.0</v>
      </c>
      <c r="AT41" s="26">
        <v>123.1</v>
      </c>
      <c r="AU41" s="26">
        <v>121.6</v>
      </c>
      <c r="AV41" s="26">
        <v>124.7</v>
      </c>
      <c r="AW41" s="26">
        <v>-1.67</v>
      </c>
      <c r="AX41" s="26">
        <v>75.0</v>
      </c>
      <c r="AY41" s="26"/>
      <c r="AZ41" s="26"/>
      <c r="BA41" s="26">
        <v>12.0</v>
      </c>
      <c r="BB41" s="26">
        <v>91.9</v>
      </c>
      <c r="BC41" s="26">
        <v>91.1</v>
      </c>
      <c r="BD41" s="26">
        <v>92.7</v>
      </c>
      <c r="BE41" s="26">
        <v>-4.6</v>
      </c>
      <c r="BF41" s="26">
        <v>31.0</v>
      </c>
      <c r="BG41" s="26"/>
      <c r="BH41" s="26"/>
      <c r="BI41" s="26"/>
      <c r="BJ41" s="26"/>
    </row>
    <row r="42" ht="15.75" customHeight="1">
      <c r="A42" s="25"/>
      <c r="B42" s="26"/>
      <c r="C42" s="26">
        <v>13.0</v>
      </c>
      <c r="D42" s="26">
        <v>102.1</v>
      </c>
      <c r="E42" s="26">
        <v>100.9</v>
      </c>
      <c r="F42" s="26">
        <v>103.2</v>
      </c>
      <c r="G42" s="26">
        <v>-2.82</v>
      </c>
      <c r="H42" s="26">
        <v>58.0</v>
      </c>
      <c r="I42" s="26"/>
      <c r="J42" s="26"/>
      <c r="K42" s="26">
        <v>13.0</v>
      </c>
      <c r="L42" s="26">
        <v>104.2</v>
      </c>
      <c r="M42" s="26">
        <v>103.2</v>
      </c>
      <c r="N42" s="26">
        <v>105.3</v>
      </c>
      <c r="O42" s="26">
        <v>-4.84</v>
      </c>
      <c r="P42" s="26">
        <v>27.0</v>
      </c>
      <c r="Q42" s="26"/>
      <c r="R42" s="26">
        <v>13.0</v>
      </c>
      <c r="S42" s="26">
        <v>108.3</v>
      </c>
      <c r="T42" s="26">
        <v>106.9</v>
      </c>
      <c r="U42" s="26">
        <v>109.7</v>
      </c>
      <c r="V42" s="26">
        <v>-3.51</v>
      </c>
      <c r="W42" s="26">
        <v>47.0</v>
      </c>
      <c r="X42" s="26"/>
      <c r="Y42" s="26"/>
      <c r="Z42" s="26">
        <v>13.0</v>
      </c>
      <c r="AA42" s="26">
        <v>97.9</v>
      </c>
      <c r="AB42" s="26">
        <v>94.0</v>
      </c>
      <c r="AC42" s="26">
        <v>101.8</v>
      </c>
      <c r="AD42" s="26">
        <v>-6.84</v>
      </c>
      <c r="AE42" s="26">
        <v>-3.0</v>
      </c>
      <c r="AF42" s="26"/>
      <c r="AG42" s="26"/>
      <c r="AH42" s="26"/>
      <c r="AI42" s="26">
        <v>12.0</v>
      </c>
      <c r="AJ42" s="26">
        <v>120.5</v>
      </c>
      <c r="AK42" s="26">
        <v>119.6</v>
      </c>
      <c r="AL42" s="26">
        <v>121.3</v>
      </c>
      <c r="AM42" s="26">
        <v>-3.4</v>
      </c>
      <c r="AN42" s="26">
        <v>56.0</v>
      </c>
      <c r="AO42" s="26"/>
      <c r="AP42" s="26"/>
      <c r="AQ42" s="26"/>
      <c r="AR42" s="26"/>
      <c r="AS42" s="26">
        <v>13.0</v>
      </c>
      <c r="AT42" s="26">
        <v>124.1</v>
      </c>
      <c r="AU42" s="26">
        <v>122.4</v>
      </c>
      <c r="AV42" s="26">
        <v>125.8</v>
      </c>
      <c r="AW42" s="26">
        <v>-1.48</v>
      </c>
      <c r="AX42" s="26">
        <v>78.0</v>
      </c>
      <c r="AY42" s="26"/>
      <c r="AZ42" s="26"/>
      <c r="BA42" s="26">
        <v>13.0</v>
      </c>
      <c r="BB42" s="26">
        <v>92.2</v>
      </c>
      <c r="BC42" s="26">
        <v>91.3</v>
      </c>
      <c r="BD42" s="26">
        <v>93.0</v>
      </c>
      <c r="BE42" s="26">
        <v>-4.52</v>
      </c>
      <c r="BF42" s="26">
        <v>32.0</v>
      </c>
      <c r="BG42" s="26"/>
      <c r="BH42" s="26"/>
      <c r="BI42" s="26"/>
      <c r="BJ42" s="26"/>
    </row>
    <row r="43" ht="15.75" customHeight="1">
      <c r="A43" s="25"/>
      <c r="B43" s="26"/>
      <c r="C43" s="26">
        <v>14.0</v>
      </c>
      <c r="D43" s="26">
        <v>102.5</v>
      </c>
      <c r="E43" s="26">
        <v>101.5</v>
      </c>
      <c r="F43" s="26">
        <v>103.6</v>
      </c>
      <c r="G43" s="26">
        <v>-2.76</v>
      </c>
      <c r="H43" s="26">
        <v>59.0</v>
      </c>
      <c r="I43" s="26"/>
      <c r="J43" s="26"/>
      <c r="K43" s="26">
        <v>14.0</v>
      </c>
      <c r="L43" s="26">
        <v>104.7</v>
      </c>
      <c r="M43" s="26">
        <v>103.5</v>
      </c>
      <c r="N43" s="26">
        <v>105.8</v>
      </c>
      <c r="O43" s="26">
        <v>-4.73</v>
      </c>
      <c r="P43" s="26">
        <v>29.0</v>
      </c>
      <c r="Q43" s="26"/>
      <c r="R43" s="26">
        <v>14.0</v>
      </c>
      <c r="S43" s="26">
        <v>109.0</v>
      </c>
      <c r="T43" s="26">
        <v>107.6</v>
      </c>
      <c r="U43" s="26">
        <v>110.4</v>
      </c>
      <c r="V43" s="26">
        <v>-3.38</v>
      </c>
      <c r="W43" s="26">
        <v>49.0</v>
      </c>
      <c r="X43" s="26"/>
      <c r="Y43" s="26"/>
      <c r="Z43" s="26">
        <v>14.0</v>
      </c>
      <c r="AA43" s="26">
        <v>98.6</v>
      </c>
      <c r="AB43" s="26">
        <v>94.8</v>
      </c>
      <c r="AC43" s="26">
        <v>102.4</v>
      </c>
      <c r="AD43" s="26">
        <v>-6.71</v>
      </c>
      <c r="AE43" s="26">
        <v>-1.0</v>
      </c>
      <c r="AF43" s="26"/>
      <c r="AG43" s="26"/>
      <c r="AH43" s="26"/>
      <c r="AI43" s="26">
        <v>13.0</v>
      </c>
      <c r="AJ43" s="26">
        <v>120.7</v>
      </c>
      <c r="AK43" s="26">
        <v>119.9</v>
      </c>
      <c r="AL43" s="26">
        <v>121.6</v>
      </c>
      <c r="AM43" s="26">
        <v>-3.36</v>
      </c>
      <c r="AN43" s="26">
        <v>57.0</v>
      </c>
      <c r="AO43" s="26"/>
      <c r="AP43" s="26"/>
      <c r="AQ43" s="26"/>
      <c r="AR43" s="26"/>
      <c r="AS43" s="26">
        <v>14.0</v>
      </c>
      <c r="AT43" s="26">
        <v>125.1</v>
      </c>
      <c r="AU43" s="26">
        <v>123.5</v>
      </c>
      <c r="AV43" s="26">
        <v>126.8</v>
      </c>
      <c r="AW43" s="26">
        <v>-1.28</v>
      </c>
      <c r="AX43" s="26">
        <v>81.0</v>
      </c>
      <c r="AY43" s="26"/>
      <c r="AZ43" s="26"/>
      <c r="BA43" s="26">
        <v>14.0</v>
      </c>
      <c r="BB43" s="26">
        <v>92.4</v>
      </c>
      <c r="BC43" s="26">
        <v>91.5</v>
      </c>
      <c r="BD43" s="26">
        <v>93.3</v>
      </c>
      <c r="BE43" s="26">
        <v>-4.44</v>
      </c>
      <c r="BF43" s="26">
        <v>33.0</v>
      </c>
      <c r="BG43" s="26"/>
      <c r="BH43" s="26"/>
      <c r="BI43" s="26"/>
      <c r="BJ43" s="26"/>
    </row>
    <row r="44" ht="15.75" customHeight="1">
      <c r="A44" s="25"/>
      <c r="B44" s="26"/>
      <c r="C44" s="26">
        <v>15.0</v>
      </c>
      <c r="D44" s="26">
        <v>102.9</v>
      </c>
      <c r="E44" s="26">
        <v>101.9</v>
      </c>
      <c r="F44" s="26">
        <v>104.0</v>
      </c>
      <c r="G44" s="26">
        <v>-2.7</v>
      </c>
      <c r="H44" s="26">
        <v>59.0</v>
      </c>
      <c r="I44" s="26"/>
      <c r="J44" s="26"/>
      <c r="K44" s="26">
        <v>15.0</v>
      </c>
      <c r="L44" s="26">
        <v>105.2</v>
      </c>
      <c r="M44" s="26">
        <v>103.9</v>
      </c>
      <c r="N44" s="26">
        <v>106.4</v>
      </c>
      <c r="O44" s="26">
        <v>-4.6</v>
      </c>
      <c r="P44" s="26">
        <v>31.0</v>
      </c>
      <c r="Q44" s="26"/>
      <c r="R44" s="26">
        <v>15.0</v>
      </c>
      <c r="S44" s="26">
        <v>109.8</v>
      </c>
      <c r="T44" s="26">
        <v>108.4</v>
      </c>
      <c r="U44" s="26">
        <v>111.1</v>
      </c>
      <c r="V44" s="26">
        <v>-3.26</v>
      </c>
      <c r="W44" s="26">
        <v>51.0</v>
      </c>
      <c r="X44" s="26"/>
      <c r="Y44" s="26"/>
      <c r="Z44" s="26">
        <v>15.0</v>
      </c>
      <c r="AA44" s="26">
        <v>99.3</v>
      </c>
      <c r="AB44" s="26">
        <v>95.5</v>
      </c>
      <c r="AC44" s="26">
        <v>103.0</v>
      </c>
      <c r="AD44" s="26">
        <v>-6.58</v>
      </c>
      <c r="AE44" s="26">
        <v>1.0</v>
      </c>
      <c r="AF44" s="26"/>
      <c r="AG44" s="26"/>
      <c r="AH44" s="26"/>
      <c r="AI44" s="26">
        <v>14.0</v>
      </c>
      <c r="AJ44" s="26">
        <v>121.0</v>
      </c>
      <c r="AK44" s="26">
        <v>120.2</v>
      </c>
      <c r="AL44" s="26">
        <v>121.8</v>
      </c>
      <c r="AM44" s="26">
        <v>-3.32</v>
      </c>
      <c r="AN44" s="26">
        <v>58.0</v>
      </c>
      <c r="AO44" s="26"/>
      <c r="AP44" s="26"/>
      <c r="AQ44" s="26"/>
      <c r="AR44" s="26"/>
      <c r="AS44" s="26">
        <v>15.0</v>
      </c>
      <c r="AT44" s="26">
        <v>126.1</v>
      </c>
      <c r="AU44" s="26">
        <v>124.5</v>
      </c>
      <c r="AV44" s="26">
        <v>127.8</v>
      </c>
      <c r="AW44" s="26">
        <v>-1.08</v>
      </c>
      <c r="AX44" s="26">
        <v>84.0</v>
      </c>
      <c r="AY44" s="26"/>
      <c r="AZ44" s="26"/>
      <c r="BA44" s="26">
        <v>15.0</v>
      </c>
      <c r="BB44" s="26">
        <v>92.7</v>
      </c>
      <c r="BC44" s="26">
        <v>91.8</v>
      </c>
      <c r="BD44" s="26">
        <v>93.7</v>
      </c>
      <c r="BE44" s="26">
        <v>-4.35</v>
      </c>
      <c r="BF44" s="26">
        <v>35.0</v>
      </c>
      <c r="BG44" s="26"/>
      <c r="BH44" s="26"/>
      <c r="BI44" s="26"/>
      <c r="BJ44" s="26"/>
    </row>
    <row r="45" ht="15.75" customHeight="1">
      <c r="A45" s="25"/>
      <c r="B45" s="26"/>
      <c r="C45" s="26">
        <v>16.0</v>
      </c>
      <c r="D45" s="26">
        <v>103.4</v>
      </c>
      <c r="E45" s="26">
        <v>102.2</v>
      </c>
      <c r="F45" s="26">
        <v>104.5</v>
      </c>
      <c r="G45" s="26">
        <v>-2.63</v>
      </c>
      <c r="H45" s="26">
        <v>60.0</v>
      </c>
      <c r="I45" s="26"/>
      <c r="J45" s="26"/>
      <c r="K45" s="26">
        <v>16.0</v>
      </c>
      <c r="L45" s="26">
        <v>105.8</v>
      </c>
      <c r="M45" s="26">
        <v>104.5</v>
      </c>
      <c r="N45" s="26">
        <v>107.1</v>
      </c>
      <c r="O45" s="26">
        <v>-4.45</v>
      </c>
      <c r="P45" s="26">
        <v>33.0</v>
      </c>
      <c r="Q45" s="26"/>
      <c r="R45" s="26">
        <v>16.0</v>
      </c>
      <c r="S45" s="26">
        <v>110.5</v>
      </c>
      <c r="T45" s="26">
        <v>109.1</v>
      </c>
      <c r="U45" s="26">
        <v>111.8</v>
      </c>
      <c r="V45" s="26">
        <v>-3.14</v>
      </c>
      <c r="W45" s="26">
        <v>53.0</v>
      </c>
      <c r="X45" s="26"/>
      <c r="Y45" s="26"/>
      <c r="Z45" s="26">
        <v>16.0</v>
      </c>
      <c r="AA45" s="26">
        <v>99.9</v>
      </c>
      <c r="AB45" s="26">
        <v>96.2</v>
      </c>
      <c r="AC45" s="26">
        <v>103.6</v>
      </c>
      <c r="AD45" s="26">
        <v>-6.45</v>
      </c>
      <c r="AE45" s="26">
        <v>3.0</v>
      </c>
      <c r="AF45" s="26"/>
      <c r="AG45" s="26"/>
      <c r="AH45" s="26"/>
      <c r="AI45" s="26">
        <v>15.0</v>
      </c>
      <c r="AJ45" s="26">
        <v>121.2</v>
      </c>
      <c r="AK45" s="26">
        <v>120.4</v>
      </c>
      <c r="AL45" s="26">
        <v>122.0</v>
      </c>
      <c r="AM45" s="26">
        <v>-3.28</v>
      </c>
      <c r="AN45" s="26">
        <v>58.0</v>
      </c>
      <c r="AO45" s="26"/>
      <c r="AP45" s="26"/>
      <c r="AQ45" s="26"/>
      <c r="AR45" s="26"/>
      <c r="AS45" s="26">
        <v>16.0</v>
      </c>
      <c r="AT45" s="26">
        <v>127.1</v>
      </c>
      <c r="AU45" s="26">
        <v>125.5</v>
      </c>
      <c r="AV45" s="26">
        <v>128.6</v>
      </c>
      <c r="AW45" s="26">
        <v>-0.9</v>
      </c>
      <c r="AX45" s="26">
        <v>86.0</v>
      </c>
      <c r="AY45" s="26"/>
      <c r="AZ45" s="26"/>
      <c r="BA45" s="26">
        <v>16.0</v>
      </c>
      <c r="BB45" s="26">
        <v>93.1</v>
      </c>
      <c r="BC45" s="26">
        <v>92.1</v>
      </c>
      <c r="BD45" s="26">
        <v>94.1</v>
      </c>
      <c r="BE45" s="26">
        <v>-4.24</v>
      </c>
      <c r="BF45" s="26">
        <v>36.0</v>
      </c>
      <c r="BG45" s="26"/>
      <c r="BH45" s="26"/>
      <c r="BI45" s="26"/>
      <c r="BJ45" s="26"/>
    </row>
    <row r="46" ht="15.75" customHeight="1">
      <c r="A46" s="25"/>
      <c r="B46" s="26"/>
      <c r="C46" s="26">
        <v>17.0</v>
      </c>
      <c r="D46" s="26">
        <v>103.9</v>
      </c>
      <c r="E46" s="26">
        <v>102.7</v>
      </c>
      <c r="F46" s="26">
        <v>105.1</v>
      </c>
      <c r="G46" s="26">
        <v>-2.56</v>
      </c>
      <c r="H46" s="26">
        <v>62.0</v>
      </c>
      <c r="I46" s="26"/>
      <c r="J46" s="26"/>
      <c r="K46" s="26">
        <v>17.0</v>
      </c>
      <c r="L46" s="26">
        <v>106.4</v>
      </c>
      <c r="M46" s="26">
        <v>105.1</v>
      </c>
      <c r="N46" s="26">
        <v>107.8</v>
      </c>
      <c r="O46" s="26">
        <v>-4.29</v>
      </c>
      <c r="P46" s="26">
        <v>36.0</v>
      </c>
      <c r="Q46" s="26"/>
      <c r="R46" s="26">
        <v>17.0</v>
      </c>
      <c r="S46" s="26">
        <v>111.1</v>
      </c>
      <c r="T46" s="26">
        <v>109.8</v>
      </c>
      <c r="U46" s="26">
        <v>112.5</v>
      </c>
      <c r="V46" s="26">
        <v>-3.03</v>
      </c>
      <c r="W46" s="26">
        <v>55.0</v>
      </c>
      <c r="X46" s="26"/>
      <c r="Y46" s="26"/>
      <c r="Z46" s="26">
        <v>17.0</v>
      </c>
      <c r="AA46" s="26">
        <v>100.5</v>
      </c>
      <c r="AB46" s="26">
        <v>96.9</v>
      </c>
      <c r="AC46" s="26">
        <v>104.2</v>
      </c>
      <c r="AD46" s="26">
        <v>-6.33</v>
      </c>
      <c r="AE46" s="26">
        <v>5.0</v>
      </c>
      <c r="AF46" s="26"/>
      <c r="AG46" s="26"/>
      <c r="AH46" s="26"/>
      <c r="AI46" s="26">
        <v>16.0</v>
      </c>
      <c r="AJ46" s="26">
        <v>121.4</v>
      </c>
      <c r="AK46" s="26">
        <v>120.7</v>
      </c>
      <c r="AL46" s="26">
        <v>122.2</v>
      </c>
      <c r="AM46" s="26">
        <v>-3.24</v>
      </c>
      <c r="AN46" s="26">
        <v>59.0</v>
      </c>
      <c r="AO46" s="26"/>
      <c r="AP46" s="26"/>
      <c r="AQ46" s="26"/>
      <c r="AR46" s="26"/>
      <c r="AS46" s="26">
        <v>17.0</v>
      </c>
      <c r="AT46" s="26">
        <v>128.0</v>
      </c>
      <c r="AU46" s="26">
        <v>126.4</v>
      </c>
      <c r="AV46" s="26">
        <v>129.5</v>
      </c>
      <c r="AW46" s="26">
        <v>-0.73</v>
      </c>
      <c r="AX46" s="26">
        <v>89.0</v>
      </c>
      <c r="AY46" s="26"/>
      <c r="AZ46" s="26"/>
      <c r="BA46" s="26">
        <v>17.0</v>
      </c>
      <c r="BB46" s="26">
        <v>93.5</v>
      </c>
      <c r="BC46" s="26">
        <v>92.4</v>
      </c>
      <c r="BD46" s="26">
        <v>94.6</v>
      </c>
      <c r="BE46" s="26">
        <v>-4.12</v>
      </c>
      <c r="BF46" s="26">
        <v>38.0</v>
      </c>
      <c r="BG46" s="26"/>
      <c r="BH46" s="26"/>
      <c r="BI46" s="26"/>
      <c r="BJ46" s="26"/>
    </row>
    <row r="47" ht="15.75" customHeight="1">
      <c r="A47" s="25"/>
      <c r="B47" s="26"/>
      <c r="C47" s="26">
        <v>18.0</v>
      </c>
      <c r="D47" s="26">
        <v>104.4</v>
      </c>
      <c r="E47" s="26">
        <v>103.2</v>
      </c>
      <c r="F47" s="26">
        <v>105.6</v>
      </c>
      <c r="G47" s="26">
        <v>-2.49</v>
      </c>
      <c r="H47" s="26">
        <v>63.0</v>
      </c>
      <c r="I47" s="26"/>
      <c r="J47" s="26"/>
      <c r="K47" s="26">
        <v>18.0</v>
      </c>
      <c r="L47" s="26">
        <v>107.1</v>
      </c>
      <c r="M47" s="26">
        <v>105.8</v>
      </c>
      <c r="N47" s="26">
        <v>108.3</v>
      </c>
      <c r="O47" s="26">
        <v>-4.14</v>
      </c>
      <c r="P47" s="26">
        <v>38.0</v>
      </c>
      <c r="Q47" s="26"/>
      <c r="R47" s="26">
        <v>18.0</v>
      </c>
      <c r="S47" s="26">
        <v>111.8</v>
      </c>
      <c r="T47" s="26">
        <v>110.5</v>
      </c>
      <c r="U47" s="26">
        <v>113.1</v>
      </c>
      <c r="V47" s="26">
        <v>-2.92</v>
      </c>
      <c r="W47" s="26">
        <v>56.0</v>
      </c>
      <c r="X47" s="26"/>
      <c r="Y47" s="26"/>
      <c r="Z47" s="26">
        <v>18.0</v>
      </c>
      <c r="AA47" s="26">
        <v>101.1</v>
      </c>
      <c r="AB47" s="26">
        <v>97.5</v>
      </c>
      <c r="AC47" s="26">
        <v>104.7</v>
      </c>
      <c r="AD47" s="26">
        <v>-6.22</v>
      </c>
      <c r="AE47" s="26">
        <v>7.0</v>
      </c>
      <c r="AF47" s="26"/>
      <c r="AG47" s="26"/>
      <c r="AH47" s="26"/>
      <c r="AI47" s="26">
        <v>17.0</v>
      </c>
      <c r="AJ47" s="26">
        <v>121.7</v>
      </c>
      <c r="AK47" s="26">
        <v>120.9</v>
      </c>
      <c r="AL47" s="26">
        <v>122.5</v>
      </c>
      <c r="AM47" s="26">
        <v>-3.2</v>
      </c>
      <c r="AN47" s="26">
        <v>59.0</v>
      </c>
      <c r="AO47" s="26"/>
      <c r="AP47" s="26"/>
      <c r="AQ47" s="26"/>
      <c r="AR47" s="26"/>
      <c r="AS47" s="26">
        <v>18.0</v>
      </c>
      <c r="AT47" s="26">
        <v>128.8</v>
      </c>
      <c r="AU47" s="26">
        <v>127.3</v>
      </c>
      <c r="AV47" s="26">
        <v>130.3</v>
      </c>
      <c r="AW47" s="26">
        <v>-0.56</v>
      </c>
      <c r="AX47" s="26">
        <v>92.0</v>
      </c>
      <c r="AY47" s="26"/>
      <c r="AZ47" s="26"/>
      <c r="BA47" s="26">
        <v>18.0</v>
      </c>
      <c r="BB47" s="26">
        <v>93.9</v>
      </c>
      <c r="BC47" s="26">
        <v>92.9</v>
      </c>
      <c r="BD47" s="26">
        <v>94.9</v>
      </c>
      <c r="BE47" s="26">
        <v>4.0</v>
      </c>
      <c r="BF47" s="26">
        <v>40.0</v>
      </c>
      <c r="BG47" s="26"/>
      <c r="BH47" s="26"/>
      <c r="BI47" s="26"/>
      <c r="BJ47" s="26"/>
    </row>
    <row r="48" ht="15.75" customHeight="1">
      <c r="A48" s="25"/>
      <c r="B48" s="26"/>
      <c r="C48" s="26">
        <v>19.0</v>
      </c>
      <c r="D48" s="26">
        <v>105.0</v>
      </c>
      <c r="E48" s="26">
        <v>103.7</v>
      </c>
      <c r="F48" s="26">
        <v>106.3</v>
      </c>
      <c r="G48" s="26">
        <v>-2.4</v>
      </c>
      <c r="H48" s="26">
        <v>64.0</v>
      </c>
      <c r="I48" s="26"/>
      <c r="J48" s="26"/>
      <c r="K48" s="26">
        <v>19.0</v>
      </c>
      <c r="L48" s="26">
        <v>107.6</v>
      </c>
      <c r="M48" s="26">
        <v>106.4</v>
      </c>
      <c r="N48" s="26">
        <v>108.8</v>
      </c>
      <c r="O48" s="26">
        <v>-4.0</v>
      </c>
      <c r="P48" s="26">
        <v>40.0</v>
      </c>
      <c r="Q48" s="26"/>
      <c r="R48" s="26">
        <v>19.0</v>
      </c>
      <c r="S48" s="26">
        <v>112.3</v>
      </c>
      <c r="T48" s="26">
        <v>111.1</v>
      </c>
      <c r="U48" s="26">
        <v>113.5</v>
      </c>
      <c r="V48" s="26">
        <v>-2.83</v>
      </c>
      <c r="W48" s="26">
        <v>58.0</v>
      </c>
      <c r="X48" s="26"/>
      <c r="Y48" s="26"/>
      <c r="Z48" s="26">
        <v>19.0</v>
      </c>
      <c r="AA48" s="26">
        <v>101.7</v>
      </c>
      <c r="AB48" s="26">
        <v>98.2</v>
      </c>
      <c r="AC48" s="26">
        <v>105.2</v>
      </c>
      <c r="AD48" s="26">
        <v>-6.1</v>
      </c>
      <c r="AE48" s="26">
        <v>8.0</v>
      </c>
      <c r="AF48" s="26"/>
      <c r="AG48" s="26"/>
      <c r="AH48" s="26"/>
      <c r="AI48" s="26">
        <v>18.0</v>
      </c>
      <c r="AJ48" s="26">
        <v>121.9</v>
      </c>
      <c r="AK48" s="26">
        <v>121.1</v>
      </c>
      <c r="AL48" s="26">
        <v>122.7</v>
      </c>
      <c r="AM48" s="26">
        <v>-3.17</v>
      </c>
      <c r="AN48" s="26">
        <v>60.0</v>
      </c>
      <c r="AO48" s="26"/>
      <c r="AP48" s="26"/>
      <c r="AQ48" s="26"/>
      <c r="AR48" s="26"/>
      <c r="AS48" s="26">
        <v>19.0</v>
      </c>
      <c r="AT48" s="26">
        <v>129.6</v>
      </c>
      <c r="AU48" s="26">
        <v>128.2</v>
      </c>
      <c r="AV48" s="26">
        <v>131.0</v>
      </c>
      <c r="AW48" s="26">
        <v>-0.41</v>
      </c>
      <c r="AX48" s="26">
        <v>94.0</v>
      </c>
      <c r="AY48" s="26"/>
      <c r="AZ48" s="26"/>
      <c r="BA48" s="26">
        <v>19.0</v>
      </c>
      <c r="BB48" s="26">
        <v>94.3</v>
      </c>
      <c r="BC48" s="26">
        <v>93.3</v>
      </c>
      <c r="BD48" s="26">
        <v>95.3</v>
      </c>
      <c r="BE48" s="26">
        <v>-3.89</v>
      </c>
      <c r="BF48" s="26">
        <v>42.0</v>
      </c>
      <c r="BG48" s="26"/>
      <c r="BH48" s="26"/>
      <c r="BI48" s="26"/>
      <c r="BJ48" s="26"/>
    </row>
    <row r="49" ht="15.75" customHeight="1">
      <c r="A49" s="25"/>
      <c r="B49" s="26"/>
      <c r="C49" s="26">
        <v>20.0</v>
      </c>
      <c r="D49" s="26">
        <v>105.6</v>
      </c>
      <c r="E49" s="26">
        <v>104.3</v>
      </c>
      <c r="F49" s="26">
        <v>106.8</v>
      </c>
      <c r="G49" s="26">
        <v>-2.32</v>
      </c>
      <c r="H49" s="26">
        <v>65.0</v>
      </c>
      <c r="I49" s="26"/>
      <c r="J49" s="26"/>
      <c r="K49" s="26">
        <v>20.0</v>
      </c>
      <c r="L49" s="26">
        <v>108.1</v>
      </c>
      <c r="M49" s="26">
        <v>107.0</v>
      </c>
      <c r="N49" s="26">
        <v>109.2</v>
      </c>
      <c r="O49" s="26">
        <v>-3.88</v>
      </c>
      <c r="P49" s="26">
        <v>42.0</v>
      </c>
      <c r="Q49" s="26"/>
      <c r="R49" s="26">
        <v>20.0</v>
      </c>
      <c r="S49" s="26">
        <v>112.8</v>
      </c>
      <c r="T49" s="26">
        <v>111.7</v>
      </c>
      <c r="U49" s="26">
        <v>114.0</v>
      </c>
      <c r="V49" s="26">
        <v>-2.75</v>
      </c>
      <c r="W49" s="26">
        <v>59.0</v>
      </c>
      <c r="X49" s="26"/>
      <c r="Y49" s="26"/>
      <c r="Z49" s="26">
        <v>20.0</v>
      </c>
      <c r="AA49" s="26">
        <v>102.3</v>
      </c>
      <c r="AB49" s="26">
        <v>98.8</v>
      </c>
      <c r="AC49" s="26">
        <v>105.8</v>
      </c>
      <c r="AD49" s="26">
        <v>-5.99</v>
      </c>
      <c r="AE49" s="26">
        <v>10.0</v>
      </c>
      <c r="AF49" s="26"/>
      <c r="AG49" s="26"/>
      <c r="AH49" s="26"/>
      <c r="AI49" s="26">
        <v>19.0</v>
      </c>
      <c r="AJ49" s="26">
        <v>122.1</v>
      </c>
      <c r="AK49" s="26">
        <v>121.3</v>
      </c>
      <c r="AL49" s="26">
        <v>122.9</v>
      </c>
      <c r="AM49" s="26">
        <v>-3.13</v>
      </c>
      <c r="AN49" s="26">
        <v>60.0</v>
      </c>
      <c r="AO49" s="26"/>
      <c r="AP49" s="26"/>
      <c r="AQ49" s="26"/>
      <c r="AR49" s="26"/>
      <c r="AS49" s="26">
        <v>20.0</v>
      </c>
      <c r="AT49" s="26">
        <v>130.3</v>
      </c>
      <c r="AU49" s="26">
        <v>128.9</v>
      </c>
      <c r="AV49" s="26">
        <v>131.6</v>
      </c>
      <c r="AW49" s="26">
        <v>-0.27</v>
      </c>
      <c r="AX49" s="26">
        <v>96.0</v>
      </c>
      <c r="AY49" s="26"/>
      <c r="AZ49" s="26"/>
      <c r="BA49" s="26">
        <v>20.0</v>
      </c>
      <c r="BB49" s="26">
        <v>94.6</v>
      </c>
      <c r="BC49" s="26">
        <v>93.7</v>
      </c>
      <c r="BD49" s="26">
        <v>95.6</v>
      </c>
      <c r="BE49" s="26">
        <v>-3.78</v>
      </c>
      <c r="BF49" s="26">
        <v>43.0</v>
      </c>
      <c r="BG49" s="26"/>
      <c r="BH49" s="26"/>
      <c r="BI49" s="26"/>
      <c r="BJ49" s="26"/>
    </row>
    <row r="50" ht="15.75" customHeight="1">
      <c r="A50" s="25"/>
      <c r="B50" s="26"/>
      <c r="C50" s="26">
        <v>21.0</v>
      </c>
      <c r="D50" s="26">
        <v>106.0</v>
      </c>
      <c r="E50" s="26">
        <v>105.0</v>
      </c>
      <c r="F50" s="26">
        <v>107.1</v>
      </c>
      <c r="G50" s="26">
        <v>-2.25</v>
      </c>
      <c r="H50" s="26">
        <v>66.0</v>
      </c>
      <c r="I50" s="26"/>
      <c r="J50" s="26"/>
      <c r="K50" s="26">
        <v>21.0</v>
      </c>
      <c r="L50" s="26">
        <v>108.5</v>
      </c>
      <c r="M50" s="26">
        <v>107.5</v>
      </c>
      <c r="N50" s="26">
        <v>109.5</v>
      </c>
      <c r="O50" s="26">
        <v>-3.78</v>
      </c>
      <c r="P50" s="26">
        <v>43.0</v>
      </c>
      <c r="Q50" s="26"/>
      <c r="R50" s="26">
        <v>21.0</v>
      </c>
      <c r="S50" s="26">
        <v>113.3</v>
      </c>
      <c r="T50" s="26">
        <v>112.2</v>
      </c>
      <c r="U50" s="26">
        <v>114.4</v>
      </c>
      <c r="V50" s="26">
        <v>-2.67</v>
      </c>
      <c r="W50" s="26">
        <v>60.0</v>
      </c>
      <c r="X50" s="26"/>
      <c r="Y50" s="26"/>
      <c r="Z50" s="26">
        <v>21.0</v>
      </c>
      <c r="AA50" s="26">
        <v>102.8</v>
      </c>
      <c r="AB50" s="26">
        <v>99.4</v>
      </c>
      <c r="AC50" s="26">
        <v>106.3</v>
      </c>
      <c r="AD50" s="26">
        <v>-5.89</v>
      </c>
      <c r="AE50" s="26">
        <v>12.0</v>
      </c>
      <c r="AF50" s="26"/>
      <c r="AG50" s="26"/>
      <c r="AH50" s="26"/>
      <c r="AI50" s="26">
        <v>20.0</v>
      </c>
      <c r="AJ50" s="26">
        <v>122.4</v>
      </c>
      <c r="AK50" s="26">
        <v>121.5</v>
      </c>
      <c r="AL50" s="26">
        <v>123.2</v>
      </c>
      <c r="AM50" s="26">
        <v>-3.08</v>
      </c>
      <c r="AN50" s="26">
        <v>61.0</v>
      </c>
      <c r="AO50" s="26"/>
      <c r="AP50" s="26"/>
      <c r="AQ50" s="26"/>
      <c r="AR50" s="26"/>
      <c r="AS50" s="26">
        <v>21.0</v>
      </c>
      <c r="AT50" s="26">
        <v>130.9</v>
      </c>
      <c r="AU50" s="26">
        <v>129.6</v>
      </c>
      <c r="AV50" s="26">
        <v>132.3</v>
      </c>
      <c r="AW50" s="26">
        <v>-0.14</v>
      </c>
      <c r="AX50" s="26">
        <v>98.0</v>
      </c>
      <c r="AY50" s="26"/>
      <c r="AZ50" s="26"/>
      <c r="BA50" s="26">
        <v>21.0</v>
      </c>
      <c r="BB50" s="26">
        <v>95.0</v>
      </c>
      <c r="BC50" s="26">
        <v>94.0</v>
      </c>
      <c r="BD50" s="26">
        <v>96.0</v>
      </c>
      <c r="BE50" s="26">
        <v>-3.68</v>
      </c>
      <c r="BF50" s="26">
        <v>45.0</v>
      </c>
      <c r="BG50" s="26"/>
      <c r="BH50" s="26"/>
      <c r="BI50" s="26"/>
      <c r="BJ50" s="26"/>
    </row>
    <row r="51" ht="15.75" customHeight="1">
      <c r="A51" s="25"/>
      <c r="B51" s="26"/>
      <c r="C51" s="26">
        <v>22.0</v>
      </c>
      <c r="D51" s="26">
        <v>106.4</v>
      </c>
      <c r="E51" s="26">
        <v>105.4</v>
      </c>
      <c r="F51" s="26">
        <v>107.5</v>
      </c>
      <c r="G51" s="26">
        <v>-2.19</v>
      </c>
      <c r="H51" s="26">
        <v>67.0</v>
      </c>
      <c r="I51" s="26"/>
      <c r="J51" s="26"/>
      <c r="K51" s="26">
        <v>22.0</v>
      </c>
      <c r="L51" s="26">
        <v>108.9</v>
      </c>
      <c r="M51" s="26">
        <v>107.9</v>
      </c>
      <c r="N51" s="26">
        <v>109.8</v>
      </c>
      <c r="O51" s="26">
        <v>-3.69</v>
      </c>
      <c r="P51" s="26">
        <v>45.0</v>
      </c>
      <c r="Q51" s="26"/>
      <c r="R51" s="26">
        <v>22.0</v>
      </c>
      <c r="S51" s="26">
        <v>113.7</v>
      </c>
      <c r="T51" s="26">
        <v>112.7</v>
      </c>
      <c r="U51" s="26">
        <v>114.7</v>
      </c>
      <c r="V51" s="26">
        <v>-2.6</v>
      </c>
      <c r="W51" s="26">
        <v>61.0</v>
      </c>
      <c r="X51" s="26"/>
      <c r="Y51" s="26"/>
      <c r="Z51" s="26">
        <v>22.0</v>
      </c>
      <c r="AA51" s="26">
        <v>103.4</v>
      </c>
      <c r="AB51" s="26">
        <v>99.9</v>
      </c>
      <c r="AC51" s="26">
        <v>106.8</v>
      </c>
      <c r="AD51" s="26">
        <v>-5.78</v>
      </c>
      <c r="AE51" s="26">
        <v>13.0</v>
      </c>
      <c r="AF51" s="26"/>
      <c r="AG51" s="26"/>
      <c r="AH51" s="26"/>
      <c r="AI51" s="26">
        <v>21.0</v>
      </c>
      <c r="AJ51" s="26">
        <v>122.7</v>
      </c>
      <c r="AK51" s="26">
        <v>121.8</v>
      </c>
      <c r="AL51" s="26">
        <v>123.6</v>
      </c>
      <c r="AM51" s="26">
        <v>-3.04</v>
      </c>
      <c r="AN51" s="26">
        <v>62.0</v>
      </c>
      <c r="AO51" s="26"/>
      <c r="AP51" s="26"/>
      <c r="AQ51" s="26"/>
      <c r="AR51" s="26"/>
      <c r="AS51" s="26">
        <v>22.0</v>
      </c>
      <c r="AT51" s="26">
        <v>131.6</v>
      </c>
      <c r="AU51" s="26">
        <v>130.3</v>
      </c>
      <c r="AV51" s="26">
        <v>132.9</v>
      </c>
      <c r="AW51" s="26">
        <v>-0.02</v>
      </c>
      <c r="AX51" s="26">
        <v>100.0</v>
      </c>
      <c r="AY51" s="26"/>
      <c r="AZ51" s="26"/>
      <c r="BA51" s="26">
        <v>22.0</v>
      </c>
      <c r="BB51" s="26">
        <v>95.4</v>
      </c>
      <c r="BC51" s="26">
        <v>94.3</v>
      </c>
      <c r="BD51" s="26">
        <v>96.4</v>
      </c>
      <c r="BE51" s="26">
        <v>-3.57</v>
      </c>
      <c r="BF51" s="26">
        <v>47.0</v>
      </c>
      <c r="BG51" s="26"/>
      <c r="BH51" s="26"/>
      <c r="BI51" s="26"/>
      <c r="BJ51" s="26"/>
    </row>
    <row r="52" ht="15.75" customHeight="1">
      <c r="A52" s="25"/>
      <c r="B52" s="26"/>
      <c r="C52" s="26">
        <v>23.0</v>
      </c>
      <c r="D52" s="26">
        <v>106.8</v>
      </c>
      <c r="E52" s="26">
        <v>105.8</v>
      </c>
      <c r="F52" s="26">
        <v>107.8</v>
      </c>
      <c r="G52" s="26">
        <v>-2.14</v>
      </c>
      <c r="H52" s="26">
        <v>68.0</v>
      </c>
      <c r="I52" s="26"/>
      <c r="J52" s="26"/>
      <c r="K52" s="26">
        <v>23.0</v>
      </c>
      <c r="L52" s="26">
        <v>109.2</v>
      </c>
      <c r="M52" s="26">
        <v>108.3</v>
      </c>
      <c r="N52" s="26">
        <v>110.1</v>
      </c>
      <c r="O52" s="26">
        <v>-3.61</v>
      </c>
      <c r="P52" s="26">
        <v>46.0</v>
      </c>
      <c r="Q52" s="26"/>
      <c r="R52" s="26">
        <v>23.0</v>
      </c>
      <c r="S52" s="26">
        <v>114.1</v>
      </c>
      <c r="T52" s="26">
        <v>113.1</v>
      </c>
      <c r="U52" s="26">
        <v>115.0</v>
      </c>
      <c r="V52" s="26">
        <v>-2.54</v>
      </c>
      <c r="W52" s="26">
        <v>62.0</v>
      </c>
      <c r="X52" s="26"/>
      <c r="Y52" s="26"/>
      <c r="Z52" s="26">
        <v>23.0</v>
      </c>
      <c r="AA52" s="26">
        <v>103.9</v>
      </c>
      <c r="AB52" s="26">
        <v>100.5</v>
      </c>
      <c r="AC52" s="26">
        <v>107.3</v>
      </c>
      <c r="AD52" s="26">
        <v>-5.68</v>
      </c>
      <c r="AE52" s="26">
        <v>15.0</v>
      </c>
      <c r="AF52" s="26"/>
      <c r="AG52" s="26"/>
      <c r="AH52" s="26"/>
      <c r="AI52" s="26">
        <v>22.0</v>
      </c>
      <c r="AJ52" s="26">
        <v>123.0</v>
      </c>
      <c r="AK52" s="26">
        <v>122.0</v>
      </c>
      <c r="AL52" s="26">
        <v>123.9</v>
      </c>
      <c r="AM52" s="26">
        <v>-2.99</v>
      </c>
      <c r="AN52" s="26">
        <v>62.0</v>
      </c>
      <c r="AO52" s="26"/>
      <c r="AP52" s="26"/>
      <c r="AQ52" s="26"/>
      <c r="AR52" s="26"/>
      <c r="AS52" s="26">
        <v>23.0</v>
      </c>
      <c r="AT52" s="26">
        <v>132.2</v>
      </c>
      <c r="AU52" s="26">
        <v>130.9</v>
      </c>
      <c r="AV52" s="26">
        <v>133.5</v>
      </c>
      <c r="AW52" s="26">
        <v>0.1</v>
      </c>
      <c r="AX52" s="26">
        <v>101.0</v>
      </c>
      <c r="AY52" s="26"/>
      <c r="AZ52" s="26"/>
      <c r="BA52" s="26">
        <v>23.0</v>
      </c>
      <c r="BB52" s="26">
        <v>95.8</v>
      </c>
      <c r="BC52" s="26">
        <v>94.7</v>
      </c>
      <c r="BD52" s="26">
        <v>96.9</v>
      </c>
      <c r="BE52" s="26">
        <v>-3.44</v>
      </c>
      <c r="BF52" s="26">
        <v>48.0</v>
      </c>
      <c r="BG52" s="26"/>
      <c r="BH52" s="26"/>
      <c r="BI52" s="26"/>
      <c r="BJ52" s="26"/>
    </row>
    <row r="53" ht="15.75" customHeight="1">
      <c r="A53" s="25"/>
      <c r="B53" s="26"/>
      <c r="C53" s="26">
        <v>24.0</v>
      </c>
      <c r="D53" s="26">
        <v>107.2</v>
      </c>
      <c r="E53" s="26">
        <v>106.2</v>
      </c>
      <c r="F53" s="26">
        <v>108.2</v>
      </c>
      <c r="G53" s="26">
        <v>-2.08</v>
      </c>
      <c r="H53" s="26">
        <v>69.0</v>
      </c>
      <c r="I53" s="26"/>
      <c r="J53" s="26"/>
      <c r="K53" s="26">
        <v>24.0</v>
      </c>
      <c r="L53" s="26">
        <v>109.4</v>
      </c>
      <c r="M53" s="26">
        <v>108.6</v>
      </c>
      <c r="N53" s="26">
        <v>110.3</v>
      </c>
      <c r="O53" s="26">
        <v>-3.54</v>
      </c>
      <c r="P53" s="26">
        <v>47.0</v>
      </c>
      <c r="Q53" s="26"/>
      <c r="R53" s="26">
        <v>24.0</v>
      </c>
      <c r="S53" s="26">
        <v>114.4</v>
      </c>
      <c r="T53" s="26">
        <v>113.4</v>
      </c>
      <c r="U53" s="26">
        <v>115.3</v>
      </c>
      <c r="V53" s="26">
        <v>-2.49</v>
      </c>
      <c r="W53" s="26">
        <v>63.0</v>
      </c>
      <c r="X53" s="26"/>
      <c r="Y53" s="26"/>
      <c r="Z53" s="26">
        <v>24.0</v>
      </c>
      <c r="AA53" s="26">
        <v>104.4</v>
      </c>
      <c r="AB53" s="26">
        <v>101.1</v>
      </c>
      <c r="AC53" s="26">
        <v>107.7</v>
      </c>
      <c r="AD53" s="26">
        <v>-5.58</v>
      </c>
      <c r="AE53" s="26">
        <v>16.0</v>
      </c>
      <c r="AF53" s="26"/>
      <c r="AG53" s="26"/>
      <c r="AH53" s="26"/>
      <c r="AI53" s="26">
        <v>23.0</v>
      </c>
      <c r="AJ53" s="26">
        <v>123.3</v>
      </c>
      <c r="AK53" s="26">
        <v>122.3</v>
      </c>
      <c r="AL53" s="26">
        <v>124.3</v>
      </c>
      <c r="AM53" s="26">
        <v>-2.93</v>
      </c>
      <c r="AN53" s="26">
        <v>63.0</v>
      </c>
      <c r="AO53" s="26"/>
      <c r="AP53" s="26"/>
      <c r="AQ53" s="26"/>
      <c r="AR53" s="26"/>
      <c r="AS53" s="26">
        <v>24.0</v>
      </c>
      <c r="AT53" s="26">
        <v>132.8</v>
      </c>
      <c r="AU53" s="26">
        <v>131.5</v>
      </c>
      <c r="AV53" s="26">
        <v>134.0</v>
      </c>
      <c r="AW53" s="26">
        <v>0.21</v>
      </c>
      <c r="AX53" s="26">
        <v>103.0</v>
      </c>
      <c r="AY53" s="26"/>
      <c r="AZ53" s="26"/>
      <c r="BA53" s="26">
        <v>24.0</v>
      </c>
      <c r="BB53" s="26">
        <v>96.2</v>
      </c>
      <c r="BC53" s="26">
        <v>95.1</v>
      </c>
      <c r="BD53" s="26">
        <v>97.3</v>
      </c>
      <c r="BE53" s="26">
        <v>-3.32</v>
      </c>
      <c r="BF53" s="26">
        <v>50.0</v>
      </c>
      <c r="BG53" s="26"/>
      <c r="BH53" s="26"/>
      <c r="BI53" s="26"/>
      <c r="BJ53" s="26"/>
    </row>
    <row r="54" ht="15.75" customHeight="1">
      <c r="A54" s="25"/>
      <c r="B54" s="26"/>
      <c r="C54" s="26">
        <v>25.0</v>
      </c>
      <c r="D54" s="26">
        <v>107.5</v>
      </c>
      <c r="E54" s="26">
        <v>106.6</v>
      </c>
      <c r="F54" s="26">
        <v>108.5</v>
      </c>
      <c r="G54" s="26">
        <v>-2.03</v>
      </c>
      <c r="H54" s="26">
        <v>70.0</v>
      </c>
      <c r="I54" s="26"/>
      <c r="J54" s="26"/>
      <c r="K54" s="26">
        <v>25.0</v>
      </c>
      <c r="L54" s="26">
        <v>109.7</v>
      </c>
      <c r="M54" s="26">
        <v>108.9</v>
      </c>
      <c r="N54" s="26">
        <v>110.5</v>
      </c>
      <c r="O54" s="26">
        <v>-3.48</v>
      </c>
      <c r="P54" s="26">
        <v>48.0</v>
      </c>
      <c r="Q54" s="26"/>
      <c r="R54" s="26">
        <v>25.0</v>
      </c>
      <c r="S54" s="26">
        <v>114.7</v>
      </c>
      <c r="T54" s="26">
        <v>113.8</v>
      </c>
      <c r="U54" s="26">
        <v>115.6</v>
      </c>
      <c r="V54" s="26">
        <v>-2.43</v>
      </c>
      <c r="W54" s="26">
        <v>64.0</v>
      </c>
      <c r="X54" s="26"/>
      <c r="Y54" s="26"/>
      <c r="Z54" s="26">
        <v>25.0</v>
      </c>
      <c r="AA54" s="26">
        <v>104.9</v>
      </c>
      <c r="AB54" s="26">
        <v>101.6</v>
      </c>
      <c r="AC54" s="26">
        <v>108.2</v>
      </c>
      <c r="AD54" s="26">
        <v>-5.48</v>
      </c>
      <c r="AE54" s="26">
        <v>18.0</v>
      </c>
      <c r="AF54" s="26"/>
      <c r="AG54" s="26"/>
      <c r="AH54" s="26"/>
      <c r="AI54" s="26">
        <v>24.0</v>
      </c>
      <c r="AJ54" s="26">
        <v>123.7</v>
      </c>
      <c r="AK54" s="26">
        <v>122.6</v>
      </c>
      <c r="AL54" s="26">
        <v>124.9</v>
      </c>
      <c r="AM54" s="26">
        <v>-2.86</v>
      </c>
      <c r="AN54" s="26">
        <v>64.0</v>
      </c>
      <c r="AO54" s="26"/>
      <c r="AP54" s="26"/>
      <c r="AQ54" s="26"/>
      <c r="AR54" s="26"/>
      <c r="AS54" s="26">
        <v>25.0</v>
      </c>
      <c r="AT54" s="26">
        <v>133.3</v>
      </c>
      <c r="AU54" s="26">
        <v>132.1</v>
      </c>
      <c r="AV54" s="26">
        <v>134.5</v>
      </c>
      <c r="AW54" s="26">
        <v>0.32</v>
      </c>
      <c r="AX54" s="26">
        <v>105.0</v>
      </c>
      <c r="AY54" s="26"/>
      <c r="AZ54" s="26"/>
      <c r="BA54" s="26">
        <v>25.0</v>
      </c>
      <c r="BB54" s="26">
        <v>96.6</v>
      </c>
      <c r="BC54" s="26">
        <v>95.6</v>
      </c>
      <c r="BD54" s="26">
        <v>97.7</v>
      </c>
      <c r="BE54" s="26">
        <v>-3.2</v>
      </c>
      <c r="BF54" s="26">
        <v>52.0</v>
      </c>
      <c r="BG54" s="26"/>
      <c r="BH54" s="26"/>
      <c r="BI54" s="26"/>
      <c r="BJ54" s="26"/>
    </row>
    <row r="55" ht="15.75" customHeight="1">
      <c r="A55" s="25"/>
      <c r="B55" s="26"/>
      <c r="C55" s="26">
        <v>26.0</v>
      </c>
      <c r="D55" s="26">
        <v>107.9</v>
      </c>
      <c r="E55" s="26">
        <v>106.9</v>
      </c>
      <c r="F55" s="26">
        <v>108.9</v>
      </c>
      <c r="G55" s="26">
        <v>-1.98</v>
      </c>
      <c r="H55" s="26">
        <v>70.0</v>
      </c>
      <c r="I55" s="26"/>
      <c r="J55" s="26"/>
      <c r="K55" s="26">
        <v>26.0</v>
      </c>
      <c r="L55" s="26">
        <v>109.9</v>
      </c>
      <c r="M55" s="26">
        <v>109.1</v>
      </c>
      <c r="N55" s="26">
        <v>110.7</v>
      </c>
      <c r="O55" s="26">
        <v>-3.42</v>
      </c>
      <c r="P55" s="26">
        <v>49.0</v>
      </c>
      <c r="Q55" s="26"/>
      <c r="R55" s="26">
        <v>26.0</v>
      </c>
      <c r="S55" s="26">
        <v>115.0</v>
      </c>
      <c r="T55" s="26">
        <v>114.1</v>
      </c>
      <c r="U55" s="26">
        <v>115.9</v>
      </c>
      <c r="V55" s="26">
        <v>-2.38</v>
      </c>
      <c r="W55" s="26">
        <v>64.0</v>
      </c>
      <c r="X55" s="26"/>
      <c r="Y55" s="26"/>
      <c r="Z55" s="26">
        <v>26.0</v>
      </c>
      <c r="AA55" s="26">
        <v>105.4</v>
      </c>
      <c r="AB55" s="26">
        <v>102.1</v>
      </c>
      <c r="AC55" s="26">
        <v>108.7</v>
      </c>
      <c r="AD55" s="26">
        <v>-5.38</v>
      </c>
      <c r="AE55" s="26">
        <v>19.0</v>
      </c>
      <c r="AF55" s="26"/>
      <c r="AG55" s="26"/>
      <c r="AH55" s="26"/>
      <c r="AI55" s="26">
        <v>25.0</v>
      </c>
      <c r="AJ55" s="26">
        <v>124.3</v>
      </c>
      <c r="AK55" s="26">
        <v>123.0</v>
      </c>
      <c r="AL55" s="26">
        <v>125.5</v>
      </c>
      <c r="AM55" s="26">
        <v>-2.77</v>
      </c>
      <c r="AN55" s="26">
        <v>66.0</v>
      </c>
      <c r="AO55" s="26"/>
      <c r="AP55" s="26"/>
      <c r="AQ55" s="26"/>
      <c r="AR55" s="26"/>
      <c r="AS55" s="26">
        <v>26.0</v>
      </c>
      <c r="AT55" s="26">
        <v>133.8</v>
      </c>
      <c r="AU55" s="26">
        <v>132.6</v>
      </c>
      <c r="AV55" s="26">
        <v>135.0</v>
      </c>
      <c r="AW55" s="26">
        <v>0.41</v>
      </c>
      <c r="AX55" s="26">
        <v>106.0</v>
      </c>
      <c r="AY55" s="26"/>
      <c r="AZ55" s="26"/>
      <c r="BA55" s="26">
        <v>26.0</v>
      </c>
      <c r="BB55" s="26">
        <v>97.0</v>
      </c>
      <c r="BC55" s="26">
        <v>96.0</v>
      </c>
      <c r="BD55" s="26">
        <v>98.0</v>
      </c>
      <c r="BE55" s="26">
        <v>-3.09</v>
      </c>
      <c r="BF55" s="26">
        <v>54.0</v>
      </c>
      <c r="BG55" s="26"/>
      <c r="BH55" s="26"/>
      <c r="BI55" s="26"/>
      <c r="BJ55" s="26"/>
    </row>
    <row r="56" ht="15.75" customHeight="1">
      <c r="A56" s="25"/>
      <c r="B56" s="26"/>
      <c r="C56" s="26">
        <v>27.0</v>
      </c>
      <c r="D56" s="26">
        <v>108.2</v>
      </c>
      <c r="E56" s="26">
        <v>107.3</v>
      </c>
      <c r="F56" s="26">
        <v>109.2</v>
      </c>
      <c r="G56" s="26">
        <v>-1.93</v>
      </c>
      <c r="H56" s="26">
        <v>71.0</v>
      </c>
      <c r="I56" s="26"/>
      <c r="J56" s="26"/>
      <c r="K56" s="26">
        <v>27.0</v>
      </c>
      <c r="L56" s="26">
        <v>110.2</v>
      </c>
      <c r="M56" s="26">
        <v>109.4</v>
      </c>
      <c r="N56" s="26">
        <v>111.0</v>
      </c>
      <c r="O56" s="26">
        <v>-3.36</v>
      </c>
      <c r="P56" s="26">
        <v>50.0</v>
      </c>
      <c r="Q56" s="26"/>
      <c r="R56" s="26">
        <v>27.0</v>
      </c>
      <c r="S56" s="26">
        <v>115.3</v>
      </c>
      <c r="T56" s="26">
        <v>114.4</v>
      </c>
      <c r="U56" s="26">
        <v>116.2</v>
      </c>
      <c r="V56" s="26">
        <v>-2.33</v>
      </c>
      <c r="W56" s="26">
        <v>65.0</v>
      </c>
      <c r="X56" s="26"/>
      <c r="Y56" s="26"/>
      <c r="Z56" s="26">
        <v>27.0</v>
      </c>
      <c r="AA56" s="26">
        <v>105.9</v>
      </c>
      <c r="AB56" s="26">
        <v>102.6</v>
      </c>
      <c r="AC56" s="26">
        <v>109.2</v>
      </c>
      <c r="AD56" s="26">
        <v>-5.29</v>
      </c>
      <c r="AE56" s="26">
        <v>21.0</v>
      </c>
      <c r="AF56" s="26"/>
      <c r="AG56" s="26"/>
      <c r="AH56" s="26"/>
      <c r="AI56" s="26">
        <v>26.0</v>
      </c>
      <c r="AJ56" s="26">
        <v>125.0</v>
      </c>
      <c r="AK56" s="26">
        <v>123.4</v>
      </c>
      <c r="AL56" s="26">
        <v>126.7</v>
      </c>
      <c r="AM56" s="26">
        <v>-2.64</v>
      </c>
      <c r="AN56" s="26">
        <v>68.0</v>
      </c>
      <c r="AO56" s="26"/>
      <c r="AP56" s="26"/>
      <c r="AQ56" s="26"/>
      <c r="AR56" s="26"/>
      <c r="AS56" s="26">
        <v>27.0</v>
      </c>
      <c r="AT56" s="26">
        <v>134.3</v>
      </c>
      <c r="AU56" s="26">
        <v>133.1</v>
      </c>
      <c r="AV56" s="26">
        <v>135.4</v>
      </c>
      <c r="AW56" s="26">
        <v>0.51</v>
      </c>
      <c r="AX56" s="26">
        <v>108.0</v>
      </c>
      <c r="AY56" s="26"/>
      <c r="AZ56" s="26"/>
      <c r="BA56" s="26">
        <v>27.0</v>
      </c>
      <c r="BB56" s="26">
        <v>97.3</v>
      </c>
      <c r="BC56" s="26">
        <v>96.4</v>
      </c>
      <c r="BD56" s="26">
        <v>98.2</v>
      </c>
      <c r="BE56" s="26">
        <v>-2.99</v>
      </c>
      <c r="BF56" s="26">
        <v>55.0</v>
      </c>
      <c r="BG56" s="26"/>
      <c r="BH56" s="26"/>
      <c r="BI56" s="26"/>
      <c r="BJ56" s="26"/>
    </row>
    <row r="57" ht="15.75" customHeight="1">
      <c r="A57" s="25"/>
      <c r="B57" s="26"/>
      <c r="C57" s="26">
        <v>28.0</v>
      </c>
      <c r="D57" s="26">
        <v>108.6</v>
      </c>
      <c r="E57" s="26">
        <v>107.6</v>
      </c>
      <c r="F57" s="26">
        <v>109.6</v>
      </c>
      <c r="G57" s="26">
        <v>-1.87</v>
      </c>
      <c r="H57" s="26">
        <v>72.0</v>
      </c>
      <c r="I57" s="26"/>
      <c r="J57" s="26"/>
      <c r="K57" s="26">
        <v>28.0</v>
      </c>
      <c r="L57" s="26">
        <v>110.4</v>
      </c>
      <c r="M57" s="26">
        <v>109.6</v>
      </c>
      <c r="N57" s="26">
        <v>111.2</v>
      </c>
      <c r="O57" s="26">
        <v>-3.3</v>
      </c>
      <c r="P57" s="26">
        <v>50.0</v>
      </c>
      <c r="Q57" s="26"/>
      <c r="R57" s="26">
        <v>28.0</v>
      </c>
      <c r="S57" s="26">
        <v>115.6</v>
      </c>
      <c r="T57" s="26">
        <v>114.7</v>
      </c>
      <c r="U57" s="26">
        <v>116.4</v>
      </c>
      <c r="V57" s="26">
        <v>-2.29</v>
      </c>
      <c r="W57" s="26">
        <v>66.0</v>
      </c>
      <c r="X57" s="26"/>
      <c r="Y57" s="26"/>
      <c r="Z57" s="26">
        <v>28.0</v>
      </c>
      <c r="AA57" s="26">
        <v>106.4</v>
      </c>
      <c r="AB57" s="26">
        <v>103.2</v>
      </c>
      <c r="AC57" s="26">
        <v>109.6</v>
      </c>
      <c r="AD57" s="26">
        <v>-5.19</v>
      </c>
      <c r="AE57" s="26">
        <v>22.0</v>
      </c>
      <c r="AF57" s="26"/>
      <c r="AG57" s="26"/>
      <c r="AH57" s="26"/>
      <c r="AI57" s="26">
        <v>27.0</v>
      </c>
      <c r="AJ57" s="26">
        <v>126.4</v>
      </c>
      <c r="AK57" s="26">
        <v>124.2</v>
      </c>
      <c r="AL57" s="26">
        <v>128.6</v>
      </c>
      <c r="AM57" s="26">
        <v>-2.41</v>
      </c>
      <c r="AN57" s="26">
        <v>71.0</v>
      </c>
      <c r="AO57" s="26"/>
      <c r="AP57" s="26"/>
      <c r="AQ57" s="26"/>
      <c r="AR57" s="26"/>
      <c r="AS57" s="26">
        <v>28.0</v>
      </c>
      <c r="AT57" s="26">
        <v>134.8</v>
      </c>
      <c r="AU57" s="26">
        <v>133.6</v>
      </c>
      <c r="AV57" s="26">
        <v>136.0</v>
      </c>
      <c r="AW57" s="26">
        <v>0.6</v>
      </c>
      <c r="AX57" s="26">
        <v>109.0</v>
      </c>
      <c r="AY57" s="26"/>
      <c r="AZ57" s="26"/>
      <c r="BA57" s="26">
        <v>28.0</v>
      </c>
      <c r="BB57" s="26">
        <v>97.6</v>
      </c>
      <c r="BC57" s="26">
        <v>96.8</v>
      </c>
      <c r="BD57" s="26">
        <v>98.4</v>
      </c>
      <c r="BE57" s="26">
        <v>-2.91</v>
      </c>
      <c r="BF57" s="26">
        <v>56.0</v>
      </c>
      <c r="BG57" s="26"/>
      <c r="BH57" s="26"/>
      <c r="BI57" s="26"/>
      <c r="BJ57" s="26"/>
    </row>
    <row r="58" ht="15.75" customHeight="1">
      <c r="A58" s="25"/>
      <c r="B58" s="26"/>
      <c r="C58" s="26">
        <v>29.0</v>
      </c>
      <c r="D58" s="26">
        <v>109.0</v>
      </c>
      <c r="E58" s="26">
        <v>108.0</v>
      </c>
      <c r="F58" s="26">
        <v>109.9</v>
      </c>
      <c r="G58" s="26">
        <v>-1.82</v>
      </c>
      <c r="H58" s="26">
        <v>73.0</v>
      </c>
      <c r="I58" s="26"/>
      <c r="J58" s="26"/>
      <c r="K58" s="26">
        <v>29.0</v>
      </c>
      <c r="L58" s="26">
        <v>110.6</v>
      </c>
      <c r="M58" s="26">
        <v>109.8</v>
      </c>
      <c r="N58" s="26">
        <v>111.4</v>
      </c>
      <c r="O58" s="26">
        <v>-3.25</v>
      </c>
      <c r="P58" s="26">
        <v>51.0</v>
      </c>
      <c r="Q58" s="26"/>
      <c r="R58" s="26">
        <v>29.0</v>
      </c>
      <c r="S58" s="26">
        <v>115.9</v>
      </c>
      <c r="T58" s="26">
        <v>115.0</v>
      </c>
      <c r="U58" s="26">
        <v>116.7</v>
      </c>
      <c r="V58" s="26">
        <v>-2.24</v>
      </c>
      <c r="W58" s="26">
        <v>66.0</v>
      </c>
      <c r="X58" s="26"/>
      <c r="Y58" s="26"/>
      <c r="Z58" s="26">
        <v>29.0</v>
      </c>
      <c r="AA58" s="26">
        <v>106.9</v>
      </c>
      <c r="AB58" s="26">
        <v>103.6</v>
      </c>
      <c r="AC58" s="26">
        <v>110.1</v>
      </c>
      <c r="AD58" s="26">
        <v>-5.1</v>
      </c>
      <c r="AE58" s="26">
        <v>23.0</v>
      </c>
      <c r="AF58" s="26"/>
      <c r="AG58" s="26"/>
      <c r="AH58" s="26"/>
      <c r="AI58" s="26">
        <v>28.0</v>
      </c>
      <c r="AJ58" s="26">
        <v>128.1</v>
      </c>
      <c r="AK58" s="26">
        <v>126.1</v>
      </c>
      <c r="AL58" s="26">
        <v>130.0</v>
      </c>
      <c r="AM58" s="26">
        <v>-2.13</v>
      </c>
      <c r="AN58" s="26">
        <v>75.0</v>
      </c>
      <c r="AO58" s="26"/>
      <c r="AP58" s="26"/>
      <c r="AQ58" s="26"/>
      <c r="AR58" s="26"/>
      <c r="AS58" s="26">
        <v>29.0</v>
      </c>
      <c r="AT58" s="26">
        <v>135.3</v>
      </c>
      <c r="AU58" s="26">
        <v>134.1</v>
      </c>
      <c r="AV58" s="26">
        <v>136.5</v>
      </c>
      <c r="AW58" s="26">
        <v>0.71</v>
      </c>
      <c r="AX58" s="26">
        <v>111.0</v>
      </c>
      <c r="AY58" s="26"/>
      <c r="AZ58" s="26"/>
      <c r="BA58" s="26">
        <v>29.0</v>
      </c>
      <c r="BB58" s="26">
        <v>97.8</v>
      </c>
      <c r="BC58" s="26">
        <v>97.1</v>
      </c>
      <c r="BD58" s="26">
        <v>98.6</v>
      </c>
      <c r="BE58" s="26">
        <v>-2.84</v>
      </c>
      <c r="BF58" s="26">
        <v>57.0</v>
      </c>
      <c r="BG58" s="26"/>
      <c r="BH58" s="26"/>
      <c r="BI58" s="26"/>
      <c r="BJ58" s="26"/>
    </row>
    <row r="59" ht="15.75" customHeight="1">
      <c r="A59" s="25"/>
      <c r="B59" s="26"/>
      <c r="C59" s="26">
        <v>30.0</v>
      </c>
      <c r="D59" s="26">
        <v>109.3</v>
      </c>
      <c r="E59" s="26">
        <v>108.4</v>
      </c>
      <c r="F59" s="26">
        <v>110.2</v>
      </c>
      <c r="G59" s="26">
        <v>-1.78</v>
      </c>
      <c r="H59" s="26">
        <v>73.0</v>
      </c>
      <c r="I59" s="26"/>
      <c r="J59" s="26"/>
      <c r="K59" s="26">
        <v>30.0</v>
      </c>
      <c r="L59" s="26">
        <v>110.9</v>
      </c>
      <c r="M59" s="26">
        <v>110.1</v>
      </c>
      <c r="N59" s="26">
        <v>111.7</v>
      </c>
      <c r="O59" s="26">
        <v>-3.19</v>
      </c>
      <c r="P59" s="26">
        <v>52.0</v>
      </c>
      <c r="Q59" s="26"/>
      <c r="R59" s="26">
        <v>30.0</v>
      </c>
      <c r="S59" s="26">
        <v>116.1</v>
      </c>
      <c r="T59" s="26">
        <v>115.3</v>
      </c>
      <c r="U59" s="26">
        <v>117.0</v>
      </c>
      <c r="V59" s="26">
        <v>-2.2</v>
      </c>
      <c r="W59" s="26">
        <v>67.0</v>
      </c>
      <c r="X59" s="26"/>
      <c r="Y59" s="26"/>
      <c r="Z59" s="26">
        <v>30.0</v>
      </c>
      <c r="AA59" s="26">
        <v>107.3</v>
      </c>
      <c r="AB59" s="26">
        <v>104.1</v>
      </c>
      <c r="AC59" s="26">
        <v>110.5</v>
      </c>
      <c r="AD59" s="26">
        <v>-5.01</v>
      </c>
      <c r="AE59" s="26">
        <v>25.0</v>
      </c>
      <c r="AF59" s="26"/>
      <c r="AG59" s="26"/>
      <c r="AH59" s="26"/>
      <c r="AI59" s="26">
        <v>29.0</v>
      </c>
      <c r="AJ59" s="26">
        <v>129.4</v>
      </c>
      <c r="AK59" s="26">
        <v>127.5</v>
      </c>
      <c r="AL59" s="26">
        <v>131.3</v>
      </c>
      <c r="AM59" s="26">
        <v>-1.91</v>
      </c>
      <c r="AN59" s="26">
        <v>78.0</v>
      </c>
      <c r="AO59" s="26"/>
      <c r="AP59" s="26"/>
      <c r="AQ59" s="26"/>
      <c r="AR59" s="26"/>
      <c r="AS59" s="26">
        <v>30.0</v>
      </c>
      <c r="AT59" s="26">
        <v>135.9</v>
      </c>
      <c r="AU59" s="26">
        <v>134.6</v>
      </c>
      <c r="AV59" s="26">
        <v>137.1</v>
      </c>
      <c r="AW59" s="26">
        <v>0.82</v>
      </c>
      <c r="AX59" s="26">
        <v>112.0</v>
      </c>
      <c r="AY59" s="26"/>
      <c r="AZ59" s="26"/>
      <c r="BA59" s="26">
        <v>30.0</v>
      </c>
      <c r="BB59" s="26">
        <v>98.1</v>
      </c>
      <c r="BC59" s="26">
        <v>97.3</v>
      </c>
      <c r="BD59" s="26">
        <v>98.8</v>
      </c>
      <c r="BE59" s="26">
        <v>-2.77</v>
      </c>
      <c r="BF59" s="26">
        <v>58.0</v>
      </c>
      <c r="BG59" s="26"/>
      <c r="BH59" s="26"/>
      <c r="BI59" s="26"/>
      <c r="BJ59" s="26"/>
    </row>
    <row r="60" ht="15.75" customHeight="1">
      <c r="A60" s="25"/>
      <c r="B60" s="26"/>
      <c r="C60" s="26">
        <v>31.0</v>
      </c>
      <c r="D60" s="26">
        <v>109.6</v>
      </c>
      <c r="E60" s="26">
        <v>108.7</v>
      </c>
      <c r="F60" s="26">
        <v>110.4</v>
      </c>
      <c r="G60" s="26">
        <v>-1.74</v>
      </c>
      <c r="H60" s="26">
        <v>74.0</v>
      </c>
      <c r="I60" s="26"/>
      <c r="J60" s="26"/>
      <c r="K60" s="26">
        <v>31.0</v>
      </c>
      <c r="L60" s="26">
        <v>111.1</v>
      </c>
      <c r="M60" s="26">
        <v>110.3</v>
      </c>
      <c r="N60" s="26">
        <v>111.9</v>
      </c>
      <c r="O60" s="26">
        <v>-3.13</v>
      </c>
      <c r="P60" s="26">
        <v>53.0</v>
      </c>
      <c r="Q60" s="26"/>
      <c r="R60" s="26">
        <v>31.0</v>
      </c>
      <c r="S60" s="26">
        <v>116.4</v>
      </c>
      <c r="T60" s="26">
        <v>115.5</v>
      </c>
      <c r="U60" s="26">
        <v>117.2</v>
      </c>
      <c r="V60" s="26">
        <v>-2.15</v>
      </c>
      <c r="W60" s="26">
        <v>68.0</v>
      </c>
      <c r="X60" s="26"/>
      <c r="Y60" s="26"/>
      <c r="Z60" s="26">
        <v>31.0</v>
      </c>
      <c r="AA60" s="26">
        <v>107.8</v>
      </c>
      <c r="AB60" s="26">
        <v>104.6</v>
      </c>
      <c r="AC60" s="26">
        <v>111.0</v>
      </c>
      <c r="AD60" s="26">
        <v>-4.92</v>
      </c>
      <c r="AE60" s="26">
        <v>26.0</v>
      </c>
      <c r="AF60" s="26"/>
      <c r="AG60" s="26"/>
      <c r="AH60" s="26"/>
      <c r="AI60" s="26">
        <v>30.0</v>
      </c>
      <c r="AJ60" s="26">
        <v>130.7</v>
      </c>
      <c r="AK60" s="26">
        <v>128.7</v>
      </c>
      <c r="AL60" s="26">
        <v>132.7</v>
      </c>
      <c r="AM60" s="26">
        <v>-1.69</v>
      </c>
      <c r="AN60" s="26">
        <v>82.0</v>
      </c>
      <c r="AO60" s="26"/>
      <c r="AP60" s="26"/>
      <c r="AQ60" s="26"/>
      <c r="AR60" s="26"/>
      <c r="AS60" s="26">
        <v>31.0</v>
      </c>
      <c r="AT60" s="26">
        <v>136.5</v>
      </c>
      <c r="AU60" s="26">
        <v>135.1</v>
      </c>
      <c r="AV60" s="26">
        <v>137.8</v>
      </c>
      <c r="AW60" s="26">
        <v>0.94</v>
      </c>
      <c r="AX60" s="26">
        <v>114.0</v>
      </c>
      <c r="AY60" s="26"/>
      <c r="AZ60" s="26"/>
      <c r="BA60" s="26">
        <v>31.0</v>
      </c>
      <c r="BB60" s="26">
        <v>98.3</v>
      </c>
      <c r="BC60" s="26">
        <v>97.5</v>
      </c>
      <c r="BD60" s="26">
        <v>99.0</v>
      </c>
      <c r="BE60" s="26">
        <v>-2.72</v>
      </c>
      <c r="BF60" s="26">
        <v>59.0</v>
      </c>
      <c r="BG60" s="26"/>
      <c r="BH60" s="26"/>
      <c r="BI60" s="26"/>
      <c r="BJ60" s="26"/>
    </row>
    <row r="61" ht="15.75" customHeight="1">
      <c r="A61" s="25"/>
      <c r="B61" s="26"/>
      <c r="C61" s="26">
        <v>32.0</v>
      </c>
      <c r="D61" s="26">
        <v>109.8</v>
      </c>
      <c r="E61" s="26">
        <v>109.0</v>
      </c>
      <c r="F61" s="26">
        <v>110.6</v>
      </c>
      <c r="G61" s="26">
        <v>-1.7</v>
      </c>
      <c r="H61" s="26">
        <v>75.0</v>
      </c>
      <c r="I61" s="26"/>
      <c r="J61" s="26"/>
      <c r="K61" s="26">
        <v>32.0</v>
      </c>
      <c r="L61" s="26">
        <v>111.4</v>
      </c>
      <c r="M61" s="26">
        <v>110.5</v>
      </c>
      <c r="N61" s="26">
        <v>112.2</v>
      </c>
      <c r="O61" s="26">
        <v>-3.06</v>
      </c>
      <c r="P61" s="26">
        <v>54.0</v>
      </c>
      <c r="Q61" s="26"/>
      <c r="R61" s="26">
        <v>32.0</v>
      </c>
      <c r="S61" s="26">
        <v>116.6</v>
      </c>
      <c r="T61" s="26">
        <v>115.8</v>
      </c>
      <c r="U61" s="26">
        <v>117.5</v>
      </c>
      <c r="V61" s="26">
        <v>-2.11</v>
      </c>
      <c r="W61" s="26">
        <v>68.0</v>
      </c>
      <c r="X61" s="26"/>
      <c r="Y61" s="26"/>
      <c r="Z61" s="26">
        <v>32.0</v>
      </c>
      <c r="AA61" s="26">
        <v>108.3</v>
      </c>
      <c r="AB61" s="26">
        <v>105.1</v>
      </c>
      <c r="AC61" s="26">
        <v>111.4</v>
      </c>
      <c r="AD61" s="26">
        <v>-4.83</v>
      </c>
      <c r="AE61" s="26">
        <v>28.0</v>
      </c>
      <c r="AF61" s="26"/>
      <c r="AG61" s="26"/>
      <c r="AH61" s="26"/>
      <c r="AI61" s="26">
        <v>31.0</v>
      </c>
      <c r="AJ61" s="26">
        <v>132.3</v>
      </c>
      <c r="AK61" s="26">
        <v>130.1</v>
      </c>
      <c r="AL61" s="26">
        <v>134.5</v>
      </c>
      <c r="AM61" s="26">
        <v>-1.42</v>
      </c>
      <c r="AN61" s="26">
        <v>86.0</v>
      </c>
      <c r="AO61" s="26"/>
      <c r="AP61" s="26"/>
      <c r="AQ61" s="26"/>
      <c r="AR61" s="26"/>
      <c r="AS61" s="26">
        <v>32.0</v>
      </c>
      <c r="AT61" s="26">
        <v>137.2</v>
      </c>
      <c r="AU61" s="26">
        <v>135.8</v>
      </c>
      <c r="AV61" s="26">
        <v>138.6</v>
      </c>
      <c r="AW61" s="26">
        <v>1.08</v>
      </c>
      <c r="AX61" s="26">
        <v>116.0</v>
      </c>
      <c r="AY61" s="26"/>
      <c r="AZ61" s="26"/>
      <c r="BA61" s="26">
        <v>32.0</v>
      </c>
      <c r="BB61" s="26">
        <v>98.4</v>
      </c>
      <c r="BC61" s="26">
        <v>97.7</v>
      </c>
      <c r="BD61" s="26">
        <v>99.1</v>
      </c>
      <c r="BE61" s="26">
        <v>-2.66</v>
      </c>
      <c r="BF61" s="26">
        <v>60.0</v>
      </c>
      <c r="BG61" s="26"/>
      <c r="BH61" s="26"/>
      <c r="BI61" s="26"/>
      <c r="BJ61" s="26"/>
    </row>
    <row r="62" ht="15.75" customHeight="1">
      <c r="A62" s="25"/>
      <c r="B62" s="26"/>
      <c r="C62" s="26">
        <v>33.0</v>
      </c>
      <c r="D62" s="26">
        <v>110.1</v>
      </c>
      <c r="E62" s="26">
        <v>109.3</v>
      </c>
      <c r="F62" s="26">
        <v>110.9</v>
      </c>
      <c r="G62" s="26">
        <v>-1.66</v>
      </c>
      <c r="H62" s="26">
        <v>75.0</v>
      </c>
      <c r="I62" s="26"/>
      <c r="J62" s="26"/>
      <c r="K62" s="26">
        <v>33.0</v>
      </c>
      <c r="L62" s="26">
        <v>111.7</v>
      </c>
      <c r="M62" s="26">
        <v>110.7</v>
      </c>
      <c r="N62" s="26">
        <v>112.6</v>
      </c>
      <c r="O62" s="26">
        <v>-2.99</v>
      </c>
      <c r="P62" s="26">
        <v>55.0</v>
      </c>
      <c r="Q62" s="26"/>
      <c r="R62" s="26">
        <v>33.0</v>
      </c>
      <c r="S62" s="26">
        <v>116.9</v>
      </c>
      <c r="T62" s="26">
        <v>116.1</v>
      </c>
      <c r="U62" s="26">
        <v>117.7</v>
      </c>
      <c r="V62" s="26">
        <v>-2.07</v>
      </c>
      <c r="W62" s="26">
        <v>69.0</v>
      </c>
      <c r="X62" s="26"/>
      <c r="Y62" s="26"/>
      <c r="Z62" s="26">
        <v>33.0</v>
      </c>
      <c r="AA62" s="26">
        <v>108.7</v>
      </c>
      <c r="AB62" s="26">
        <v>105.6</v>
      </c>
      <c r="AC62" s="26">
        <v>111.9</v>
      </c>
      <c r="AD62" s="26">
        <v>-4.74</v>
      </c>
      <c r="AE62" s="26">
        <v>29.0</v>
      </c>
      <c r="AF62" s="26"/>
      <c r="AG62" s="26"/>
      <c r="AH62" s="26"/>
      <c r="AI62" s="26">
        <v>32.0</v>
      </c>
      <c r="AJ62" s="26">
        <v>134.0</v>
      </c>
      <c r="AK62" s="26">
        <v>132.0</v>
      </c>
      <c r="AL62" s="26">
        <v>136.0</v>
      </c>
      <c r="AM62" s="26">
        <v>-1.13</v>
      </c>
      <c r="AN62" s="26">
        <v>90.0</v>
      </c>
      <c r="AO62" s="26"/>
      <c r="AP62" s="26"/>
      <c r="AQ62" s="26"/>
      <c r="AR62" s="26"/>
      <c r="AS62" s="26">
        <v>33.0</v>
      </c>
      <c r="AT62" s="26">
        <v>138.0</v>
      </c>
      <c r="AU62" s="26">
        <v>136.5</v>
      </c>
      <c r="AV62" s="26">
        <v>139.4</v>
      </c>
      <c r="AW62" s="26">
        <v>1.23</v>
      </c>
      <c r="AX62" s="26">
        <v>118.0</v>
      </c>
      <c r="AY62" s="26"/>
      <c r="AZ62" s="26"/>
      <c r="BA62" s="26">
        <v>33.0</v>
      </c>
      <c r="BB62" s="26">
        <v>98.6</v>
      </c>
      <c r="BC62" s="26">
        <v>97.9</v>
      </c>
      <c r="BD62" s="26">
        <v>99.3</v>
      </c>
      <c r="BE62" s="26">
        <v>-2.61</v>
      </c>
      <c r="BF62" s="26">
        <v>61.0</v>
      </c>
      <c r="BG62" s="26"/>
      <c r="BH62" s="26"/>
      <c r="BI62" s="26"/>
      <c r="BJ62" s="26"/>
    </row>
    <row r="63" ht="15.75" customHeight="1">
      <c r="A63" s="25"/>
      <c r="B63" s="26"/>
      <c r="C63" s="26">
        <v>34.0</v>
      </c>
      <c r="D63" s="26">
        <v>110.3</v>
      </c>
      <c r="E63" s="26">
        <v>109.5</v>
      </c>
      <c r="F63" s="26">
        <v>111.1</v>
      </c>
      <c r="G63" s="26">
        <v>-1.63</v>
      </c>
      <c r="H63" s="26">
        <v>76.0</v>
      </c>
      <c r="I63" s="26"/>
      <c r="J63" s="26"/>
      <c r="K63" s="26">
        <v>34.0</v>
      </c>
      <c r="L63" s="26">
        <v>112.0</v>
      </c>
      <c r="M63" s="26">
        <v>111.0</v>
      </c>
      <c r="N63" s="26">
        <v>113.0</v>
      </c>
      <c r="O63" s="26">
        <v>-2.91</v>
      </c>
      <c r="P63" s="26">
        <v>56.0</v>
      </c>
      <c r="Q63" s="26"/>
      <c r="R63" s="26">
        <v>34.0</v>
      </c>
      <c r="S63" s="26">
        <v>117.2</v>
      </c>
      <c r="T63" s="26">
        <v>116.3</v>
      </c>
      <c r="U63" s="26">
        <v>118.0</v>
      </c>
      <c r="V63" s="26">
        <v>-2.02</v>
      </c>
      <c r="W63" s="26">
        <v>70.0</v>
      </c>
      <c r="X63" s="26"/>
      <c r="Y63" s="26"/>
      <c r="Z63" s="26">
        <v>34.0</v>
      </c>
      <c r="AA63" s="26">
        <v>109.2</v>
      </c>
      <c r="AB63" s="26">
        <v>106.0</v>
      </c>
      <c r="AC63" s="26">
        <v>112.3</v>
      </c>
      <c r="AD63" s="26">
        <v>-4.65</v>
      </c>
      <c r="AE63" s="26">
        <v>30.0</v>
      </c>
      <c r="AF63" s="26"/>
      <c r="AG63" s="26"/>
      <c r="AH63" s="26"/>
      <c r="AI63" s="26">
        <v>33.0</v>
      </c>
      <c r="AJ63" s="26">
        <v>135.2</v>
      </c>
      <c r="AK63" s="26">
        <v>133.6</v>
      </c>
      <c r="AL63" s="26">
        <v>136.8</v>
      </c>
      <c r="AM63" s="26">
        <v>-0.93</v>
      </c>
      <c r="AN63" s="26">
        <v>93.0</v>
      </c>
      <c r="AO63" s="26"/>
      <c r="AP63" s="26"/>
      <c r="AQ63" s="26"/>
      <c r="AR63" s="26"/>
      <c r="AS63" s="26">
        <v>34.0</v>
      </c>
      <c r="AT63" s="26">
        <v>138.8</v>
      </c>
      <c r="AU63" s="26">
        <v>137.3</v>
      </c>
      <c r="AV63" s="26">
        <v>140.3</v>
      </c>
      <c r="AW63" s="26">
        <v>1.39</v>
      </c>
      <c r="AX63" s="26">
        <v>121.0</v>
      </c>
      <c r="AY63" s="26"/>
      <c r="AZ63" s="26"/>
      <c r="BA63" s="26">
        <v>34.0</v>
      </c>
      <c r="BB63" s="26">
        <v>98.8</v>
      </c>
      <c r="BC63" s="26">
        <v>98.1</v>
      </c>
      <c r="BD63" s="26">
        <v>99.4</v>
      </c>
      <c r="BE63" s="26">
        <v>-2.56</v>
      </c>
      <c r="BF63" s="26">
        <v>62.0</v>
      </c>
      <c r="BG63" s="26"/>
      <c r="BH63" s="26"/>
      <c r="BI63" s="26"/>
      <c r="BJ63" s="26"/>
    </row>
    <row r="64" ht="15.75" customHeight="1">
      <c r="A64" s="25"/>
      <c r="B64" s="26"/>
      <c r="C64" s="26">
        <v>35.0</v>
      </c>
      <c r="D64" s="26">
        <v>110.5</v>
      </c>
      <c r="E64" s="26">
        <v>109.7</v>
      </c>
      <c r="F64" s="26">
        <v>111.3</v>
      </c>
      <c r="G64" s="26">
        <v>-1.6</v>
      </c>
      <c r="H64" s="26">
        <v>76.0</v>
      </c>
      <c r="I64" s="26"/>
      <c r="J64" s="26"/>
      <c r="K64" s="26">
        <v>35.0</v>
      </c>
      <c r="L64" s="26">
        <v>112.4</v>
      </c>
      <c r="M64" s="26">
        <v>111.3</v>
      </c>
      <c r="N64" s="26">
        <v>113.5</v>
      </c>
      <c r="O64" s="26">
        <v>-2.81</v>
      </c>
      <c r="P64" s="26">
        <v>58.0</v>
      </c>
      <c r="Q64" s="26"/>
      <c r="R64" s="26">
        <v>35.0</v>
      </c>
      <c r="S64" s="26">
        <v>117.5</v>
      </c>
      <c r="T64" s="26">
        <v>116.6</v>
      </c>
      <c r="U64" s="26">
        <v>118.3</v>
      </c>
      <c r="V64" s="26">
        <v>-1.97</v>
      </c>
      <c r="W64" s="26">
        <v>70.0</v>
      </c>
      <c r="X64" s="26"/>
      <c r="Y64" s="26"/>
      <c r="Z64" s="26">
        <v>35.0</v>
      </c>
      <c r="AA64" s="26">
        <v>109.6</v>
      </c>
      <c r="AB64" s="26">
        <v>106.5</v>
      </c>
      <c r="AC64" s="26">
        <v>112.7</v>
      </c>
      <c r="AD64" s="26">
        <v>-4.56</v>
      </c>
      <c r="AE64" s="26">
        <v>32.0</v>
      </c>
      <c r="AF64" s="26"/>
      <c r="AG64" s="26"/>
      <c r="AH64" s="26"/>
      <c r="AI64" s="26">
        <v>34.0</v>
      </c>
      <c r="AJ64" s="26">
        <v>136.0</v>
      </c>
      <c r="AK64" s="26">
        <v>134.7</v>
      </c>
      <c r="AL64" s="26">
        <v>137.4</v>
      </c>
      <c r="AM64" s="26">
        <v>-0.79</v>
      </c>
      <c r="AN64" s="26">
        <v>95.0</v>
      </c>
      <c r="AO64" s="26"/>
      <c r="AP64" s="26"/>
      <c r="AQ64" s="26"/>
      <c r="AR64" s="26"/>
      <c r="AS64" s="26">
        <v>35.0</v>
      </c>
      <c r="AT64" s="26">
        <v>139.7</v>
      </c>
      <c r="AU64" s="26">
        <v>138.1</v>
      </c>
      <c r="AV64" s="26">
        <v>141.3</v>
      </c>
      <c r="AW64" s="26">
        <v>1.57</v>
      </c>
      <c r="AX64" s="26">
        <v>124.0</v>
      </c>
      <c r="AY64" s="26"/>
      <c r="AZ64" s="26"/>
      <c r="BA64" s="26">
        <v>35.0</v>
      </c>
      <c r="BB64" s="26">
        <v>98.9</v>
      </c>
      <c r="BC64" s="26">
        <v>98.3</v>
      </c>
      <c r="BD64" s="26">
        <v>99.6</v>
      </c>
      <c r="BE64" s="26">
        <v>-2.51</v>
      </c>
      <c r="BF64" s="26">
        <v>62.0</v>
      </c>
      <c r="BG64" s="26"/>
      <c r="BH64" s="26"/>
      <c r="BI64" s="26"/>
      <c r="BJ64" s="26"/>
    </row>
    <row r="65" ht="15.75" customHeight="1">
      <c r="A65" s="25"/>
      <c r="B65" s="26"/>
      <c r="C65" s="26">
        <v>36.0</v>
      </c>
      <c r="D65" s="26">
        <v>110.7</v>
      </c>
      <c r="E65" s="26">
        <v>110.0</v>
      </c>
      <c r="F65" s="26">
        <v>111.5</v>
      </c>
      <c r="G65" s="26">
        <v>-1.56</v>
      </c>
      <c r="H65" s="26">
        <v>77.0</v>
      </c>
      <c r="I65" s="26"/>
      <c r="J65" s="26"/>
      <c r="K65" s="26">
        <v>36.0</v>
      </c>
      <c r="L65" s="26">
        <v>112.9</v>
      </c>
      <c r="M65" s="26">
        <v>111.7</v>
      </c>
      <c r="N65" s="26">
        <v>114.0</v>
      </c>
      <c r="O65" s="26">
        <v>-2.69</v>
      </c>
      <c r="P65" s="26">
        <v>60.0</v>
      </c>
      <c r="Q65" s="26"/>
      <c r="R65" s="26">
        <v>36.0</v>
      </c>
      <c r="S65" s="26">
        <v>117.7</v>
      </c>
      <c r="T65" s="26">
        <v>116.8</v>
      </c>
      <c r="U65" s="26">
        <v>118.6</v>
      </c>
      <c r="V65" s="26">
        <v>-1.93</v>
      </c>
      <c r="W65" s="26">
        <v>71.0</v>
      </c>
      <c r="X65" s="26"/>
      <c r="Y65" s="26"/>
      <c r="Z65" s="26">
        <v>36.0</v>
      </c>
      <c r="AA65" s="26">
        <v>110.1</v>
      </c>
      <c r="AB65" s="26">
        <v>106.9</v>
      </c>
      <c r="AC65" s="26">
        <v>113.2</v>
      </c>
      <c r="AD65" s="26">
        <v>-4.48</v>
      </c>
      <c r="AE65" s="26">
        <v>33.0</v>
      </c>
      <c r="AF65" s="26"/>
      <c r="AG65" s="26"/>
      <c r="AH65" s="26"/>
      <c r="AI65" s="26">
        <v>35.0</v>
      </c>
      <c r="AJ65" s="26">
        <v>136.7</v>
      </c>
      <c r="AK65" s="26">
        <v>135.4</v>
      </c>
      <c r="AL65" s="26">
        <v>137.9</v>
      </c>
      <c r="AM65" s="26">
        <v>-0.69</v>
      </c>
      <c r="AN65" s="26">
        <v>97.0</v>
      </c>
      <c r="AO65" s="26"/>
      <c r="AP65" s="26"/>
      <c r="AQ65" s="26"/>
      <c r="AR65" s="26"/>
      <c r="AS65" s="26">
        <v>36.0</v>
      </c>
      <c r="AT65" s="26">
        <v>140.9</v>
      </c>
      <c r="AU65" s="26">
        <v>138.9</v>
      </c>
      <c r="AV65" s="26">
        <v>142.8</v>
      </c>
      <c r="AW65" s="26">
        <v>1.79</v>
      </c>
      <c r="AX65" s="26">
        <v>127.0</v>
      </c>
      <c r="AY65" s="26"/>
      <c r="AZ65" s="26"/>
      <c r="BA65" s="26">
        <v>36.0</v>
      </c>
      <c r="BB65" s="26">
        <v>99.1</v>
      </c>
      <c r="BC65" s="26">
        <v>98.4</v>
      </c>
      <c r="BD65" s="26">
        <v>99.8</v>
      </c>
      <c r="BE65" s="26">
        <v>-2.46</v>
      </c>
      <c r="BF65" s="26">
        <v>63.0</v>
      </c>
      <c r="BG65" s="26"/>
      <c r="BH65" s="26"/>
      <c r="BI65" s="26"/>
      <c r="BJ65" s="26"/>
    </row>
    <row r="66" ht="15.75" customHeight="1">
      <c r="A66" s="25"/>
      <c r="B66" s="26"/>
      <c r="C66" s="26">
        <v>37.0</v>
      </c>
      <c r="D66" s="26">
        <v>111.0</v>
      </c>
      <c r="E66" s="26">
        <v>110.2</v>
      </c>
      <c r="F66" s="26">
        <v>111.7</v>
      </c>
      <c r="G66" s="26">
        <v>-1.53</v>
      </c>
      <c r="H66" s="26">
        <v>77.0</v>
      </c>
      <c r="I66" s="26"/>
      <c r="J66" s="26"/>
      <c r="K66" s="26">
        <v>37.0</v>
      </c>
      <c r="L66" s="26">
        <v>113.4</v>
      </c>
      <c r="M66" s="26">
        <v>112.2</v>
      </c>
      <c r="N66" s="26">
        <v>114.6</v>
      </c>
      <c r="O66" s="26">
        <v>-2.56</v>
      </c>
      <c r="P66" s="26">
        <v>62.0</v>
      </c>
      <c r="Q66" s="26"/>
      <c r="R66" s="26">
        <v>37.0</v>
      </c>
      <c r="S66" s="26">
        <v>118.0</v>
      </c>
      <c r="T66" s="26">
        <v>117.1</v>
      </c>
      <c r="U66" s="26">
        <v>119.0</v>
      </c>
      <c r="V66" s="26">
        <v>-1.87</v>
      </c>
      <c r="W66" s="26">
        <v>72.0</v>
      </c>
      <c r="X66" s="26"/>
      <c r="Y66" s="26"/>
      <c r="Z66" s="26">
        <v>37.0</v>
      </c>
      <c r="AA66" s="26">
        <v>110.5</v>
      </c>
      <c r="AB66" s="26">
        <v>107.4</v>
      </c>
      <c r="AC66" s="26">
        <v>113.6</v>
      </c>
      <c r="AD66" s="26">
        <v>-4.39</v>
      </c>
      <c r="AE66" s="26">
        <v>34.0</v>
      </c>
      <c r="AF66" s="26"/>
      <c r="AG66" s="26"/>
      <c r="AH66" s="26"/>
      <c r="AI66" s="26">
        <v>36.0</v>
      </c>
      <c r="AJ66" s="26">
        <v>137.2</v>
      </c>
      <c r="AK66" s="26">
        <v>136.0</v>
      </c>
      <c r="AL66" s="26">
        <v>138.3</v>
      </c>
      <c r="AM66" s="26">
        <v>-0.6</v>
      </c>
      <c r="AN66" s="26">
        <v>98.0</v>
      </c>
      <c r="AO66" s="26"/>
      <c r="AP66" s="26"/>
      <c r="AQ66" s="26"/>
      <c r="AR66" s="26"/>
      <c r="AS66" s="26">
        <v>37.0</v>
      </c>
      <c r="AT66" s="26">
        <v>142.5</v>
      </c>
      <c r="AU66" s="26">
        <v>140.2</v>
      </c>
      <c r="AV66" s="26">
        <v>144.8</v>
      </c>
      <c r="AW66" s="26">
        <v>2.11</v>
      </c>
      <c r="AX66" s="26">
        <v>132.0</v>
      </c>
      <c r="AY66" s="26"/>
      <c r="AZ66" s="26"/>
      <c r="BA66" s="26">
        <v>37.0</v>
      </c>
      <c r="BB66" s="26">
        <v>99.3</v>
      </c>
      <c r="BC66" s="26">
        <v>98.6</v>
      </c>
      <c r="BD66" s="26">
        <v>100.0</v>
      </c>
      <c r="BE66" s="26">
        <v>-2.41</v>
      </c>
      <c r="BF66" s="26">
        <v>64.0</v>
      </c>
      <c r="BG66" s="26"/>
      <c r="BH66" s="26"/>
      <c r="BI66" s="26"/>
      <c r="BJ66" s="26"/>
    </row>
    <row r="67" ht="15.75" customHeight="1">
      <c r="A67" s="25"/>
      <c r="B67" s="26"/>
      <c r="C67" s="26">
        <v>38.0</v>
      </c>
      <c r="D67" s="26">
        <v>111.2</v>
      </c>
      <c r="E67" s="26">
        <v>110.4</v>
      </c>
      <c r="F67" s="26">
        <v>112.0</v>
      </c>
      <c r="G67" s="26">
        <v>-1.5</v>
      </c>
      <c r="H67" s="26">
        <v>78.0</v>
      </c>
      <c r="I67" s="26"/>
      <c r="J67" s="26"/>
      <c r="K67" s="26">
        <v>38.0</v>
      </c>
      <c r="L67" s="26">
        <v>113.9</v>
      </c>
      <c r="M67" s="26">
        <v>112.8</v>
      </c>
      <c r="N67" s="26">
        <v>115.1</v>
      </c>
      <c r="O67" s="26">
        <v>-2.43</v>
      </c>
      <c r="P67" s="26">
        <v>64.0</v>
      </c>
      <c r="Q67" s="26"/>
      <c r="R67" s="26">
        <v>38.0</v>
      </c>
      <c r="S67" s="26">
        <v>118.4</v>
      </c>
      <c r="T67" s="26">
        <v>117.4</v>
      </c>
      <c r="U67" s="26">
        <v>119.3</v>
      </c>
      <c r="V67" s="26">
        <v>-1.82</v>
      </c>
      <c r="W67" s="26">
        <v>73.0</v>
      </c>
      <c r="X67" s="26"/>
      <c r="Y67" s="26"/>
      <c r="Z67" s="26">
        <v>38.0</v>
      </c>
      <c r="AA67" s="26">
        <v>111.0</v>
      </c>
      <c r="AB67" s="26">
        <v>107.8</v>
      </c>
      <c r="AC67" s="26">
        <v>114.1</v>
      </c>
      <c r="AD67" s="26">
        <v>-4.31</v>
      </c>
      <c r="AE67" s="26">
        <v>35.0</v>
      </c>
      <c r="AF67" s="26"/>
      <c r="AG67" s="26"/>
      <c r="AH67" s="26"/>
      <c r="AI67" s="26">
        <v>37.0</v>
      </c>
      <c r="AJ67" s="26">
        <v>137.6</v>
      </c>
      <c r="AK67" s="26">
        <v>136.5</v>
      </c>
      <c r="AL67" s="26">
        <v>138.7</v>
      </c>
      <c r="AM67" s="26">
        <v>-0.53</v>
      </c>
      <c r="AN67" s="26">
        <v>99.0</v>
      </c>
      <c r="AO67" s="26"/>
      <c r="AP67" s="26"/>
      <c r="AQ67" s="26"/>
      <c r="AR67" s="26"/>
      <c r="AS67" s="26">
        <v>38.0</v>
      </c>
      <c r="AT67" s="26">
        <v>144.3</v>
      </c>
      <c r="AU67" s="26">
        <v>141.0</v>
      </c>
      <c r="AV67" s="26">
        <v>147.7</v>
      </c>
      <c r="AW67" s="26">
        <v>2.47</v>
      </c>
      <c r="AX67" s="26">
        <v>137.0</v>
      </c>
      <c r="AY67" s="26"/>
      <c r="AZ67" s="26"/>
      <c r="BA67" s="26">
        <v>38.0</v>
      </c>
      <c r="BB67" s="26">
        <v>99.5</v>
      </c>
      <c r="BC67" s="26">
        <v>98.8</v>
      </c>
      <c r="BD67" s="26">
        <v>100.2</v>
      </c>
      <c r="BE67" s="26">
        <v>-2.35</v>
      </c>
      <c r="BF67" s="26">
        <v>65.0</v>
      </c>
      <c r="BG67" s="26"/>
      <c r="BH67" s="26"/>
      <c r="BI67" s="26"/>
      <c r="BJ67" s="26"/>
    </row>
    <row r="68" ht="15.75" customHeight="1">
      <c r="A68" s="25"/>
      <c r="B68" s="26"/>
      <c r="C68" s="26">
        <v>39.0</v>
      </c>
      <c r="D68" s="26">
        <v>111.4</v>
      </c>
      <c r="E68" s="26">
        <v>110.6</v>
      </c>
      <c r="F68" s="26">
        <v>112.2</v>
      </c>
      <c r="G68" s="26">
        <v>-1.46</v>
      </c>
      <c r="H68" s="26">
        <v>78.0</v>
      </c>
      <c r="I68" s="26"/>
      <c r="J68" s="26"/>
      <c r="K68" s="26">
        <v>39.0</v>
      </c>
      <c r="L68" s="26">
        <v>114.4</v>
      </c>
      <c r="M68" s="26">
        <v>113.3</v>
      </c>
      <c r="N68" s="26">
        <v>115.4</v>
      </c>
      <c r="O68" s="26">
        <v>-2.32</v>
      </c>
      <c r="P68" s="26">
        <v>65.0</v>
      </c>
      <c r="Q68" s="26"/>
      <c r="R68" s="26">
        <v>39.0</v>
      </c>
      <c r="S68" s="26">
        <v>118.7</v>
      </c>
      <c r="T68" s="26">
        <v>117.7</v>
      </c>
      <c r="U68" s="26">
        <v>119.7</v>
      </c>
      <c r="V68" s="26">
        <v>-1.76</v>
      </c>
      <c r="W68" s="26">
        <v>74.0</v>
      </c>
      <c r="X68" s="26"/>
      <c r="Y68" s="26"/>
      <c r="Z68" s="26">
        <v>39.0</v>
      </c>
      <c r="AA68" s="26">
        <v>111.4</v>
      </c>
      <c r="AB68" s="26">
        <v>108.3</v>
      </c>
      <c r="AC68" s="26">
        <v>114.5</v>
      </c>
      <c r="AD68" s="26">
        <v>-4.22</v>
      </c>
      <c r="AE68" s="26">
        <v>37.0</v>
      </c>
      <c r="AF68" s="26"/>
      <c r="AG68" s="26"/>
      <c r="AH68" s="26"/>
      <c r="AI68" s="26">
        <v>38.0</v>
      </c>
      <c r="AJ68" s="26">
        <v>138.1</v>
      </c>
      <c r="AK68" s="26">
        <v>137.0</v>
      </c>
      <c r="AL68" s="26">
        <v>139.1</v>
      </c>
      <c r="AM68" s="26">
        <v>-0.45</v>
      </c>
      <c r="AN68" s="26">
        <v>100.0</v>
      </c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>
        <v>39.0</v>
      </c>
      <c r="BB68" s="26">
        <v>99.7</v>
      </c>
      <c r="BC68" s="26">
        <v>98.9</v>
      </c>
      <c r="BD68" s="26">
        <v>100.4</v>
      </c>
      <c r="BE68" s="26">
        <v>-2.29</v>
      </c>
      <c r="BF68" s="26">
        <v>66.0</v>
      </c>
      <c r="BG68" s="26"/>
      <c r="BH68" s="26"/>
      <c r="BI68" s="26"/>
      <c r="BJ68" s="26"/>
    </row>
    <row r="69" ht="15.75" customHeight="1">
      <c r="A69" s="25"/>
      <c r="B69" s="26"/>
      <c r="C69" s="26">
        <v>40.0</v>
      </c>
      <c r="D69" s="26">
        <v>111.7</v>
      </c>
      <c r="E69" s="26">
        <v>110.8</v>
      </c>
      <c r="F69" s="26">
        <v>112.5</v>
      </c>
      <c r="G69" s="26">
        <v>-1.43</v>
      </c>
      <c r="H69" s="26">
        <v>79.0</v>
      </c>
      <c r="I69" s="26"/>
      <c r="J69" s="26"/>
      <c r="K69" s="26">
        <v>40.0</v>
      </c>
      <c r="L69" s="26">
        <v>114.7</v>
      </c>
      <c r="M69" s="26">
        <v>113.8</v>
      </c>
      <c r="N69" s="26">
        <v>115.7</v>
      </c>
      <c r="O69" s="26">
        <v>-2.23</v>
      </c>
      <c r="P69" s="26">
        <v>67.0</v>
      </c>
      <c r="Q69" s="26"/>
      <c r="R69" s="26">
        <v>40.0</v>
      </c>
      <c r="S69" s="26">
        <v>119.1</v>
      </c>
      <c r="T69" s="26">
        <v>118.1</v>
      </c>
      <c r="U69" s="26">
        <v>120.1</v>
      </c>
      <c r="V69" s="26">
        <v>-1.7</v>
      </c>
      <c r="W69" s="26">
        <v>74.0</v>
      </c>
      <c r="X69" s="26"/>
      <c r="Y69" s="26"/>
      <c r="Z69" s="26">
        <v>40.0</v>
      </c>
      <c r="AA69" s="26">
        <v>111.8</v>
      </c>
      <c r="AB69" s="26">
        <v>108.7</v>
      </c>
      <c r="AC69" s="26">
        <v>114.9</v>
      </c>
      <c r="AD69" s="26">
        <v>-4.13</v>
      </c>
      <c r="AE69" s="26">
        <v>38.0</v>
      </c>
      <c r="AF69" s="26"/>
      <c r="AG69" s="26"/>
      <c r="AH69" s="26"/>
      <c r="AI69" s="26">
        <v>39.0</v>
      </c>
      <c r="AJ69" s="26">
        <v>138.5</v>
      </c>
      <c r="AK69" s="26">
        <v>137.4</v>
      </c>
      <c r="AL69" s="26">
        <v>139.5</v>
      </c>
      <c r="AM69" s="26">
        <v>-0.38</v>
      </c>
      <c r="AN69" s="26">
        <v>101.0</v>
      </c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>
        <v>40.0</v>
      </c>
      <c r="BB69" s="26">
        <v>99.9</v>
      </c>
      <c r="BC69" s="26">
        <v>99.1</v>
      </c>
      <c r="BD69" s="26">
        <v>100.7</v>
      </c>
      <c r="BE69" s="26">
        <v>-2.23</v>
      </c>
      <c r="BF69" s="26">
        <v>67.0</v>
      </c>
      <c r="BG69" s="26"/>
      <c r="BH69" s="26"/>
      <c r="BI69" s="26"/>
      <c r="BJ69" s="26"/>
    </row>
    <row r="70" ht="15.75" customHeight="1">
      <c r="A70" s="25"/>
      <c r="B70" s="26"/>
      <c r="C70" s="26">
        <v>41.0</v>
      </c>
      <c r="D70" s="26">
        <v>112.0</v>
      </c>
      <c r="E70" s="26">
        <v>111.0</v>
      </c>
      <c r="F70" s="26">
        <v>112.9</v>
      </c>
      <c r="G70" s="26">
        <v>-1.38</v>
      </c>
      <c r="H70" s="26">
        <v>79.0</v>
      </c>
      <c r="I70" s="26"/>
      <c r="J70" s="26"/>
      <c r="K70" s="26">
        <v>41.0</v>
      </c>
      <c r="L70" s="26">
        <v>115.0</v>
      </c>
      <c r="M70" s="26">
        <v>114.1</v>
      </c>
      <c r="N70" s="26">
        <v>116.0</v>
      </c>
      <c r="O70" s="26">
        <v>-2.15</v>
      </c>
      <c r="P70" s="26">
        <v>68.0</v>
      </c>
      <c r="Q70" s="26"/>
      <c r="R70" s="26">
        <v>41.0</v>
      </c>
      <c r="S70" s="26">
        <v>119.5</v>
      </c>
      <c r="T70" s="26">
        <v>118.4</v>
      </c>
      <c r="U70" s="26">
        <v>120.6</v>
      </c>
      <c r="V70" s="26">
        <v>-1.63</v>
      </c>
      <c r="W70" s="26">
        <v>76.0</v>
      </c>
      <c r="X70" s="26"/>
      <c r="Y70" s="26"/>
      <c r="Z70" s="26">
        <v>41.0</v>
      </c>
      <c r="AA70" s="26">
        <v>112.3</v>
      </c>
      <c r="AB70" s="26">
        <v>109.2</v>
      </c>
      <c r="AC70" s="26">
        <v>115.4</v>
      </c>
      <c r="AD70" s="26">
        <v>-4.05</v>
      </c>
      <c r="AE70" s="26">
        <v>39.0</v>
      </c>
      <c r="AF70" s="26"/>
      <c r="AG70" s="26"/>
      <c r="AH70" s="26"/>
      <c r="AI70" s="26">
        <v>40.0</v>
      </c>
      <c r="AJ70" s="26">
        <v>138.9</v>
      </c>
      <c r="AK70" s="26">
        <v>137.8</v>
      </c>
      <c r="AL70" s="26">
        <v>140.0</v>
      </c>
      <c r="AM70" s="26">
        <v>-0.31</v>
      </c>
      <c r="AN70" s="26">
        <v>102.0</v>
      </c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100.1</v>
      </c>
      <c r="BC70" s="26">
        <v>99.3</v>
      </c>
      <c r="BD70" s="26">
        <v>100.9</v>
      </c>
      <c r="BE70" s="26">
        <v>-2.16</v>
      </c>
      <c r="BF70" s="26">
        <v>68.0</v>
      </c>
      <c r="BG70" s="26"/>
      <c r="BH70" s="26"/>
      <c r="BI70" s="26"/>
      <c r="BJ70" s="26"/>
    </row>
    <row r="71" ht="15.75" customHeight="1">
      <c r="A71" s="25"/>
      <c r="B71" s="26"/>
      <c r="C71" s="26">
        <v>42.0</v>
      </c>
      <c r="D71" s="26">
        <v>112.3</v>
      </c>
      <c r="E71" s="26">
        <v>111.3</v>
      </c>
      <c r="F71" s="26">
        <v>113.3</v>
      </c>
      <c r="G71" s="26">
        <v>-1.34</v>
      </c>
      <c r="H71" s="26">
        <v>80.0</v>
      </c>
      <c r="I71" s="26"/>
      <c r="J71" s="26"/>
      <c r="K71" s="26">
        <v>42.0</v>
      </c>
      <c r="L71" s="26">
        <v>115.3</v>
      </c>
      <c r="M71" s="26">
        <v>114.4</v>
      </c>
      <c r="N71" s="26">
        <v>116.2</v>
      </c>
      <c r="O71" s="26">
        <v>-2.07</v>
      </c>
      <c r="P71" s="26">
        <v>69.0</v>
      </c>
      <c r="Q71" s="26"/>
      <c r="R71" s="26">
        <v>42.0</v>
      </c>
      <c r="S71" s="26">
        <v>119.9</v>
      </c>
      <c r="T71" s="26">
        <v>118.8</v>
      </c>
      <c r="U71" s="26">
        <v>121.0</v>
      </c>
      <c r="V71" s="26">
        <v>-1.56</v>
      </c>
      <c r="W71" s="26">
        <v>77.0</v>
      </c>
      <c r="X71" s="26"/>
      <c r="Y71" s="26"/>
      <c r="Z71" s="26">
        <v>42.0</v>
      </c>
      <c r="AA71" s="26">
        <v>112.7</v>
      </c>
      <c r="AB71" s="26">
        <v>109.6</v>
      </c>
      <c r="AC71" s="26">
        <v>115.8</v>
      </c>
      <c r="AD71" s="26">
        <v>-3.96</v>
      </c>
      <c r="AE71" s="26">
        <v>41.0</v>
      </c>
      <c r="AF71" s="26"/>
      <c r="AG71" s="26"/>
      <c r="AH71" s="26"/>
      <c r="AI71" s="26">
        <v>41.0</v>
      </c>
      <c r="AJ71" s="26">
        <v>139.3</v>
      </c>
      <c r="AK71" s="26">
        <v>138.2</v>
      </c>
      <c r="AL71" s="26">
        <v>140.4</v>
      </c>
      <c r="AM71" s="26">
        <v>-0.24</v>
      </c>
      <c r="AN71" s="26">
        <v>103.0</v>
      </c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100.4</v>
      </c>
      <c r="BC71" s="26">
        <v>99.5</v>
      </c>
      <c r="BD71" s="26">
        <v>101.2</v>
      </c>
      <c r="BE71" s="26">
        <v>-2.09</v>
      </c>
      <c r="BF71" s="26">
        <v>69.0</v>
      </c>
      <c r="BG71" s="26"/>
      <c r="BH71" s="26"/>
      <c r="BI71" s="26"/>
      <c r="BJ71" s="26"/>
    </row>
    <row r="72" ht="15.75" customHeight="1">
      <c r="A72" s="25"/>
      <c r="B72" s="26"/>
      <c r="C72" s="26">
        <v>43.0</v>
      </c>
      <c r="D72" s="26">
        <v>112.7</v>
      </c>
      <c r="E72" s="26">
        <v>111.7</v>
      </c>
      <c r="F72" s="26">
        <v>113.6</v>
      </c>
      <c r="G72" s="26">
        <v>-1.29</v>
      </c>
      <c r="H72" s="26">
        <v>81.0</v>
      </c>
      <c r="I72" s="26"/>
      <c r="J72" s="26"/>
      <c r="K72" s="26">
        <v>43.0</v>
      </c>
      <c r="L72" s="26">
        <v>115.6</v>
      </c>
      <c r="M72" s="26">
        <v>114.8</v>
      </c>
      <c r="N72" s="26">
        <v>116.5</v>
      </c>
      <c r="O72" s="26">
        <v>-2.0</v>
      </c>
      <c r="P72" s="26">
        <v>70.0</v>
      </c>
      <c r="Q72" s="26"/>
      <c r="R72" s="26">
        <v>43.0</v>
      </c>
      <c r="S72" s="26">
        <v>120.4</v>
      </c>
      <c r="T72" s="26">
        <v>119.2</v>
      </c>
      <c r="U72" s="26">
        <v>121.6</v>
      </c>
      <c r="V72" s="26">
        <v>-1.48</v>
      </c>
      <c r="W72" s="26">
        <v>78.0</v>
      </c>
      <c r="X72" s="26"/>
      <c r="Y72" s="26"/>
      <c r="Z72" s="26">
        <v>43.0</v>
      </c>
      <c r="AA72" s="26">
        <v>113.2</v>
      </c>
      <c r="AB72" s="26">
        <v>110.1</v>
      </c>
      <c r="AC72" s="26">
        <v>116.3</v>
      </c>
      <c r="AD72" s="26">
        <v>-2.32</v>
      </c>
      <c r="AE72" s="26">
        <v>65.0</v>
      </c>
      <c r="AF72" s="26"/>
      <c r="AG72" s="26"/>
      <c r="AH72" s="26"/>
      <c r="AI72" s="26">
        <v>42.0</v>
      </c>
      <c r="AJ72" s="26">
        <v>139.8</v>
      </c>
      <c r="AK72" s="26">
        <v>138.6</v>
      </c>
      <c r="AL72" s="26">
        <v>140.9</v>
      </c>
      <c r="AM72" s="26">
        <v>-0.16</v>
      </c>
      <c r="AN72" s="26">
        <v>104.0</v>
      </c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100.6</v>
      </c>
      <c r="BC72" s="26">
        <v>99.8</v>
      </c>
      <c r="BD72" s="26">
        <v>101.4</v>
      </c>
      <c r="BE72" s="26">
        <v>-2.02</v>
      </c>
      <c r="BF72" s="26">
        <v>70.0</v>
      </c>
      <c r="BG72" s="26"/>
      <c r="BH72" s="26"/>
      <c r="BI72" s="26"/>
      <c r="BJ72" s="26"/>
    </row>
    <row r="73" ht="15.75" customHeight="1">
      <c r="A73" s="25"/>
      <c r="B73" s="26"/>
      <c r="C73" s="26">
        <v>44.0</v>
      </c>
      <c r="D73" s="26">
        <v>113.0</v>
      </c>
      <c r="E73" s="26">
        <v>112.0</v>
      </c>
      <c r="F73" s="26">
        <v>114.0</v>
      </c>
      <c r="G73" s="26">
        <v>-1.23</v>
      </c>
      <c r="H73" s="26">
        <v>81.0</v>
      </c>
      <c r="I73" s="26"/>
      <c r="J73" s="26"/>
      <c r="K73" s="26">
        <v>44.0</v>
      </c>
      <c r="L73" s="26">
        <v>115.9</v>
      </c>
      <c r="M73" s="26">
        <v>115.0</v>
      </c>
      <c r="N73" s="26">
        <v>116.8</v>
      </c>
      <c r="O73" s="26">
        <v>-1.93</v>
      </c>
      <c r="P73" s="26">
        <v>71.0</v>
      </c>
      <c r="Q73" s="26"/>
      <c r="R73" s="26">
        <v>44.0</v>
      </c>
      <c r="S73" s="26">
        <v>121.0</v>
      </c>
      <c r="T73" s="26">
        <v>119.7</v>
      </c>
      <c r="U73" s="26">
        <v>122.2</v>
      </c>
      <c r="V73" s="26">
        <v>-1.39</v>
      </c>
      <c r="W73" s="26">
        <v>79.0</v>
      </c>
      <c r="X73" s="26"/>
      <c r="Y73" s="26"/>
      <c r="Z73" s="26">
        <v>44.0</v>
      </c>
      <c r="AA73" s="26">
        <v>113.6</v>
      </c>
      <c r="AB73" s="26">
        <v>110.5</v>
      </c>
      <c r="AC73" s="26">
        <v>116.7</v>
      </c>
      <c r="AD73" s="26">
        <v>-2.28</v>
      </c>
      <c r="AE73" s="26">
        <v>66.0</v>
      </c>
      <c r="AF73" s="26"/>
      <c r="AG73" s="26"/>
      <c r="AH73" s="26"/>
      <c r="AI73" s="26">
        <v>43.0</v>
      </c>
      <c r="AJ73" s="26">
        <v>140.3</v>
      </c>
      <c r="AK73" s="26">
        <v>139.1</v>
      </c>
      <c r="AL73" s="26">
        <v>141.5</v>
      </c>
      <c r="AM73" s="26">
        <v>-0.08</v>
      </c>
      <c r="AN73" s="26">
        <v>106.0</v>
      </c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100.9</v>
      </c>
      <c r="BC73" s="26">
        <v>100.1</v>
      </c>
      <c r="BD73" s="26">
        <v>101.7</v>
      </c>
      <c r="BE73" s="26">
        <v>-1.94</v>
      </c>
      <c r="BF73" s="26">
        <v>71.0</v>
      </c>
      <c r="BG73" s="26"/>
      <c r="BH73" s="26"/>
      <c r="BI73" s="26"/>
      <c r="BJ73" s="26"/>
    </row>
    <row r="74" ht="15.75" customHeight="1">
      <c r="A74" s="25"/>
      <c r="B74" s="26"/>
      <c r="C74" s="26">
        <v>45.0</v>
      </c>
      <c r="D74" s="26">
        <v>113.3</v>
      </c>
      <c r="E74" s="26">
        <v>112.4</v>
      </c>
      <c r="F74" s="26">
        <v>114.3</v>
      </c>
      <c r="G74" s="26">
        <v>-1.18</v>
      </c>
      <c r="H74" s="26">
        <v>82.0</v>
      </c>
      <c r="I74" s="26"/>
      <c r="J74" s="26"/>
      <c r="K74" s="26">
        <v>45.0</v>
      </c>
      <c r="L74" s="26">
        <v>116.2</v>
      </c>
      <c r="M74" s="26">
        <v>115.3</v>
      </c>
      <c r="N74" s="26">
        <v>117.1</v>
      </c>
      <c r="O74" s="26">
        <v>-1.86</v>
      </c>
      <c r="P74" s="26">
        <v>72.0</v>
      </c>
      <c r="Q74" s="26"/>
      <c r="R74" s="26">
        <v>45.0</v>
      </c>
      <c r="S74" s="26">
        <v>121.6</v>
      </c>
      <c r="T74" s="26">
        <v>120.3</v>
      </c>
      <c r="U74" s="26">
        <v>122.9</v>
      </c>
      <c r="V74" s="26">
        <v>-1.28</v>
      </c>
      <c r="W74" s="26">
        <v>81.0</v>
      </c>
      <c r="X74" s="26"/>
      <c r="Y74" s="26"/>
      <c r="Z74" s="26">
        <v>45.0</v>
      </c>
      <c r="AA74" s="26">
        <v>114.1</v>
      </c>
      <c r="AB74" s="26">
        <v>110.9</v>
      </c>
      <c r="AC74" s="26">
        <v>117.2</v>
      </c>
      <c r="AD74" s="26">
        <v>-2.24</v>
      </c>
      <c r="AE74" s="26">
        <v>66.0</v>
      </c>
      <c r="AF74" s="26"/>
      <c r="AG74" s="26"/>
      <c r="AH74" s="26"/>
      <c r="AI74" s="26">
        <v>44.0</v>
      </c>
      <c r="AJ74" s="26">
        <v>140.8</v>
      </c>
      <c r="AK74" s="26">
        <v>139.6</v>
      </c>
      <c r="AL74" s="26">
        <v>142.0</v>
      </c>
      <c r="AM74" s="26">
        <v>0.01</v>
      </c>
      <c r="AN74" s="26">
        <v>107.0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45.0</v>
      </c>
      <c r="BB74" s="26">
        <v>101.1</v>
      </c>
      <c r="BC74" s="26">
        <v>100.3</v>
      </c>
      <c r="BD74" s="26">
        <v>101.9</v>
      </c>
      <c r="BE74" s="26">
        <v>-1.87</v>
      </c>
      <c r="BF74" s="26">
        <v>72.0</v>
      </c>
      <c r="BG74" s="26"/>
      <c r="BH74" s="26"/>
      <c r="BI74" s="26"/>
      <c r="BJ74" s="26"/>
    </row>
    <row r="75" ht="15.75" customHeight="1">
      <c r="A75" s="25"/>
      <c r="B75" s="26"/>
      <c r="C75" s="26">
        <v>46.0</v>
      </c>
      <c r="D75" s="26">
        <v>113.7</v>
      </c>
      <c r="E75" s="26">
        <v>112.7</v>
      </c>
      <c r="F75" s="26">
        <v>114.7</v>
      </c>
      <c r="G75" s="26">
        <v>-1.13</v>
      </c>
      <c r="H75" s="26">
        <v>83.0</v>
      </c>
      <c r="I75" s="26"/>
      <c r="J75" s="26"/>
      <c r="K75" s="26">
        <v>46.0</v>
      </c>
      <c r="L75" s="26">
        <v>116.5</v>
      </c>
      <c r="M75" s="26">
        <v>115.6</v>
      </c>
      <c r="N75" s="26">
        <v>117.3</v>
      </c>
      <c r="O75" s="26">
        <v>-1.79</v>
      </c>
      <c r="P75" s="26">
        <v>73.0</v>
      </c>
      <c r="Q75" s="26"/>
      <c r="R75" s="26">
        <v>46.0</v>
      </c>
      <c r="S75" s="26">
        <v>122.3</v>
      </c>
      <c r="T75" s="26">
        <v>120.9</v>
      </c>
      <c r="U75" s="26">
        <v>123.6</v>
      </c>
      <c r="V75" s="26">
        <v>-1.17</v>
      </c>
      <c r="W75" s="26">
        <v>83.0</v>
      </c>
      <c r="X75" s="26"/>
      <c r="Y75" s="26"/>
      <c r="Z75" s="26">
        <v>46.0</v>
      </c>
      <c r="AA75" s="26">
        <v>114.5</v>
      </c>
      <c r="AB75" s="26">
        <v>111.4</v>
      </c>
      <c r="AC75" s="26">
        <v>117.7</v>
      </c>
      <c r="AD75" s="26">
        <v>-2.21</v>
      </c>
      <c r="AE75" s="26">
        <v>67.0</v>
      </c>
      <c r="AF75" s="26"/>
      <c r="AG75" s="26"/>
      <c r="AH75" s="26"/>
      <c r="AI75" s="26">
        <v>45.0</v>
      </c>
      <c r="AJ75" s="26">
        <v>141.4</v>
      </c>
      <c r="AK75" s="26">
        <v>140.1</v>
      </c>
      <c r="AL75" s="26">
        <v>142.6</v>
      </c>
      <c r="AM75" s="26">
        <v>0.1</v>
      </c>
      <c r="AN75" s="26">
        <v>108.0</v>
      </c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>
        <v>46.0</v>
      </c>
      <c r="BB75" s="26">
        <v>101.3</v>
      </c>
      <c r="BC75" s="26">
        <v>100.6</v>
      </c>
      <c r="BD75" s="26">
        <v>102.1</v>
      </c>
      <c r="BE75" s="26">
        <v>-1.81</v>
      </c>
      <c r="BF75" s="26">
        <v>73.0</v>
      </c>
      <c r="BG75" s="26"/>
      <c r="BH75" s="26"/>
      <c r="BI75" s="26"/>
      <c r="BJ75" s="26"/>
    </row>
    <row r="76" ht="15.75" customHeight="1">
      <c r="A76" s="25"/>
      <c r="B76" s="26"/>
      <c r="C76" s="26">
        <v>47.0</v>
      </c>
      <c r="D76" s="26">
        <v>114.2</v>
      </c>
      <c r="E76" s="26">
        <v>112.9</v>
      </c>
      <c r="F76" s="26">
        <v>115.5</v>
      </c>
      <c r="G76" s="26">
        <v>-1.06</v>
      </c>
      <c r="H76" s="26">
        <v>84.0</v>
      </c>
      <c r="I76" s="26"/>
      <c r="J76" s="26"/>
      <c r="K76" s="26">
        <v>47.0</v>
      </c>
      <c r="L76" s="26">
        <v>116.7</v>
      </c>
      <c r="M76" s="26">
        <v>115.9</v>
      </c>
      <c r="N76" s="26">
        <v>117.6</v>
      </c>
      <c r="O76" s="26">
        <v>-1.73</v>
      </c>
      <c r="P76" s="26">
        <v>74.0</v>
      </c>
      <c r="Q76" s="26"/>
      <c r="R76" s="26">
        <v>47.0</v>
      </c>
      <c r="S76" s="26">
        <v>123.0</v>
      </c>
      <c r="T76" s="26">
        <v>121.6</v>
      </c>
      <c r="U76" s="26">
        <v>124.4</v>
      </c>
      <c r="V76" s="26">
        <v>-1.05</v>
      </c>
      <c r="W76" s="26">
        <v>84.0</v>
      </c>
      <c r="X76" s="26"/>
      <c r="Y76" s="26"/>
      <c r="Z76" s="26">
        <v>47.0</v>
      </c>
      <c r="AA76" s="26">
        <v>115.0</v>
      </c>
      <c r="AB76" s="26">
        <v>111.8</v>
      </c>
      <c r="AC76" s="26">
        <v>118.1</v>
      </c>
      <c r="AD76" s="26">
        <v>-2.17</v>
      </c>
      <c r="AE76" s="26">
        <v>67.0</v>
      </c>
      <c r="AF76" s="26"/>
      <c r="AG76" s="26"/>
      <c r="AH76" s="26"/>
      <c r="AI76" s="26">
        <v>46.0</v>
      </c>
      <c r="AJ76" s="26">
        <v>142.0</v>
      </c>
      <c r="AK76" s="26">
        <v>140.6</v>
      </c>
      <c r="AL76" s="26">
        <v>143.4</v>
      </c>
      <c r="AM76" s="26">
        <v>0.21</v>
      </c>
      <c r="AN76" s="26">
        <v>110.0</v>
      </c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>
        <v>47.0</v>
      </c>
      <c r="BB76" s="26">
        <v>101.6</v>
      </c>
      <c r="BC76" s="26">
        <v>100.8</v>
      </c>
      <c r="BD76" s="26">
        <v>102.3</v>
      </c>
      <c r="BE76" s="26">
        <v>-1.74</v>
      </c>
      <c r="BF76" s="26">
        <v>74.0</v>
      </c>
      <c r="BG76" s="26"/>
      <c r="BH76" s="26"/>
      <c r="BI76" s="26"/>
      <c r="BJ76" s="26"/>
    </row>
    <row r="77" ht="15.75" customHeight="1">
      <c r="A77" s="25"/>
      <c r="B77" s="26"/>
      <c r="C77" s="26">
        <v>48.0</v>
      </c>
      <c r="D77" s="26">
        <v>115.0</v>
      </c>
      <c r="E77" s="26">
        <v>113.3</v>
      </c>
      <c r="F77" s="26">
        <v>116.8</v>
      </c>
      <c r="G77" s="26">
        <v>-0.94</v>
      </c>
      <c r="H77" s="26">
        <v>86.0</v>
      </c>
      <c r="I77" s="26"/>
      <c r="J77" s="26"/>
      <c r="K77" s="26">
        <v>48.0</v>
      </c>
      <c r="L77" s="26">
        <v>117.0</v>
      </c>
      <c r="M77" s="26">
        <v>116.2</v>
      </c>
      <c r="N77" s="26">
        <v>117.8</v>
      </c>
      <c r="O77" s="26">
        <v>-1.66</v>
      </c>
      <c r="P77" s="26">
        <v>75.0</v>
      </c>
      <c r="Q77" s="26"/>
      <c r="R77" s="26">
        <v>48.0</v>
      </c>
      <c r="S77" s="26">
        <v>123.7</v>
      </c>
      <c r="T77" s="26">
        <v>122.3</v>
      </c>
      <c r="U77" s="26">
        <v>125.2</v>
      </c>
      <c r="V77" s="26">
        <v>-0.92</v>
      </c>
      <c r="W77" s="26">
        <v>86.0</v>
      </c>
      <c r="X77" s="26"/>
      <c r="Y77" s="26"/>
      <c r="Z77" s="26">
        <v>48.0</v>
      </c>
      <c r="AA77" s="26">
        <v>115.4</v>
      </c>
      <c r="AB77" s="26">
        <v>112.3</v>
      </c>
      <c r="AC77" s="26">
        <v>118.6</v>
      </c>
      <c r="AD77" s="26">
        <v>-2.13</v>
      </c>
      <c r="AE77" s="26">
        <v>68.0</v>
      </c>
      <c r="AF77" s="26"/>
      <c r="AG77" s="26"/>
      <c r="AH77" s="26"/>
      <c r="AI77" s="26">
        <v>47.0</v>
      </c>
      <c r="AJ77" s="26">
        <v>142.8</v>
      </c>
      <c r="AK77" s="26">
        <v>141.3</v>
      </c>
      <c r="AL77" s="26">
        <v>144.3</v>
      </c>
      <c r="AM77" s="26">
        <v>0.34</v>
      </c>
      <c r="AN77" s="26">
        <v>112.0</v>
      </c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>
        <v>48.0</v>
      </c>
      <c r="BB77" s="26">
        <v>101.8</v>
      </c>
      <c r="BC77" s="26">
        <v>101.0</v>
      </c>
      <c r="BD77" s="26">
        <v>102.5</v>
      </c>
      <c r="BE77" s="26">
        <v>-1.68</v>
      </c>
      <c r="BF77" s="26">
        <v>75.0</v>
      </c>
      <c r="BG77" s="26"/>
      <c r="BH77" s="26"/>
      <c r="BI77" s="26"/>
      <c r="BJ77" s="26"/>
    </row>
    <row r="78" ht="15.75" customHeight="1">
      <c r="A78" s="25"/>
      <c r="B78" s="26"/>
      <c r="C78" s="26">
        <v>49.0</v>
      </c>
      <c r="D78" s="26">
        <v>116.0</v>
      </c>
      <c r="E78" s="26">
        <v>114.5</v>
      </c>
      <c r="F78" s="26">
        <v>117.6</v>
      </c>
      <c r="G78" s="26">
        <v>-0.79</v>
      </c>
      <c r="H78" s="26">
        <v>88.0</v>
      </c>
      <c r="I78" s="26"/>
      <c r="J78" s="26"/>
      <c r="K78" s="26">
        <v>49.0</v>
      </c>
      <c r="L78" s="26">
        <v>117.3</v>
      </c>
      <c r="M78" s="26">
        <v>116.4</v>
      </c>
      <c r="N78" s="26">
        <v>118.1</v>
      </c>
      <c r="O78" s="26">
        <v>-1.6</v>
      </c>
      <c r="P78" s="26">
        <v>76.0</v>
      </c>
      <c r="Q78" s="26"/>
      <c r="R78" s="26">
        <v>49.0</v>
      </c>
      <c r="S78" s="26">
        <v>124.6</v>
      </c>
      <c r="T78" s="26">
        <v>122.9</v>
      </c>
      <c r="U78" s="26">
        <v>126.3</v>
      </c>
      <c r="V78" s="26">
        <v>-0.77</v>
      </c>
      <c r="W78" s="26">
        <v>88.0</v>
      </c>
      <c r="X78" s="26"/>
      <c r="Y78" s="26"/>
      <c r="Z78" s="26">
        <v>49.0</v>
      </c>
      <c r="AA78" s="26">
        <v>115.9</v>
      </c>
      <c r="AB78" s="26">
        <v>112.7</v>
      </c>
      <c r="AC78" s="26">
        <v>119.1</v>
      </c>
      <c r="AD78" s="26">
        <v>-2.09</v>
      </c>
      <c r="AE78" s="26">
        <v>69.0</v>
      </c>
      <c r="AF78" s="26"/>
      <c r="AG78" s="26"/>
      <c r="AH78" s="26"/>
      <c r="AI78" s="26">
        <v>48.0</v>
      </c>
      <c r="AJ78" s="26">
        <v>143.7</v>
      </c>
      <c r="AK78" s="26">
        <v>142.0</v>
      </c>
      <c r="AL78" s="26">
        <v>145.4</v>
      </c>
      <c r="AM78" s="26">
        <v>0.5</v>
      </c>
      <c r="AN78" s="26">
        <v>114.0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>
        <v>49.0</v>
      </c>
      <c r="BB78" s="26">
        <v>102.0</v>
      </c>
      <c r="BC78" s="26">
        <v>101.2</v>
      </c>
      <c r="BD78" s="26">
        <v>102.7</v>
      </c>
      <c r="BE78" s="26">
        <v>-1.62</v>
      </c>
      <c r="BF78" s="26">
        <v>76.0</v>
      </c>
      <c r="BG78" s="26"/>
      <c r="BH78" s="26"/>
      <c r="BI78" s="26"/>
      <c r="BJ78" s="26"/>
    </row>
    <row r="79" ht="15.75" customHeight="1">
      <c r="A79" s="25"/>
      <c r="B79" s="26"/>
      <c r="C79" s="26">
        <v>50.0</v>
      </c>
      <c r="D79" s="26">
        <v>117.0</v>
      </c>
      <c r="E79" s="26">
        <v>115.2</v>
      </c>
      <c r="F79" s="26">
        <v>118.8</v>
      </c>
      <c r="G79" s="26">
        <v>-0.65</v>
      </c>
      <c r="H79" s="26">
        <v>90.0</v>
      </c>
      <c r="I79" s="26"/>
      <c r="J79" s="26"/>
      <c r="K79" s="26">
        <v>50.0</v>
      </c>
      <c r="L79" s="26">
        <v>117.5</v>
      </c>
      <c r="M79" s="26">
        <v>116.7</v>
      </c>
      <c r="N79" s="26">
        <v>118.3</v>
      </c>
      <c r="O79" s="26">
        <v>-1.53</v>
      </c>
      <c r="P79" s="26">
        <v>77.0</v>
      </c>
      <c r="Q79" s="26"/>
      <c r="R79" s="26">
        <v>50.0</v>
      </c>
      <c r="S79" s="26">
        <v>125.9</v>
      </c>
      <c r="T79" s="26">
        <v>123.9</v>
      </c>
      <c r="U79" s="26">
        <v>127.9</v>
      </c>
      <c r="V79" s="26">
        <v>-0.56</v>
      </c>
      <c r="W79" s="26">
        <v>92.0</v>
      </c>
      <c r="X79" s="26"/>
      <c r="Y79" s="26"/>
      <c r="Z79" s="26">
        <v>50.0</v>
      </c>
      <c r="AA79" s="26">
        <v>116.4</v>
      </c>
      <c r="AB79" s="26">
        <v>113.2</v>
      </c>
      <c r="AC79" s="26">
        <v>119.6</v>
      </c>
      <c r="AD79" s="26">
        <v>-2.05</v>
      </c>
      <c r="AE79" s="26">
        <v>69.0</v>
      </c>
      <c r="AF79" s="26"/>
      <c r="AG79" s="26"/>
      <c r="AH79" s="26"/>
      <c r="AI79" s="26">
        <v>49.0</v>
      </c>
      <c r="AJ79" s="26">
        <v>144.8</v>
      </c>
      <c r="AK79" s="26">
        <v>143.0</v>
      </c>
      <c r="AL79" s="26">
        <v>146.5</v>
      </c>
      <c r="AM79" s="26">
        <v>0.67</v>
      </c>
      <c r="AN79" s="26">
        <v>117.0</v>
      </c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>
        <v>50.0</v>
      </c>
      <c r="BB79" s="26">
        <v>102.2</v>
      </c>
      <c r="BC79" s="26">
        <v>101.4</v>
      </c>
      <c r="BD79" s="26">
        <v>102.9</v>
      </c>
      <c r="BE79" s="26">
        <v>-1.56</v>
      </c>
      <c r="BF79" s="26">
        <v>77.0</v>
      </c>
      <c r="BG79" s="26"/>
      <c r="BH79" s="26"/>
      <c r="BI79" s="26"/>
      <c r="BJ79" s="26"/>
    </row>
    <row r="80" ht="15.75" customHeight="1">
      <c r="A80" s="25"/>
      <c r="B80" s="26"/>
      <c r="C80" s="26">
        <v>51.0</v>
      </c>
      <c r="D80" s="26">
        <v>118.0</v>
      </c>
      <c r="E80" s="26">
        <v>116.6</v>
      </c>
      <c r="F80" s="26">
        <v>119.5</v>
      </c>
      <c r="G80" s="26">
        <v>-0.5</v>
      </c>
      <c r="H80" s="26">
        <v>92.0</v>
      </c>
      <c r="I80" s="26"/>
      <c r="J80" s="26"/>
      <c r="K80" s="26">
        <v>51.0</v>
      </c>
      <c r="L80" s="26">
        <v>117.7</v>
      </c>
      <c r="M80" s="26">
        <v>117.0</v>
      </c>
      <c r="N80" s="26">
        <v>118.5</v>
      </c>
      <c r="O80" s="26">
        <v>-1.48</v>
      </c>
      <c r="P80" s="26">
        <v>78.0</v>
      </c>
      <c r="Q80" s="26"/>
      <c r="R80" s="26">
        <v>51.0</v>
      </c>
      <c r="S80" s="26">
        <v>127.5</v>
      </c>
      <c r="T80" s="26">
        <v>125.5</v>
      </c>
      <c r="U80" s="26">
        <v>129.4</v>
      </c>
      <c r="V80" s="26">
        <v>-0.3</v>
      </c>
      <c r="W80" s="26">
        <v>96.0</v>
      </c>
      <c r="X80" s="26"/>
      <c r="Y80" s="26"/>
      <c r="Z80" s="26">
        <v>51.0</v>
      </c>
      <c r="AA80" s="26">
        <v>116.8</v>
      </c>
      <c r="AB80" s="26">
        <v>113.6</v>
      </c>
      <c r="AC80" s="26">
        <v>120.0</v>
      </c>
      <c r="AD80" s="26">
        <v>-2.01</v>
      </c>
      <c r="AE80" s="26">
        <v>70.0</v>
      </c>
      <c r="AF80" s="26"/>
      <c r="AG80" s="26"/>
      <c r="AH80" s="26"/>
      <c r="AI80" s="26">
        <v>50.0</v>
      </c>
      <c r="AJ80" s="26">
        <v>145.9</v>
      </c>
      <c r="AK80" s="26">
        <v>144.0</v>
      </c>
      <c r="AL80" s="26">
        <v>147.8</v>
      </c>
      <c r="AM80" s="26">
        <v>0.87</v>
      </c>
      <c r="AN80" s="26">
        <v>120.0</v>
      </c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>
        <v>51.0</v>
      </c>
      <c r="BB80" s="26">
        <v>102.4</v>
      </c>
      <c r="BC80" s="26">
        <v>101.6</v>
      </c>
      <c r="BD80" s="26">
        <v>103.1</v>
      </c>
      <c r="BE80" s="26">
        <v>-1.5</v>
      </c>
      <c r="BF80" s="26">
        <v>78.0</v>
      </c>
      <c r="BG80" s="26"/>
      <c r="BH80" s="26"/>
      <c r="BI80" s="26"/>
      <c r="BJ80" s="26"/>
    </row>
    <row r="81" ht="15.75" customHeight="1">
      <c r="A81" s="25"/>
      <c r="B81" s="26"/>
      <c r="C81" s="26">
        <v>52.0</v>
      </c>
      <c r="D81" s="26">
        <v>118.8</v>
      </c>
      <c r="E81" s="26">
        <v>117.4</v>
      </c>
      <c r="F81" s="26">
        <v>120.2</v>
      </c>
      <c r="G81" s="26">
        <v>-0.39</v>
      </c>
      <c r="H81" s="26">
        <v>94.0</v>
      </c>
      <c r="I81" s="26"/>
      <c r="J81" s="26"/>
      <c r="K81" s="26">
        <v>52.0</v>
      </c>
      <c r="L81" s="26">
        <v>118.0</v>
      </c>
      <c r="M81" s="26">
        <v>117.2</v>
      </c>
      <c r="N81" s="26">
        <v>118.7</v>
      </c>
      <c r="O81" s="26">
        <v>-1.42</v>
      </c>
      <c r="P81" s="26">
        <v>79.0</v>
      </c>
      <c r="Q81" s="26"/>
      <c r="R81" s="26">
        <v>52.0</v>
      </c>
      <c r="S81" s="26">
        <v>128.7</v>
      </c>
      <c r="T81" s="26">
        <v>127.0</v>
      </c>
      <c r="U81" s="26">
        <v>130.4</v>
      </c>
      <c r="V81" s="26">
        <v>-0.09</v>
      </c>
      <c r="W81" s="26">
        <v>99.0</v>
      </c>
      <c r="X81" s="26"/>
      <c r="Y81" s="26"/>
      <c r="Z81" s="26">
        <v>52.0</v>
      </c>
      <c r="AA81" s="26">
        <v>117.3</v>
      </c>
      <c r="AB81" s="26">
        <v>114.1</v>
      </c>
      <c r="AC81" s="26">
        <v>120.5</v>
      </c>
      <c r="AD81" s="26">
        <v>-1.97</v>
      </c>
      <c r="AE81" s="26">
        <v>70.0</v>
      </c>
      <c r="AF81" s="26"/>
      <c r="AG81" s="26"/>
      <c r="AH81" s="26"/>
      <c r="AI81" s="26">
        <v>51.0</v>
      </c>
      <c r="AJ81" s="26">
        <v>147.6</v>
      </c>
      <c r="AK81" s="26">
        <v>145.2</v>
      </c>
      <c r="AL81" s="26">
        <v>150.0</v>
      </c>
      <c r="AM81" s="26">
        <v>1.15</v>
      </c>
      <c r="AN81" s="26">
        <v>124.0</v>
      </c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>
        <v>52.0</v>
      </c>
      <c r="BB81" s="26">
        <v>102.6</v>
      </c>
      <c r="BC81" s="26">
        <v>101.8</v>
      </c>
      <c r="BD81" s="26">
        <v>103.3</v>
      </c>
      <c r="BE81" s="26">
        <v>-1.44</v>
      </c>
      <c r="BF81" s="26">
        <v>78.0</v>
      </c>
      <c r="BG81" s="26"/>
      <c r="BH81" s="26"/>
      <c r="BI81" s="26"/>
      <c r="BJ81" s="26"/>
    </row>
    <row r="82" ht="15.75" customHeight="1">
      <c r="A82" s="25"/>
      <c r="B82" s="26"/>
      <c r="C82" s="26">
        <v>53.0</v>
      </c>
      <c r="D82" s="26">
        <v>119.6</v>
      </c>
      <c r="E82" s="26">
        <v>118.1</v>
      </c>
      <c r="F82" s="26">
        <v>121.1</v>
      </c>
      <c r="G82" s="26">
        <v>-0.28</v>
      </c>
      <c r="H82" s="26">
        <v>96.0</v>
      </c>
      <c r="I82" s="26"/>
      <c r="J82" s="26"/>
      <c r="K82" s="26">
        <v>53.0</v>
      </c>
      <c r="L82" s="26">
        <v>118.2</v>
      </c>
      <c r="M82" s="26">
        <v>117.4</v>
      </c>
      <c r="N82" s="26">
        <v>118.9</v>
      </c>
      <c r="O82" s="26">
        <v>-1.37</v>
      </c>
      <c r="P82" s="26">
        <v>79.0</v>
      </c>
      <c r="Q82" s="26"/>
      <c r="R82" s="26">
        <v>53.0</v>
      </c>
      <c r="S82" s="26">
        <v>129.7</v>
      </c>
      <c r="T82" s="26">
        <v>128.1</v>
      </c>
      <c r="U82" s="26">
        <v>131.4</v>
      </c>
      <c r="V82" s="26">
        <v>0.08</v>
      </c>
      <c r="W82" s="26">
        <v>101.0</v>
      </c>
      <c r="X82" s="26"/>
      <c r="Y82" s="26"/>
      <c r="Z82" s="26">
        <v>53.0</v>
      </c>
      <c r="AA82" s="26">
        <v>117.8</v>
      </c>
      <c r="AB82" s="26">
        <v>114.5</v>
      </c>
      <c r="AC82" s="26">
        <v>121.0</v>
      </c>
      <c r="AD82" s="26">
        <v>-1.93</v>
      </c>
      <c r="AE82" s="26">
        <v>71.0</v>
      </c>
      <c r="AF82" s="26"/>
      <c r="AG82" s="26"/>
      <c r="AH82" s="26"/>
      <c r="AI82" s="26">
        <v>52.0</v>
      </c>
      <c r="AJ82" s="26">
        <v>149.7</v>
      </c>
      <c r="AK82" s="26">
        <v>147.4</v>
      </c>
      <c r="AL82" s="26">
        <v>151.9</v>
      </c>
      <c r="AM82" s="26">
        <v>1.49</v>
      </c>
      <c r="AN82" s="26">
        <v>129.0</v>
      </c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>
        <v>53.0</v>
      </c>
      <c r="BB82" s="26">
        <v>102.8</v>
      </c>
      <c r="BC82" s="26">
        <v>102.0</v>
      </c>
      <c r="BD82" s="26">
        <v>103.5</v>
      </c>
      <c r="BE82" s="26">
        <v>-1.39</v>
      </c>
      <c r="BF82" s="26">
        <v>79.0</v>
      </c>
      <c r="BG82" s="26"/>
      <c r="BH82" s="26"/>
      <c r="BI82" s="26"/>
      <c r="BJ82" s="26"/>
    </row>
    <row r="83" ht="15.75" customHeight="1">
      <c r="A83" s="25"/>
      <c r="B83" s="26"/>
      <c r="C83" s="26">
        <v>54.0</v>
      </c>
      <c r="D83" s="26">
        <v>120.3</v>
      </c>
      <c r="E83" s="26">
        <v>119.0</v>
      </c>
      <c r="F83" s="26">
        <v>121.6</v>
      </c>
      <c r="G83" s="26">
        <v>-0.17</v>
      </c>
      <c r="H83" s="26">
        <v>97.0</v>
      </c>
      <c r="I83" s="26"/>
      <c r="J83" s="26"/>
      <c r="K83" s="26">
        <v>54.0</v>
      </c>
      <c r="L83" s="26">
        <v>118.4</v>
      </c>
      <c r="M83" s="26">
        <v>117.7</v>
      </c>
      <c r="N83" s="26">
        <v>119.0</v>
      </c>
      <c r="O83" s="26">
        <v>-1.33</v>
      </c>
      <c r="P83" s="26">
        <v>80.0</v>
      </c>
      <c r="Q83" s="26"/>
      <c r="R83" s="26">
        <v>54.0</v>
      </c>
      <c r="S83" s="26">
        <v>130.8</v>
      </c>
      <c r="T83" s="26">
        <v>129.0</v>
      </c>
      <c r="U83" s="26">
        <v>132.5</v>
      </c>
      <c r="V83" s="26">
        <v>0.25</v>
      </c>
      <c r="W83" s="26">
        <v>104.0</v>
      </c>
      <c r="X83" s="26"/>
      <c r="Y83" s="26"/>
      <c r="Z83" s="26">
        <v>54.0</v>
      </c>
      <c r="AA83" s="26">
        <v>118.3</v>
      </c>
      <c r="AB83" s="26">
        <v>115.0</v>
      </c>
      <c r="AC83" s="26">
        <v>121.6</v>
      </c>
      <c r="AD83" s="26">
        <v>-1.89</v>
      </c>
      <c r="AE83" s="26">
        <v>72.0</v>
      </c>
      <c r="AF83" s="26"/>
      <c r="AG83" s="26"/>
      <c r="AH83" s="26"/>
      <c r="AI83" s="26">
        <v>53.0</v>
      </c>
      <c r="AJ83" s="26">
        <v>151.6</v>
      </c>
      <c r="AK83" s="26">
        <v>149.2</v>
      </c>
      <c r="AL83" s="26">
        <v>154.0</v>
      </c>
      <c r="AM83" s="26">
        <v>1.81</v>
      </c>
      <c r="AN83" s="26">
        <v>134.0</v>
      </c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>
        <v>54.0</v>
      </c>
      <c r="BB83" s="26">
        <v>102.9</v>
      </c>
      <c r="BC83" s="26">
        <v>102.2</v>
      </c>
      <c r="BD83" s="26">
        <v>103.7</v>
      </c>
      <c r="BE83" s="26">
        <v>-1.33</v>
      </c>
      <c r="BF83" s="26">
        <v>80.0</v>
      </c>
      <c r="BG83" s="26"/>
      <c r="BH83" s="26"/>
      <c r="BI83" s="26"/>
      <c r="BJ83" s="26"/>
    </row>
    <row r="84" ht="15.75" customHeight="1">
      <c r="A84" s="25"/>
      <c r="B84" s="26"/>
      <c r="C84" s="26">
        <v>55.0</v>
      </c>
      <c r="D84" s="26">
        <v>120.9</v>
      </c>
      <c r="E84" s="26">
        <v>119.7</v>
      </c>
      <c r="F84" s="26">
        <v>122.2</v>
      </c>
      <c r="G84" s="26">
        <v>-0.08</v>
      </c>
      <c r="H84" s="26">
        <v>99.0</v>
      </c>
      <c r="I84" s="26"/>
      <c r="J84" s="26"/>
      <c r="K84" s="26">
        <v>55.0</v>
      </c>
      <c r="L84" s="26">
        <v>118.5</v>
      </c>
      <c r="M84" s="26">
        <v>117.8</v>
      </c>
      <c r="N84" s="26">
        <v>119.2</v>
      </c>
      <c r="O84" s="26">
        <v>-1.28</v>
      </c>
      <c r="P84" s="26">
        <v>81.0</v>
      </c>
      <c r="Q84" s="26"/>
      <c r="R84" s="26">
        <v>55.0</v>
      </c>
      <c r="S84" s="26">
        <v>132.0</v>
      </c>
      <c r="T84" s="26">
        <v>130.0</v>
      </c>
      <c r="U84" s="26">
        <v>134.0</v>
      </c>
      <c r="V84" s="26">
        <v>0.47</v>
      </c>
      <c r="W84" s="26">
        <v>107.0</v>
      </c>
      <c r="X84" s="26"/>
      <c r="Y84" s="26"/>
      <c r="Z84" s="26">
        <v>55.0</v>
      </c>
      <c r="AA84" s="26">
        <v>118.8</v>
      </c>
      <c r="AB84" s="26">
        <v>115.5</v>
      </c>
      <c r="AC84" s="26">
        <v>122.1</v>
      </c>
      <c r="AD84" s="26">
        <v>-1.85</v>
      </c>
      <c r="AE84" s="26">
        <v>72.0</v>
      </c>
      <c r="AF84" s="26"/>
      <c r="AG84" s="26"/>
      <c r="AH84" s="26"/>
      <c r="AI84" s="26">
        <v>54.0</v>
      </c>
      <c r="AJ84" s="26">
        <v>153.5</v>
      </c>
      <c r="AK84" s="26">
        <v>150.1</v>
      </c>
      <c r="AL84" s="26">
        <v>156.8</v>
      </c>
      <c r="AM84" s="26">
        <v>2.13</v>
      </c>
      <c r="AN84" s="26">
        <v>138.0</v>
      </c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>
        <v>55.0</v>
      </c>
      <c r="BB84" s="26">
        <v>103.1</v>
      </c>
      <c r="BC84" s="26">
        <v>102.4</v>
      </c>
      <c r="BD84" s="26">
        <v>103.9</v>
      </c>
      <c r="BE84" s="26">
        <v>-1.27</v>
      </c>
      <c r="BF84" s="26">
        <v>81.0</v>
      </c>
      <c r="BG84" s="26"/>
      <c r="BH84" s="26"/>
      <c r="BI84" s="26"/>
      <c r="BJ84" s="26"/>
    </row>
    <row r="85" ht="15.75" customHeight="1">
      <c r="A85" s="25"/>
      <c r="B85" s="26"/>
      <c r="C85" s="26">
        <v>56.0</v>
      </c>
      <c r="D85" s="26">
        <v>121.5</v>
      </c>
      <c r="E85" s="26">
        <v>120.3</v>
      </c>
      <c r="F85" s="26">
        <v>122.8</v>
      </c>
      <c r="G85" s="26">
        <v>0.0</v>
      </c>
      <c r="H85" s="26">
        <v>100.0</v>
      </c>
      <c r="I85" s="26"/>
      <c r="J85" s="26"/>
      <c r="K85" s="26">
        <v>56.0</v>
      </c>
      <c r="L85" s="26">
        <v>118.7</v>
      </c>
      <c r="M85" s="26">
        <v>118.0</v>
      </c>
      <c r="N85" s="26">
        <v>119.3</v>
      </c>
      <c r="O85" s="26">
        <v>-1.24</v>
      </c>
      <c r="P85" s="26">
        <v>81.0</v>
      </c>
      <c r="Q85" s="26"/>
      <c r="R85" s="26">
        <v>56.0</v>
      </c>
      <c r="S85" s="26">
        <v>134.1</v>
      </c>
      <c r="T85" s="26">
        <v>131.3</v>
      </c>
      <c r="U85" s="26">
        <v>137.0</v>
      </c>
      <c r="V85" s="26">
        <v>0.82</v>
      </c>
      <c r="W85" s="26">
        <v>112.0</v>
      </c>
      <c r="X85" s="26"/>
      <c r="Y85" s="26"/>
      <c r="Z85" s="26">
        <v>56.0</v>
      </c>
      <c r="AA85" s="26">
        <v>119.3</v>
      </c>
      <c r="AB85" s="26">
        <v>116.0</v>
      </c>
      <c r="AC85" s="26">
        <v>122.6</v>
      </c>
      <c r="AD85" s="26">
        <v>-1.81</v>
      </c>
      <c r="AE85" s="26">
        <v>73.0</v>
      </c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>
        <v>56.0</v>
      </c>
      <c r="BB85" s="26">
        <v>103.3</v>
      </c>
      <c r="BC85" s="26">
        <v>102.6</v>
      </c>
      <c r="BD85" s="26">
        <v>104.0</v>
      </c>
      <c r="BE85" s="26">
        <v>-1.22</v>
      </c>
      <c r="BF85" s="26">
        <v>82.0</v>
      </c>
      <c r="BG85" s="26"/>
      <c r="BH85" s="26"/>
      <c r="BI85" s="26"/>
      <c r="BJ85" s="26"/>
    </row>
    <row r="86" ht="15.75" customHeight="1">
      <c r="A86" s="25"/>
      <c r="B86" s="26"/>
      <c r="C86" s="26">
        <v>57.0</v>
      </c>
      <c r="D86" s="26">
        <v>122.1</v>
      </c>
      <c r="E86" s="26">
        <v>120.8</v>
      </c>
      <c r="F86" s="26">
        <v>123.3</v>
      </c>
      <c r="G86" s="26">
        <v>0.09</v>
      </c>
      <c r="H86" s="26">
        <v>101.0</v>
      </c>
      <c r="I86" s="26"/>
      <c r="J86" s="26"/>
      <c r="K86" s="26">
        <v>57.0</v>
      </c>
      <c r="L86" s="26">
        <v>118.8</v>
      </c>
      <c r="M86" s="26">
        <v>118.2</v>
      </c>
      <c r="N86" s="26">
        <v>119.5</v>
      </c>
      <c r="O86" s="26">
        <v>-1.2</v>
      </c>
      <c r="P86" s="26">
        <v>82.0</v>
      </c>
      <c r="Q86" s="26"/>
      <c r="R86" s="26">
        <v>57.0</v>
      </c>
      <c r="S86" s="26">
        <v>137.0</v>
      </c>
      <c r="T86" s="26">
        <v>134.2</v>
      </c>
      <c r="U86" s="26">
        <v>139.9</v>
      </c>
      <c r="V86" s="26">
        <v>1.31</v>
      </c>
      <c r="W86" s="26">
        <v>120.0</v>
      </c>
      <c r="X86" s="26"/>
      <c r="Y86" s="26"/>
      <c r="Z86" s="26">
        <v>57.0</v>
      </c>
      <c r="AA86" s="26">
        <v>119.8</v>
      </c>
      <c r="AB86" s="26">
        <v>116.4</v>
      </c>
      <c r="AC86" s="26">
        <v>123.2</v>
      </c>
      <c r="AD86" s="26">
        <v>-1.76</v>
      </c>
      <c r="AE86" s="26">
        <v>74.0</v>
      </c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>
        <v>57.0</v>
      </c>
      <c r="BB86" s="26">
        <v>103.5</v>
      </c>
      <c r="BC86" s="26">
        <v>102.8</v>
      </c>
      <c r="BD86" s="26">
        <v>104.2</v>
      </c>
      <c r="BE86" s="26">
        <v>-1.16</v>
      </c>
      <c r="BF86" s="26">
        <v>83.0</v>
      </c>
      <c r="BG86" s="26"/>
      <c r="BH86" s="26"/>
      <c r="BI86" s="26"/>
      <c r="BJ86" s="26"/>
    </row>
    <row r="87" ht="15.75" customHeight="1">
      <c r="A87" s="25"/>
      <c r="B87" s="26"/>
      <c r="C87" s="26">
        <v>58.0</v>
      </c>
      <c r="D87" s="26">
        <v>122.6</v>
      </c>
      <c r="E87" s="26">
        <v>121.4</v>
      </c>
      <c r="F87" s="26">
        <v>123.9</v>
      </c>
      <c r="G87" s="26">
        <v>0.17</v>
      </c>
      <c r="H87" s="26">
        <v>103.0</v>
      </c>
      <c r="I87" s="26"/>
      <c r="J87" s="26"/>
      <c r="K87" s="26">
        <v>58.0</v>
      </c>
      <c r="L87" s="26">
        <v>119.0</v>
      </c>
      <c r="M87" s="26">
        <v>118.3</v>
      </c>
      <c r="N87" s="26">
        <v>119.6</v>
      </c>
      <c r="O87" s="26">
        <v>-1.17</v>
      </c>
      <c r="P87" s="26">
        <v>83.0</v>
      </c>
      <c r="Q87" s="26"/>
      <c r="R87" s="26">
        <v>58.0</v>
      </c>
      <c r="S87" s="26">
        <v>139.3</v>
      </c>
      <c r="T87" s="26">
        <v>135.8</v>
      </c>
      <c r="U87" s="26">
        <v>142.8</v>
      </c>
      <c r="V87" s="26">
        <v>1.69</v>
      </c>
      <c r="W87" s="26">
        <v>125.0</v>
      </c>
      <c r="X87" s="26"/>
      <c r="Y87" s="26"/>
      <c r="Z87" s="26">
        <v>58.0</v>
      </c>
      <c r="AA87" s="26">
        <v>120.3</v>
      </c>
      <c r="AB87" s="26">
        <v>116.9</v>
      </c>
      <c r="AC87" s="26">
        <v>123.7</v>
      </c>
      <c r="AD87" s="26">
        <v>-1.72</v>
      </c>
      <c r="AE87" s="26">
        <v>74.0</v>
      </c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58.0</v>
      </c>
      <c r="BB87" s="26">
        <v>103.7</v>
      </c>
      <c r="BC87" s="26">
        <v>103.0</v>
      </c>
      <c r="BD87" s="26">
        <v>104.5</v>
      </c>
      <c r="BE87" s="26">
        <v>-1.1</v>
      </c>
      <c r="BF87" s="26">
        <v>83.0</v>
      </c>
      <c r="BG87" s="26"/>
      <c r="BH87" s="26"/>
      <c r="BI87" s="26"/>
      <c r="BJ87" s="26"/>
    </row>
    <row r="88" ht="15.75" customHeight="1">
      <c r="A88" s="25"/>
      <c r="B88" s="26"/>
      <c r="C88" s="26">
        <v>59.0</v>
      </c>
      <c r="D88" s="26">
        <v>123.2</v>
      </c>
      <c r="E88" s="26">
        <v>121.9</v>
      </c>
      <c r="F88" s="26">
        <v>124.5</v>
      </c>
      <c r="G88" s="26">
        <v>0.25</v>
      </c>
      <c r="H88" s="26">
        <v>104.0</v>
      </c>
      <c r="I88" s="26"/>
      <c r="J88" s="26"/>
      <c r="K88" s="26">
        <v>59.0</v>
      </c>
      <c r="L88" s="26">
        <v>119.1</v>
      </c>
      <c r="M88" s="26">
        <v>118.5</v>
      </c>
      <c r="N88" s="26">
        <v>119.8</v>
      </c>
      <c r="O88" s="26">
        <v>-1.13</v>
      </c>
      <c r="P88" s="26">
        <v>83.0</v>
      </c>
      <c r="Q88" s="26"/>
      <c r="R88" s="26"/>
      <c r="S88" s="26"/>
      <c r="T88" s="26"/>
      <c r="U88" s="26"/>
      <c r="V88" s="26"/>
      <c r="W88" s="26"/>
      <c r="X88" s="26"/>
      <c r="Y88" s="26"/>
      <c r="Z88" s="26">
        <v>59.0</v>
      </c>
      <c r="AA88" s="26">
        <v>120.9</v>
      </c>
      <c r="AB88" s="26">
        <v>117.4</v>
      </c>
      <c r="AC88" s="26">
        <v>124.3</v>
      </c>
      <c r="AD88" s="26">
        <v>-1.68</v>
      </c>
      <c r="AE88" s="26">
        <v>75.0</v>
      </c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>
        <v>59.0</v>
      </c>
      <c r="BB88" s="26">
        <v>103.9</v>
      </c>
      <c r="BC88" s="26">
        <v>103.2</v>
      </c>
      <c r="BD88" s="26">
        <v>104.7</v>
      </c>
      <c r="BE88" s="26">
        <v>-1.04</v>
      </c>
      <c r="BF88" s="26">
        <v>84.0</v>
      </c>
      <c r="BG88" s="26"/>
      <c r="BH88" s="26"/>
      <c r="BI88" s="26"/>
      <c r="BJ88" s="26"/>
    </row>
    <row r="89" ht="15.75" customHeight="1">
      <c r="A89" s="25"/>
      <c r="B89" s="26"/>
      <c r="C89" s="26">
        <v>60.0</v>
      </c>
      <c r="D89" s="26">
        <v>123.9</v>
      </c>
      <c r="E89" s="26">
        <v>122.5</v>
      </c>
      <c r="F89" s="26">
        <v>125.3</v>
      </c>
      <c r="G89" s="26">
        <v>0.35</v>
      </c>
      <c r="H89" s="26">
        <v>105.0</v>
      </c>
      <c r="I89" s="26"/>
      <c r="J89" s="26"/>
      <c r="K89" s="26">
        <v>60.0</v>
      </c>
      <c r="L89" s="26">
        <v>119.3</v>
      </c>
      <c r="M89" s="26">
        <v>118.7</v>
      </c>
      <c r="N89" s="26">
        <v>119.9</v>
      </c>
      <c r="O89" s="26">
        <v>-1.09</v>
      </c>
      <c r="P89" s="26">
        <v>84.0</v>
      </c>
      <c r="Q89" s="26"/>
      <c r="R89" s="26"/>
      <c r="S89" s="26"/>
      <c r="T89" s="26"/>
      <c r="U89" s="26"/>
      <c r="V89" s="26"/>
      <c r="W89" s="26"/>
      <c r="X89" s="26"/>
      <c r="Y89" s="26"/>
      <c r="Z89" s="26">
        <v>60.0</v>
      </c>
      <c r="AA89" s="26">
        <v>121.4</v>
      </c>
      <c r="AB89" s="26">
        <v>117.9</v>
      </c>
      <c r="AC89" s="26">
        <v>124.9</v>
      </c>
      <c r="AD89" s="26">
        <v>-1.63</v>
      </c>
      <c r="AE89" s="26">
        <v>76.0</v>
      </c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>
        <v>60.0</v>
      </c>
      <c r="BB89" s="26">
        <v>104.1</v>
      </c>
      <c r="BC89" s="26">
        <v>103.4</v>
      </c>
      <c r="BD89" s="26">
        <v>104.9</v>
      </c>
      <c r="BE89" s="26">
        <v>-0.98</v>
      </c>
      <c r="BF89" s="26">
        <v>85.0</v>
      </c>
      <c r="BG89" s="26"/>
      <c r="BH89" s="26"/>
      <c r="BI89" s="26"/>
      <c r="BJ89" s="26"/>
    </row>
    <row r="90" ht="15.75" customHeight="1">
      <c r="A90" s="25"/>
      <c r="B90" s="26"/>
      <c r="C90" s="26">
        <v>61.0</v>
      </c>
      <c r="D90" s="26">
        <v>124.5</v>
      </c>
      <c r="E90" s="26">
        <v>123.3</v>
      </c>
      <c r="F90" s="26">
        <v>125.8</v>
      </c>
      <c r="G90" s="26">
        <v>0.45</v>
      </c>
      <c r="H90" s="26">
        <v>107.0</v>
      </c>
      <c r="I90" s="26"/>
      <c r="J90" s="26"/>
      <c r="K90" s="26">
        <v>61.0</v>
      </c>
      <c r="L90" s="26">
        <v>119.4</v>
      </c>
      <c r="M90" s="26">
        <v>118.8</v>
      </c>
      <c r="N90" s="26">
        <v>120.1</v>
      </c>
      <c r="O90" s="26">
        <v>-1.06</v>
      </c>
      <c r="P90" s="26">
        <v>84.0</v>
      </c>
      <c r="Q90" s="26"/>
      <c r="R90" s="26"/>
      <c r="S90" s="26"/>
      <c r="T90" s="26"/>
      <c r="U90" s="26"/>
      <c r="V90" s="26"/>
      <c r="W90" s="26"/>
      <c r="X90" s="26"/>
      <c r="Y90" s="26"/>
      <c r="Z90" s="26">
        <v>61.0</v>
      </c>
      <c r="AA90" s="26">
        <v>122.0</v>
      </c>
      <c r="AB90" s="26">
        <v>118.5</v>
      </c>
      <c r="AC90" s="26">
        <v>125.5</v>
      </c>
      <c r="AD90" s="26">
        <v>-1.58</v>
      </c>
      <c r="AE90" s="26">
        <v>76.0</v>
      </c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>
        <v>61.0</v>
      </c>
      <c r="BB90" s="26">
        <v>104.3</v>
      </c>
      <c r="BC90" s="26">
        <v>103.6</v>
      </c>
      <c r="BD90" s="26">
        <v>105.1</v>
      </c>
      <c r="BE90" s="26">
        <v>-0.92</v>
      </c>
      <c r="BF90" s="26">
        <v>86.0</v>
      </c>
      <c r="BG90" s="26"/>
      <c r="BH90" s="26"/>
      <c r="BI90" s="26"/>
      <c r="BJ90" s="26"/>
    </row>
    <row r="91" ht="15.75" customHeight="1">
      <c r="A91" s="25"/>
      <c r="B91" s="26"/>
      <c r="C91" s="26">
        <v>62.0</v>
      </c>
      <c r="D91" s="26">
        <v>125.1</v>
      </c>
      <c r="E91" s="26">
        <v>123.9</v>
      </c>
      <c r="F91" s="26">
        <v>126.3</v>
      </c>
      <c r="G91" s="26">
        <v>0.53</v>
      </c>
      <c r="H91" s="26">
        <v>108.0</v>
      </c>
      <c r="I91" s="26"/>
      <c r="J91" s="26"/>
      <c r="K91" s="26">
        <v>62.0</v>
      </c>
      <c r="L91" s="26">
        <v>119.6</v>
      </c>
      <c r="M91" s="26">
        <v>118.9</v>
      </c>
      <c r="N91" s="26">
        <v>120.2</v>
      </c>
      <c r="O91" s="26">
        <v>-1.02</v>
      </c>
      <c r="P91" s="26">
        <v>85.0</v>
      </c>
      <c r="Q91" s="26"/>
      <c r="R91" s="26"/>
      <c r="S91" s="26"/>
      <c r="T91" s="26"/>
      <c r="U91" s="26"/>
      <c r="V91" s="26"/>
      <c r="W91" s="26"/>
      <c r="X91" s="26"/>
      <c r="Y91" s="26"/>
      <c r="Z91" s="26">
        <v>62.0</v>
      </c>
      <c r="AA91" s="26">
        <v>122.6</v>
      </c>
      <c r="AB91" s="26">
        <v>119.0</v>
      </c>
      <c r="AC91" s="26">
        <v>126.2</v>
      </c>
      <c r="AD91" s="26">
        <v>-1.53</v>
      </c>
      <c r="AE91" s="26">
        <v>77.0</v>
      </c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62.0</v>
      </c>
      <c r="BB91" s="26">
        <v>104.5</v>
      </c>
      <c r="BC91" s="26">
        <v>103.8</v>
      </c>
      <c r="BD91" s="26">
        <v>105.3</v>
      </c>
      <c r="BE91" s="26">
        <v>-0.86</v>
      </c>
      <c r="BF91" s="26">
        <v>87.0</v>
      </c>
      <c r="BG91" s="26"/>
      <c r="BH91" s="26"/>
      <c r="BI91" s="26"/>
      <c r="BJ91" s="26"/>
    </row>
    <row r="92" ht="15.75" customHeight="1">
      <c r="A92" s="25"/>
      <c r="B92" s="26"/>
      <c r="C92" s="26">
        <v>63.0</v>
      </c>
      <c r="D92" s="26">
        <v>125.7</v>
      </c>
      <c r="E92" s="26">
        <v>124.3</v>
      </c>
      <c r="F92" s="26">
        <v>127.0</v>
      </c>
      <c r="G92" s="26">
        <v>0.61</v>
      </c>
      <c r="H92" s="26">
        <v>109.0</v>
      </c>
      <c r="I92" s="26"/>
      <c r="J92" s="26"/>
      <c r="K92" s="26">
        <v>63.0</v>
      </c>
      <c r="L92" s="26">
        <v>119.7</v>
      </c>
      <c r="M92" s="26">
        <v>119.1</v>
      </c>
      <c r="N92" s="26">
        <v>120.4</v>
      </c>
      <c r="O92" s="26">
        <v>-0.98</v>
      </c>
      <c r="P92" s="26">
        <v>85.0</v>
      </c>
      <c r="Q92" s="26"/>
      <c r="R92" s="26"/>
      <c r="S92" s="26"/>
      <c r="T92" s="26"/>
      <c r="U92" s="26"/>
      <c r="V92" s="26"/>
      <c r="W92" s="26"/>
      <c r="X92" s="26"/>
      <c r="Y92" s="26"/>
      <c r="Z92" s="26">
        <v>63.0</v>
      </c>
      <c r="AA92" s="26">
        <v>123.2</v>
      </c>
      <c r="AB92" s="26">
        <v>119.5</v>
      </c>
      <c r="AC92" s="26">
        <v>126.9</v>
      </c>
      <c r="AD92" s="26">
        <v>-1.48</v>
      </c>
      <c r="AE92" s="26">
        <v>78.0</v>
      </c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>
        <v>63.0</v>
      </c>
      <c r="BB92" s="26">
        <v>104.8</v>
      </c>
      <c r="BC92" s="26">
        <v>104.0</v>
      </c>
      <c r="BD92" s="26">
        <v>105.6</v>
      </c>
      <c r="BE92" s="26">
        <v>-0.79</v>
      </c>
      <c r="BF92" s="26">
        <v>88.0</v>
      </c>
      <c r="BG92" s="26"/>
      <c r="BH92" s="26"/>
      <c r="BI92" s="26"/>
      <c r="BJ92" s="26"/>
    </row>
    <row r="93" ht="15.75" customHeight="1">
      <c r="A93" s="25"/>
      <c r="B93" s="26"/>
      <c r="C93" s="26">
        <v>64.0</v>
      </c>
      <c r="D93" s="26">
        <v>126.5</v>
      </c>
      <c r="E93" s="26">
        <v>124.9</v>
      </c>
      <c r="F93" s="26">
        <v>128.2</v>
      </c>
      <c r="G93" s="26">
        <v>0.74</v>
      </c>
      <c r="H93" s="26">
        <v>111.0</v>
      </c>
      <c r="I93" s="26"/>
      <c r="J93" s="26"/>
      <c r="K93" s="26">
        <v>64.0</v>
      </c>
      <c r="L93" s="26">
        <v>119.9</v>
      </c>
      <c r="M93" s="26">
        <v>119.2</v>
      </c>
      <c r="N93" s="26">
        <v>120.6</v>
      </c>
      <c r="O93" s="26">
        <v>-0.94</v>
      </c>
      <c r="P93" s="26">
        <v>86.0</v>
      </c>
      <c r="Q93" s="26"/>
      <c r="R93" s="26"/>
      <c r="S93" s="26"/>
      <c r="T93" s="26"/>
      <c r="U93" s="26"/>
      <c r="V93" s="26"/>
      <c r="W93" s="26"/>
      <c r="X93" s="26"/>
      <c r="Y93" s="26"/>
      <c r="Z93" s="26">
        <v>64.0</v>
      </c>
      <c r="AA93" s="26">
        <v>123.8</v>
      </c>
      <c r="AB93" s="26">
        <v>120.1</v>
      </c>
      <c r="AC93" s="26">
        <v>127.6</v>
      </c>
      <c r="AD93" s="26">
        <v>-1.43</v>
      </c>
      <c r="AE93" s="26">
        <v>79.0</v>
      </c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>
        <v>64.0</v>
      </c>
      <c r="BB93" s="26">
        <v>105.0</v>
      </c>
      <c r="BC93" s="26">
        <v>104.2</v>
      </c>
      <c r="BD93" s="26">
        <v>105.8</v>
      </c>
      <c r="BE93" s="26">
        <v>-0.72</v>
      </c>
      <c r="BF93" s="26">
        <v>89.0</v>
      </c>
      <c r="BG93" s="26"/>
      <c r="BH93" s="26"/>
      <c r="BI93" s="26"/>
      <c r="BJ93" s="26"/>
    </row>
    <row r="94" ht="15.75" customHeight="1">
      <c r="A94" s="25"/>
      <c r="B94" s="26"/>
      <c r="C94" s="26">
        <v>65.0</v>
      </c>
      <c r="D94" s="26">
        <v>127.4</v>
      </c>
      <c r="E94" s="26">
        <v>126.1</v>
      </c>
      <c r="F94" s="26">
        <v>128.6</v>
      </c>
      <c r="G94" s="26">
        <v>0.85</v>
      </c>
      <c r="H94" s="26">
        <v>113.0</v>
      </c>
      <c r="I94" s="26"/>
      <c r="J94" s="26"/>
      <c r="K94" s="26">
        <v>65.0</v>
      </c>
      <c r="L94" s="26">
        <v>120.1</v>
      </c>
      <c r="M94" s="26">
        <v>119.4</v>
      </c>
      <c r="N94" s="26">
        <v>120.7</v>
      </c>
      <c r="O94" s="26">
        <v>-0.9</v>
      </c>
      <c r="P94" s="26">
        <v>86.0</v>
      </c>
      <c r="Q94" s="26"/>
      <c r="R94" s="26"/>
      <c r="S94" s="26"/>
      <c r="T94" s="26"/>
      <c r="U94" s="26"/>
      <c r="V94" s="26"/>
      <c r="W94" s="26"/>
      <c r="X94" s="26"/>
      <c r="Y94" s="26"/>
      <c r="Z94" s="26">
        <v>65.0</v>
      </c>
      <c r="AA94" s="26">
        <v>124.5</v>
      </c>
      <c r="AB94" s="26">
        <v>120.7</v>
      </c>
      <c r="AC94" s="26">
        <v>128.3</v>
      </c>
      <c r="AD94" s="26">
        <v>-1.37</v>
      </c>
      <c r="AE94" s="26">
        <v>79.0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>
        <v>65.0</v>
      </c>
      <c r="BB94" s="26">
        <v>105.3</v>
      </c>
      <c r="BC94" s="26">
        <v>104.4</v>
      </c>
      <c r="BD94" s="26">
        <v>106.1</v>
      </c>
      <c r="BE94" s="26">
        <v>-0.65</v>
      </c>
      <c r="BF94" s="26">
        <v>90.0</v>
      </c>
      <c r="BG94" s="26"/>
      <c r="BH94" s="26"/>
      <c r="BI94" s="26"/>
      <c r="BJ94" s="26"/>
    </row>
    <row r="95" ht="15.75" customHeight="1">
      <c r="A95" s="25"/>
      <c r="B95" s="26"/>
      <c r="C95" s="26">
        <v>66.0</v>
      </c>
      <c r="D95" s="26">
        <v>127.9</v>
      </c>
      <c r="E95" s="26">
        <v>126.8</v>
      </c>
      <c r="F95" s="26">
        <v>128.9</v>
      </c>
      <c r="G95" s="26">
        <v>0.93</v>
      </c>
      <c r="H95" s="26">
        <v>114.0</v>
      </c>
      <c r="I95" s="26"/>
      <c r="J95" s="26"/>
      <c r="K95" s="26">
        <v>66.0</v>
      </c>
      <c r="L95" s="26">
        <v>120.2</v>
      </c>
      <c r="M95" s="26">
        <v>119.5</v>
      </c>
      <c r="N95" s="26">
        <v>120.9</v>
      </c>
      <c r="O95" s="26">
        <v>-0.86</v>
      </c>
      <c r="P95" s="26">
        <v>87.0</v>
      </c>
      <c r="Q95" s="26"/>
      <c r="R95" s="26"/>
      <c r="S95" s="26"/>
      <c r="T95" s="26"/>
      <c r="U95" s="26"/>
      <c r="V95" s="26"/>
      <c r="W95" s="26"/>
      <c r="X95" s="26"/>
      <c r="Y95" s="26"/>
      <c r="Z95" s="26">
        <v>66.0</v>
      </c>
      <c r="AA95" s="26">
        <v>125.2</v>
      </c>
      <c r="AB95" s="26">
        <v>121.2</v>
      </c>
      <c r="AC95" s="26">
        <v>129.1</v>
      </c>
      <c r="AD95" s="26">
        <v>-1.32</v>
      </c>
      <c r="AE95" s="26">
        <v>80.0</v>
      </c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>
        <v>66.0</v>
      </c>
      <c r="BB95" s="26">
        <v>105.5</v>
      </c>
      <c r="BC95" s="26">
        <v>104.6</v>
      </c>
      <c r="BD95" s="26">
        <v>106.4</v>
      </c>
      <c r="BE95" s="26">
        <v>-0.56</v>
      </c>
      <c r="BF95" s="26">
        <v>92.0</v>
      </c>
      <c r="BG95" s="26"/>
      <c r="BH95" s="26"/>
      <c r="BI95" s="26"/>
      <c r="BJ95" s="26"/>
    </row>
    <row r="96" ht="15.75" customHeight="1">
      <c r="A96" s="25"/>
      <c r="B96" s="26"/>
      <c r="C96" s="26">
        <v>67.0</v>
      </c>
      <c r="D96" s="26">
        <v>128.3</v>
      </c>
      <c r="E96" s="26">
        <v>127.2</v>
      </c>
      <c r="F96" s="26">
        <v>129.3</v>
      </c>
      <c r="G96" s="26">
        <v>0.99</v>
      </c>
      <c r="H96" s="26">
        <v>115.0</v>
      </c>
      <c r="I96" s="26"/>
      <c r="J96" s="26"/>
      <c r="K96" s="26">
        <v>67.0</v>
      </c>
      <c r="L96" s="26">
        <v>120.4</v>
      </c>
      <c r="M96" s="26">
        <v>119.7</v>
      </c>
      <c r="N96" s="26">
        <v>121.1</v>
      </c>
      <c r="O96" s="26">
        <v>-0.81</v>
      </c>
      <c r="P96" s="26">
        <v>88.0</v>
      </c>
      <c r="Q96" s="26"/>
      <c r="R96" s="26"/>
      <c r="S96" s="26"/>
      <c r="T96" s="26"/>
      <c r="U96" s="26"/>
      <c r="V96" s="26"/>
      <c r="W96" s="26"/>
      <c r="X96" s="26"/>
      <c r="Y96" s="26"/>
      <c r="Z96" s="26">
        <v>67.0</v>
      </c>
      <c r="AA96" s="26">
        <v>125.9</v>
      </c>
      <c r="AB96" s="26">
        <v>121.9</v>
      </c>
      <c r="AC96" s="26">
        <v>129.9</v>
      </c>
      <c r="AD96" s="26">
        <v>-1.26</v>
      </c>
      <c r="AE96" s="26">
        <v>81.0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>
        <v>67.0</v>
      </c>
      <c r="BB96" s="26">
        <v>105.9</v>
      </c>
      <c r="BC96" s="26">
        <v>104.9</v>
      </c>
      <c r="BD96" s="26">
        <v>106.8</v>
      </c>
      <c r="BE96" s="26">
        <v>-0.47</v>
      </c>
      <c r="BF96" s="26">
        <v>93.0</v>
      </c>
      <c r="BG96" s="26"/>
      <c r="BH96" s="26"/>
      <c r="BI96" s="26"/>
      <c r="BJ96" s="26"/>
    </row>
    <row r="97" ht="15.75" customHeight="1">
      <c r="A97" s="25"/>
      <c r="B97" s="26"/>
      <c r="C97" s="26">
        <v>68.0</v>
      </c>
      <c r="D97" s="26">
        <v>128.7</v>
      </c>
      <c r="E97" s="26">
        <v>127.6</v>
      </c>
      <c r="F97" s="26">
        <v>129.8</v>
      </c>
      <c r="G97" s="26">
        <v>1.05</v>
      </c>
      <c r="H97" s="26">
        <v>116.0</v>
      </c>
      <c r="I97" s="26"/>
      <c r="J97" s="26"/>
      <c r="K97" s="26">
        <v>68.0</v>
      </c>
      <c r="L97" s="26">
        <v>120.6</v>
      </c>
      <c r="M97" s="26">
        <v>119.9</v>
      </c>
      <c r="N97" s="26">
        <v>121.4</v>
      </c>
      <c r="O97" s="26">
        <v>-0.76</v>
      </c>
      <c r="P97" s="26">
        <v>89.0</v>
      </c>
      <c r="Q97" s="26"/>
      <c r="R97" s="26"/>
      <c r="S97" s="26"/>
      <c r="T97" s="26"/>
      <c r="U97" s="26"/>
      <c r="V97" s="26"/>
      <c r="W97" s="26"/>
      <c r="X97" s="26"/>
      <c r="Y97" s="26"/>
      <c r="Z97" s="26">
        <v>68.0</v>
      </c>
      <c r="AA97" s="26">
        <v>126.7</v>
      </c>
      <c r="AB97" s="26">
        <v>122.5</v>
      </c>
      <c r="AC97" s="26">
        <v>130.8</v>
      </c>
      <c r="AD97" s="26">
        <v>-1.19</v>
      </c>
      <c r="AE97" s="26">
        <v>82.0</v>
      </c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>
        <v>68.0</v>
      </c>
      <c r="BB97" s="26">
        <v>106.2</v>
      </c>
      <c r="BC97" s="26">
        <v>105.2</v>
      </c>
      <c r="BD97" s="26">
        <v>107.2</v>
      </c>
      <c r="BE97" s="26">
        <v>-0.37</v>
      </c>
      <c r="BF97" s="26">
        <v>95.0</v>
      </c>
      <c r="BG97" s="26"/>
      <c r="BH97" s="26"/>
      <c r="BI97" s="26"/>
      <c r="BJ97" s="26"/>
    </row>
    <row r="98" ht="15.75" customHeight="1">
      <c r="A98" s="25"/>
      <c r="B98" s="26"/>
      <c r="C98" s="26">
        <v>69.0</v>
      </c>
      <c r="D98" s="26">
        <v>129.2</v>
      </c>
      <c r="E98" s="26">
        <v>128.0</v>
      </c>
      <c r="F98" s="26">
        <v>130.5</v>
      </c>
      <c r="G98" s="26">
        <v>1.13</v>
      </c>
      <c r="H98" s="26">
        <v>117.0</v>
      </c>
      <c r="I98" s="26"/>
      <c r="J98" s="26"/>
      <c r="K98" s="26">
        <v>69.0</v>
      </c>
      <c r="L98" s="26">
        <v>120.8</v>
      </c>
      <c r="M98" s="26">
        <v>120.1</v>
      </c>
      <c r="N98" s="26">
        <v>121.6</v>
      </c>
      <c r="O98" s="26">
        <v>-0.71</v>
      </c>
      <c r="P98" s="26">
        <v>89.0</v>
      </c>
      <c r="Q98" s="26"/>
      <c r="R98" s="26"/>
      <c r="S98" s="26"/>
      <c r="T98" s="26"/>
      <c r="U98" s="26"/>
      <c r="V98" s="26"/>
      <c r="W98" s="26"/>
      <c r="X98" s="26"/>
      <c r="Y98" s="26"/>
      <c r="Z98" s="26">
        <v>69.0</v>
      </c>
      <c r="AA98" s="26">
        <v>127.5</v>
      </c>
      <c r="AB98" s="26">
        <v>123.2</v>
      </c>
      <c r="AC98" s="26">
        <v>131.8</v>
      </c>
      <c r="AD98" s="26">
        <v>-1.12</v>
      </c>
      <c r="AE98" s="26">
        <v>83.0</v>
      </c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>
        <v>69.0</v>
      </c>
      <c r="BB98" s="26">
        <v>106.5</v>
      </c>
      <c r="BC98" s="26">
        <v>105.6</v>
      </c>
      <c r="BD98" s="26">
        <v>107.5</v>
      </c>
      <c r="BE98" s="26">
        <v>-0.26</v>
      </c>
      <c r="BF98" s="26">
        <v>96.0</v>
      </c>
      <c r="BG98" s="26"/>
      <c r="BH98" s="26"/>
      <c r="BI98" s="26"/>
      <c r="BJ98" s="26"/>
    </row>
    <row r="99" ht="15.75" customHeight="1">
      <c r="A99" s="25"/>
      <c r="B99" s="26"/>
      <c r="C99" s="26">
        <v>70.0</v>
      </c>
      <c r="D99" s="26">
        <v>129.9</v>
      </c>
      <c r="E99" s="26">
        <v>128.4</v>
      </c>
      <c r="F99" s="26">
        <v>131.3</v>
      </c>
      <c r="G99" s="26">
        <v>1.22</v>
      </c>
      <c r="H99" s="26">
        <v>118.0</v>
      </c>
      <c r="I99" s="26"/>
      <c r="J99" s="26"/>
      <c r="K99" s="26">
        <v>70.0</v>
      </c>
      <c r="L99" s="26">
        <v>121.1</v>
      </c>
      <c r="M99" s="26">
        <v>120.3</v>
      </c>
      <c r="N99" s="26">
        <v>121.9</v>
      </c>
      <c r="O99" s="26">
        <v>-0.65</v>
      </c>
      <c r="P99" s="26">
        <v>90.0</v>
      </c>
      <c r="Q99" s="26"/>
      <c r="R99" s="26"/>
      <c r="S99" s="26"/>
      <c r="T99" s="26"/>
      <c r="U99" s="26"/>
      <c r="V99" s="26"/>
      <c r="W99" s="26"/>
      <c r="X99" s="26"/>
      <c r="Y99" s="26"/>
      <c r="Z99" s="26">
        <v>70.0</v>
      </c>
      <c r="AA99" s="26">
        <v>128.4</v>
      </c>
      <c r="AB99" s="26">
        <v>123.9</v>
      </c>
      <c r="AC99" s="26">
        <v>132.9</v>
      </c>
      <c r="AD99" s="26">
        <v>-1.05</v>
      </c>
      <c r="AE99" s="26">
        <v>84.0</v>
      </c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>
        <v>70.0</v>
      </c>
      <c r="BB99" s="26">
        <v>106.8</v>
      </c>
      <c r="BC99" s="26">
        <v>106.0</v>
      </c>
      <c r="BD99" s="26">
        <v>107.7</v>
      </c>
      <c r="BE99" s="26">
        <v>-0.18</v>
      </c>
      <c r="BF99" s="26">
        <v>97.0</v>
      </c>
      <c r="BG99" s="26"/>
      <c r="BH99" s="26"/>
      <c r="BI99" s="26"/>
      <c r="BJ99" s="26"/>
    </row>
    <row r="100" ht="15.75" customHeight="1">
      <c r="A100" s="25"/>
      <c r="B100" s="26"/>
      <c r="C100" s="26">
        <v>71.0</v>
      </c>
      <c r="D100" s="26">
        <v>131.5</v>
      </c>
      <c r="E100" s="26">
        <v>128.5</v>
      </c>
      <c r="F100" s="26">
        <v>134.4</v>
      </c>
      <c r="G100" s="26">
        <v>1.45</v>
      </c>
      <c r="H100" s="26">
        <v>122.0</v>
      </c>
      <c r="I100" s="26"/>
      <c r="J100" s="26"/>
      <c r="K100" s="26">
        <v>71.0</v>
      </c>
      <c r="L100" s="26">
        <v>121.3</v>
      </c>
      <c r="M100" s="26">
        <v>120.5</v>
      </c>
      <c r="N100" s="26">
        <v>122.1</v>
      </c>
      <c r="O100" s="26">
        <v>-0.59</v>
      </c>
      <c r="P100" s="26">
        <v>91.0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>
        <v>71.0</v>
      </c>
      <c r="AA100" s="26">
        <v>129.4</v>
      </c>
      <c r="AB100" s="26">
        <v>124.6</v>
      </c>
      <c r="AC100" s="26">
        <v>134.1</v>
      </c>
      <c r="AD100" s="26">
        <v>-0.97</v>
      </c>
      <c r="AE100" s="26">
        <v>86.0</v>
      </c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>
        <v>71.0</v>
      </c>
      <c r="BB100" s="26">
        <v>107.1</v>
      </c>
      <c r="BC100" s="26">
        <v>106.3</v>
      </c>
      <c r="BD100" s="26">
        <v>108.0</v>
      </c>
      <c r="BE100" s="26">
        <v>-0.1</v>
      </c>
      <c r="BF100" s="26">
        <v>99.0</v>
      </c>
      <c r="BG100" s="26"/>
      <c r="BH100" s="26"/>
      <c r="BI100" s="26"/>
      <c r="BJ100" s="26"/>
    </row>
    <row r="101" ht="15.75" customHeight="1">
      <c r="A101" s="25"/>
      <c r="B101" s="26"/>
      <c r="C101" s="26">
        <v>72.0</v>
      </c>
      <c r="D101" s="26">
        <v>133.0</v>
      </c>
      <c r="E101" s="26">
        <v>131.5</v>
      </c>
      <c r="F101" s="26">
        <v>134.5</v>
      </c>
      <c r="G101" s="26">
        <v>1.67</v>
      </c>
      <c r="H101" s="26">
        <v>125.0</v>
      </c>
      <c r="I101" s="26"/>
      <c r="J101" s="26"/>
      <c r="K101" s="26">
        <v>72.0</v>
      </c>
      <c r="L101" s="26">
        <v>121.6</v>
      </c>
      <c r="M101" s="26">
        <v>120.7</v>
      </c>
      <c r="N101" s="26">
        <v>122.4</v>
      </c>
      <c r="O101" s="26">
        <v>-0.53</v>
      </c>
      <c r="P101" s="26">
        <v>92.0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>
        <v>72.0</v>
      </c>
      <c r="AA101" s="26">
        <v>130.4</v>
      </c>
      <c r="AB101" s="26">
        <v>125.5</v>
      </c>
      <c r="AC101" s="26">
        <v>135.4</v>
      </c>
      <c r="AD101" s="26">
        <v>-0.88</v>
      </c>
      <c r="AE101" s="26">
        <v>87.0</v>
      </c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>
        <v>72.0</v>
      </c>
      <c r="BB101" s="26">
        <v>107.4</v>
      </c>
      <c r="BC101" s="26">
        <v>106.5</v>
      </c>
      <c r="BD101" s="26">
        <v>108.2</v>
      </c>
      <c r="BE101" s="26">
        <v>-0.02</v>
      </c>
      <c r="BF101" s="26">
        <v>100.0</v>
      </c>
      <c r="BG101" s="26"/>
      <c r="BH101" s="26"/>
      <c r="BI101" s="26"/>
      <c r="BJ101" s="26"/>
    </row>
    <row r="102" ht="15.75" customHeight="1">
      <c r="A102" s="25"/>
      <c r="B102" s="26"/>
      <c r="C102" s="26">
        <v>73.0</v>
      </c>
      <c r="D102" s="26">
        <v>133.7</v>
      </c>
      <c r="E102" s="26">
        <v>132.3</v>
      </c>
      <c r="F102" s="26">
        <v>135.2</v>
      </c>
      <c r="G102" s="26">
        <v>1.78</v>
      </c>
      <c r="H102" s="26">
        <v>127.0</v>
      </c>
      <c r="I102" s="26"/>
      <c r="J102" s="26"/>
      <c r="K102" s="26">
        <v>73.0</v>
      </c>
      <c r="L102" s="26">
        <v>121.8</v>
      </c>
      <c r="M102" s="26">
        <v>121.0</v>
      </c>
      <c r="N102" s="26">
        <v>122.6</v>
      </c>
      <c r="O102" s="26">
        <v>-0.47</v>
      </c>
      <c r="P102" s="26">
        <v>93.0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>
        <v>73.0</v>
      </c>
      <c r="AA102" s="26">
        <v>131.6</v>
      </c>
      <c r="AB102" s="26">
        <v>126.3</v>
      </c>
      <c r="AC102" s="26">
        <v>136.9</v>
      </c>
      <c r="AD102" s="26">
        <v>-0.78</v>
      </c>
      <c r="AE102" s="26">
        <v>88.0</v>
      </c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>
        <v>73.0</v>
      </c>
      <c r="BB102" s="26">
        <v>107.6</v>
      </c>
      <c r="BC102" s="26">
        <v>106.8</v>
      </c>
      <c r="BD102" s="26">
        <v>108.4</v>
      </c>
      <c r="BE102" s="26">
        <v>0.05</v>
      </c>
      <c r="BF102" s="26">
        <v>101.0</v>
      </c>
      <c r="BG102" s="26"/>
      <c r="BH102" s="26"/>
      <c r="BI102" s="26"/>
      <c r="BJ102" s="26"/>
    </row>
    <row r="103" ht="15.75" customHeight="1">
      <c r="A103" s="25"/>
      <c r="B103" s="26"/>
      <c r="C103" s="26">
        <v>74.0</v>
      </c>
      <c r="D103" s="26">
        <v>134.5</v>
      </c>
      <c r="E103" s="26">
        <v>133.1</v>
      </c>
      <c r="F103" s="26">
        <v>136.0</v>
      </c>
      <c r="G103" s="26">
        <v>1.9</v>
      </c>
      <c r="H103" s="26">
        <v>128.0</v>
      </c>
      <c r="I103" s="26"/>
      <c r="J103" s="26"/>
      <c r="K103" s="26">
        <v>74.0</v>
      </c>
      <c r="L103" s="26">
        <v>122.0</v>
      </c>
      <c r="M103" s="26">
        <v>121.2</v>
      </c>
      <c r="N103" s="26">
        <v>122.8</v>
      </c>
      <c r="O103" s="26">
        <v>-0.41</v>
      </c>
      <c r="P103" s="26">
        <v>94.0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>
        <v>74.0</v>
      </c>
      <c r="AA103" s="26">
        <v>133.0</v>
      </c>
      <c r="AB103" s="26">
        <v>127.3</v>
      </c>
      <c r="AC103" s="26">
        <v>138.6</v>
      </c>
      <c r="AD103" s="26">
        <v>-0.66</v>
      </c>
      <c r="AE103" s="26">
        <v>90.0</v>
      </c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>
        <v>74.0</v>
      </c>
      <c r="BB103" s="26">
        <v>107.9</v>
      </c>
      <c r="BC103" s="26">
        <v>107.0</v>
      </c>
      <c r="BD103" s="26">
        <v>108.7</v>
      </c>
      <c r="BE103" s="26">
        <v>0.13</v>
      </c>
      <c r="BF103" s="26">
        <v>102.0</v>
      </c>
      <c r="BG103" s="26"/>
      <c r="BH103" s="26"/>
      <c r="BI103" s="26"/>
      <c r="BJ103" s="26"/>
    </row>
    <row r="104" ht="15.75" customHeight="1">
      <c r="A104" s="25"/>
      <c r="B104" s="26"/>
      <c r="C104" s="26">
        <v>75.0</v>
      </c>
      <c r="D104" s="26">
        <v>135.4</v>
      </c>
      <c r="E104" s="26">
        <v>133.8</v>
      </c>
      <c r="F104" s="26">
        <v>137.0</v>
      </c>
      <c r="G104" s="26">
        <v>2.02</v>
      </c>
      <c r="H104" s="26">
        <v>130.0</v>
      </c>
      <c r="I104" s="26"/>
      <c r="J104" s="26"/>
      <c r="K104" s="26">
        <v>75.0</v>
      </c>
      <c r="L104" s="26">
        <v>122.3</v>
      </c>
      <c r="M104" s="26">
        <v>121.5</v>
      </c>
      <c r="N104" s="26">
        <v>123.1</v>
      </c>
      <c r="O104" s="26">
        <v>-0.35</v>
      </c>
      <c r="P104" s="26">
        <v>95.0</v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>
        <v>75.0</v>
      </c>
      <c r="AA104" s="26">
        <v>134.6</v>
      </c>
      <c r="AB104" s="26">
        <v>128.4</v>
      </c>
      <c r="AC104" s="26">
        <v>140.8</v>
      </c>
      <c r="AD104" s="26">
        <v>-0.53</v>
      </c>
      <c r="AE104" s="26">
        <v>92.0</v>
      </c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>
        <v>75.0</v>
      </c>
      <c r="BB104" s="26">
        <v>108.1</v>
      </c>
      <c r="BC104" s="26">
        <v>107.3</v>
      </c>
      <c r="BD104" s="26">
        <v>109.0</v>
      </c>
      <c r="BE104" s="26">
        <v>0.21</v>
      </c>
      <c r="BF104" s="26">
        <v>103.0</v>
      </c>
      <c r="BG104" s="26"/>
      <c r="BH104" s="26"/>
      <c r="BI104" s="26"/>
      <c r="BJ104" s="26"/>
    </row>
    <row r="105" ht="15.75" customHeight="1">
      <c r="A105" s="25"/>
      <c r="B105" s="26"/>
      <c r="C105" s="26">
        <v>76.0</v>
      </c>
      <c r="D105" s="26">
        <v>136.3</v>
      </c>
      <c r="E105" s="26">
        <v>134.8</v>
      </c>
      <c r="F105" s="26">
        <v>137.8</v>
      </c>
      <c r="G105" s="26">
        <v>2.16</v>
      </c>
      <c r="H105" s="26">
        <v>132.0</v>
      </c>
      <c r="I105" s="26"/>
      <c r="J105" s="26"/>
      <c r="K105" s="26">
        <v>76.0</v>
      </c>
      <c r="L105" s="26">
        <v>122.5</v>
      </c>
      <c r="M105" s="26">
        <v>121.7</v>
      </c>
      <c r="N105" s="26">
        <v>123.3</v>
      </c>
      <c r="O105" s="26">
        <v>-0.29</v>
      </c>
      <c r="P105" s="26">
        <v>96.0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>
        <v>76.0</v>
      </c>
      <c r="AA105" s="26">
        <v>136.5</v>
      </c>
      <c r="AB105" s="26">
        <v>129.7</v>
      </c>
      <c r="AC105" s="26">
        <v>143.4</v>
      </c>
      <c r="AD105" s="26">
        <v>-0.37</v>
      </c>
      <c r="AE105" s="26">
        <v>94.0</v>
      </c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>
        <v>76.0</v>
      </c>
      <c r="BB105" s="26">
        <v>108.4</v>
      </c>
      <c r="BC105" s="26">
        <v>107.5</v>
      </c>
      <c r="BD105" s="26">
        <v>109.4</v>
      </c>
      <c r="BE105" s="26">
        <v>0.3</v>
      </c>
      <c r="BF105" s="26">
        <v>104.0</v>
      </c>
      <c r="BG105" s="26"/>
      <c r="BH105" s="26"/>
      <c r="BI105" s="26"/>
      <c r="BJ105" s="26"/>
    </row>
    <row r="106" ht="15.75" customHeight="1">
      <c r="A106" s="25"/>
      <c r="B106" s="26"/>
      <c r="C106" s="26">
        <v>77.0</v>
      </c>
      <c r="D106" s="26">
        <v>137.0</v>
      </c>
      <c r="E106" s="26">
        <v>135.7</v>
      </c>
      <c r="F106" s="26">
        <v>138.3</v>
      </c>
      <c r="G106" s="26">
        <v>2.26</v>
      </c>
      <c r="H106" s="26">
        <v>134.0</v>
      </c>
      <c r="I106" s="26"/>
      <c r="J106" s="26"/>
      <c r="K106" s="26">
        <v>77.0</v>
      </c>
      <c r="L106" s="26">
        <v>122.8</v>
      </c>
      <c r="M106" s="26">
        <v>121.9</v>
      </c>
      <c r="N106" s="26">
        <v>123.6</v>
      </c>
      <c r="O106" s="26">
        <v>-0.23</v>
      </c>
      <c r="P106" s="26">
        <v>97.0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>
        <v>77.0</v>
      </c>
      <c r="AA106" s="26">
        <v>139.0</v>
      </c>
      <c r="AB106" s="26">
        <v>131.1</v>
      </c>
      <c r="AC106" s="26">
        <v>146.9</v>
      </c>
      <c r="AD106" s="26">
        <v>-0.16</v>
      </c>
      <c r="AE106" s="26">
        <v>98.0</v>
      </c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>
        <v>77.0</v>
      </c>
      <c r="BB106" s="26">
        <v>108.8</v>
      </c>
      <c r="BC106" s="26">
        <v>107.7</v>
      </c>
      <c r="BD106" s="26">
        <v>109.9</v>
      </c>
      <c r="BE106" s="26">
        <v>0.41</v>
      </c>
      <c r="BF106" s="26">
        <v>106.0</v>
      </c>
      <c r="BG106" s="26"/>
      <c r="BH106" s="26"/>
      <c r="BI106" s="26"/>
      <c r="BJ106" s="26"/>
    </row>
    <row r="107" ht="15.75" customHeight="1">
      <c r="A107" s="25"/>
      <c r="B107" s="26"/>
      <c r="C107" s="26">
        <v>78.0</v>
      </c>
      <c r="D107" s="26">
        <v>137.6</v>
      </c>
      <c r="E107" s="26">
        <v>136.3</v>
      </c>
      <c r="F107" s="26">
        <v>138.8</v>
      </c>
      <c r="G107" s="26">
        <v>2.34</v>
      </c>
      <c r="H107" s="26">
        <v>135.0</v>
      </c>
      <c r="I107" s="26"/>
      <c r="J107" s="26"/>
      <c r="K107" s="26">
        <v>78.0</v>
      </c>
      <c r="L107" s="26">
        <v>123.0</v>
      </c>
      <c r="M107" s="26">
        <v>122.2</v>
      </c>
      <c r="N107" s="26">
        <v>123.9</v>
      </c>
      <c r="O107" s="26">
        <v>-0.17</v>
      </c>
      <c r="P107" s="26">
        <v>98.0</v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>
        <v>78.0</v>
      </c>
      <c r="AA107" s="26">
        <v>142.4</v>
      </c>
      <c r="AB107" s="26">
        <v>132.9</v>
      </c>
      <c r="AC107" s="26">
        <v>152.0</v>
      </c>
      <c r="AD107" s="26">
        <v>0.13</v>
      </c>
      <c r="AE107" s="26">
        <v>102.0</v>
      </c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>
        <v>78.0</v>
      </c>
      <c r="BB107" s="26">
        <v>109.3</v>
      </c>
      <c r="BC107" s="26">
        <v>108.0</v>
      </c>
      <c r="BD107" s="26">
        <v>110.6</v>
      </c>
      <c r="BE107" s="26">
        <v>0.56</v>
      </c>
      <c r="BF107" s="26">
        <v>108.0</v>
      </c>
      <c r="BG107" s="26"/>
      <c r="BH107" s="26"/>
      <c r="BI107" s="26"/>
      <c r="BJ107" s="26"/>
    </row>
    <row r="108" ht="15.75" customHeight="1">
      <c r="A108" s="25"/>
      <c r="B108" s="26"/>
      <c r="C108" s="26">
        <v>79.0</v>
      </c>
      <c r="D108" s="26">
        <v>138.3</v>
      </c>
      <c r="E108" s="26">
        <v>136.7</v>
      </c>
      <c r="F108" s="26">
        <v>139.8</v>
      </c>
      <c r="G108" s="26">
        <v>2.44</v>
      </c>
      <c r="H108" s="26">
        <v>137.0</v>
      </c>
      <c r="I108" s="26"/>
      <c r="J108" s="26"/>
      <c r="K108" s="26">
        <v>79.0</v>
      </c>
      <c r="L108" s="26">
        <v>123.3</v>
      </c>
      <c r="M108" s="26">
        <v>122.4</v>
      </c>
      <c r="N108" s="26">
        <v>124.2</v>
      </c>
      <c r="O108" s="26">
        <v>-0.1</v>
      </c>
      <c r="P108" s="26">
        <v>99.0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>
        <v>79.0</v>
      </c>
      <c r="AA108" s="26">
        <v>148.2</v>
      </c>
      <c r="AB108" s="26">
        <v>134.8</v>
      </c>
      <c r="AC108" s="26">
        <v>161.7</v>
      </c>
      <c r="AD108" s="26">
        <v>0.61</v>
      </c>
      <c r="AE108" s="26">
        <v>109.0</v>
      </c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>
        <v>79.0</v>
      </c>
      <c r="BB108" s="26">
        <v>110.0</v>
      </c>
      <c r="BC108" s="26">
        <v>108.7</v>
      </c>
      <c r="BD108" s="26">
        <v>111.4</v>
      </c>
      <c r="BE108" s="26">
        <v>0.76</v>
      </c>
      <c r="BF108" s="26">
        <v>111.0</v>
      </c>
      <c r="BG108" s="26"/>
      <c r="BH108" s="26"/>
      <c r="BI108" s="26"/>
      <c r="BJ108" s="26"/>
    </row>
    <row r="109" ht="15.75" customHeight="1">
      <c r="A109" s="25"/>
      <c r="B109" s="26"/>
      <c r="C109" s="26">
        <v>80.0</v>
      </c>
      <c r="D109" s="26">
        <v>139.3</v>
      </c>
      <c r="E109" s="26">
        <v>136.5</v>
      </c>
      <c r="F109" s="26">
        <v>142.1</v>
      </c>
      <c r="G109" s="26">
        <v>2.59</v>
      </c>
      <c r="H109" s="26">
        <v>139.0</v>
      </c>
      <c r="I109" s="26"/>
      <c r="J109" s="26"/>
      <c r="K109" s="26">
        <v>80.0</v>
      </c>
      <c r="L109" s="26">
        <v>123.6</v>
      </c>
      <c r="M109" s="26">
        <v>122.6</v>
      </c>
      <c r="N109" s="26">
        <v>124.6</v>
      </c>
      <c r="O109" s="26">
        <v>-0.02</v>
      </c>
      <c r="P109" s="26">
        <v>100.0</v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>
        <v>80.0</v>
      </c>
      <c r="AA109" s="26">
        <v>158.1</v>
      </c>
      <c r="AB109" s="26">
        <v>133.8</v>
      </c>
      <c r="AC109" s="26">
        <v>182.3</v>
      </c>
      <c r="AD109" s="26">
        <v>1.44</v>
      </c>
      <c r="AE109" s="26">
        <v>122.0</v>
      </c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>
        <v>80.0</v>
      </c>
      <c r="BB109" s="26">
        <v>110.6</v>
      </c>
      <c r="BC109" s="26">
        <v>109.4</v>
      </c>
      <c r="BD109" s="26">
        <v>111.8</v>
      </c>
      <c r="BE109" s="26">
        <v>0.94</v>
      </c>
      <c r="BF109" s="26">
        <v>114.0</v>
      </c>
      <c r="BG109" s="26"/>
      <c r="BH109" s="26"/>
      <c r="BI109" s="26"/>
      <c r="BJ109" s="26"/>
    </row>
    <row r="110" ht="15.75" customHeight="1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6">
        <v>81.0</v>
      </c>
      <c r="L110" s="26">
        <v>124.0</v>
      </c>
      <c r="M110" s="26">
        <v>122.9</v>
      </c>
      <c r="N110" s="26">
        <v>125.0</v>
      </c>
      <c r="O110" s="26">
        <v>0.07</v>
      </c>
      <c r="P110" s="26">
        <v>101.0</v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>
        <v>81.0</v>
      </c>
      <c r="BB110" s="26">
        <v>111.1</v>
      </c>
      <c r="BC110" s="26">
        <v>110.0</v>
      </c>
      <c r="BD110" s="26">
        <v>112.2</v>
      </c>
      <c r="BE110" s="26">
        <v>1.08</v>
      </c>
      <c r="BF110" s="26">
        <v>116.0</v>
      </c>
      <c r="BG110" s="26"/>
      <c r="BH110" s="26"/>
      <c r="BI110" s="26"/>
      <c r="BJ110" s="26"/>
    </row>
    <row r="111" ht="15.75" customHeight="1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s="26">
        <v>82.0</v>
      </c>
      <c r="L111" s="26">
        <v>124.4</v>
      </c>
      <c r="M111" s="26">
        <v>123.3</v>
      </c>
      <c r="N111" s="26">
        <v>125.4</v>
      </c>
      <c r="O111" s="26">
        <v>0.17</v>
      </c>
      <c r="P111" s="26">
        <v>103.0</v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>
        <v>82.0</v>
      </c>
      <c r="BB111" s="26">
        <v>111.5</v>
      </c>
      <c r="BC111" s="26">
        <v>110.4</v>
      </c>
      <c r="BD111" s="26">
        <v>112.6</v>
      </c>
      <c r="BE111" s="26">
        <v>1.21</v>
      </c>
      <c r="BF111" s="26">
        <v>118.0</v>
      </c>
      <c r="BG111" s="26"/>
      <c r="BH111" s="26"/>
      <c r="BI111" s="26"/>
      <c r="BJ111" s="26"/>
    </row>
    <row r="112" ht="15.75" customHeight="1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6">
        <v>83.0</v>
      </c>
      <c r="L112" s="26">
        <v>124.8</v>
      </c>
      <c r="M112" s="26">
        <v>123.7</v>
      </c>
      <c r="N112" s="26">
        <v>125.9</v>
      </c>
      <c r="O112" s="26">
        <v>0.28</v>
      </c>
      <c r="P112" s="26">
        <v>104.0</v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>
        <v>83.0</v>
      </c>
      <c r="BB112" s="26">
        <v>112.1</v>
      </c>
      <c r="BC112" s="26">
        <v>110.7</v>
      </c>
      <c r="BD112" s="26">
        <v>113.5</v>
      </c>
      <c r="BE112" s="26">
        <v>1.37</v>
      </c>
      <c r="BF112" s="26">
        <v>121.0</v>
      </c>
      <c r="BG112" s="26"/>
      <c r="BH112" s="26"/>
      <c r="BI112" s="26"/>
      <c r="BJ112" s="26"/>
    </row>
    <row r="113" ht="15.75" customHeight="1">
      <c r="A113" s="25"/>
      <c r="B113" s="26"/>
      <c r="C113" s="26"/>
      <c r="D113" s="26"/>
      <c r="E113" s="26"/>
      <c r="F113" s="26"/>
      <c r="G113" s="26"/>
      <c r="H113" s="26"/>
      <c r="I113" s="26"/>
      <c r="J113" s="26"/>
      <c r="K113" s="26">
        <v>84.0</v>
      </c>
      <c r="L113" s="26">
        <v>125.3</v>
      </c>
      <c r="M113" s="26">
        <v>124.1</v>
      </c>
      <c r="N113" s="26">
        <v>126.5</v>
      </c>
      <c r="O113" s="26">
        <v>0.4</v>
      </c>
      <c r="P113" s="26">
        <v>106.0</v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>
        <v>84.0</v>
      </c>
      <c r="BB113" s="26">
        <v>113.6</v>
      </c>
      <c r="BC113" s="26">
        <v>110.4</v>
      </c>
      <c r="BD113" s="26">
        <v>116.7</v>
      </c>
      <c r="BE113" s="26">
        <v>1.81</v>
      </c>
      <c r="BF113" s="26">
        <v>127.0</v>
      </c>
      <c r="BG113" s="26"/>
      <c r="BH113" s="26"/>
      <c r="BI113" s="26"/>
      <c r="BJ113" s="26"/>
    </row>
    <row r="114" ht="15.75" customHeight="1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6">
        <v>85.0</v>
      </c>
      <c r="L114" s="26">
        <v>125.8</v>
      </c>
      <c r="M114" s="26">
        <v>124.6</v>
      </c>
      <c r="N114" s="26">
        <v>127.0</v>
      </c>
      <c r="O114" s="26">
        <v>0.53</v>
      </c>
      <c r="P114" s="26">
        <v>108.0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>
        <v>85.0</v>
      </c>
      <c r="BB114" s="26">
        <v>117.4</v>
      </c>
      <c r="BC114" s="26">
        <v>114.0</v>
      </c>
      <c r="BD114" s="26">
        <v>120.7</v>
      </c>
      <c r="BE114" s="26">
        <v>2.93</v>
      </c>
      <c r="BF114" s="26">
        <v>144.0</v>
      </c>
      <c r="BG114" s="26"/>
      <c r="BH114" s="26"/>
      <c r="BI114" s="26"/>
    </row>
    <row r="115" ht="15.75" customHeight="1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>
        <v>86.0</v>
      </c>
      <c r="L115" s="26">
        <v>126.4</v>
      </c>
      <c r="M115" s="26">
        <v>125.1</v>
      </c>
      <c r="N115" s="26">
        <v>127.7</v>
      </c>
      <c r="O115" s="26">
        <v>0.67</v>
      </c>
      <c r="P115" s="26">
        <v>110.0</v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>
        <v>86.0</v>
      </c>
      <c r="BB115" s="26">
        <v>120.1</v>
      </c>
      <c r="BC115" s="26">
        <v>116.5</v>
      </c>
      <c r="BD115" s="26">
        <v>123.6</v>
      </c>
      <c r="BE115" s="26">
        <v>3.74</v>
      </c>
      <c r="BF115" s="26">
        <v>156.0</v>
      </c>
      <c r="BG115" s="26"/>
      <c r="BH115" s="26"/>
      <c r="BI115" s="26"/>
    </row>
    <row r="116" ht="15.75" customHeight="1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6">
        <v>87.0</v>
      </c>
      <c r="L116" s="26">
        <v>127.0</v>
      </c>
      <c r="M116" s="26">
        <v>125.6</v>
      </c>
      <c r="N116" s="26">
        <v>128.5</v>
      </c>
      <c r="O116" s="26">
        <v>0.84</v>
      </c>
      <c r="P116" s="26">
        <v>113.0</v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</row>
    <row r="117" ht="15.75" customHeight="1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6">
        <v>88.0</v>
      </c>
      <c r="L117" s="26">
        <v>128.0</v>
      </c>
      <c r="M117" s="26">
        <v>126.2</v>
      </c>
      <c r="N117" s="26">
        <v>129.7</v>
      </c>
      <c r="O117" s="26">
        <v>1.06</v>
      </c>
      <c r="P117" s="26">
        <v>116.0</v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</row>
    <row r="118" ht="15.75" customHeight="1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>
        <v>89.0</v>
      </c>
      <c r="L118" s="26">
        <v>130.3</v>
      </c>
      <c r="M118" s="26">
        <v>126.8</v>
      </c>
      <c r="N118" s="26">
        <v>133.8</v>
      </c>
      <c r="O118" s="26">
        <v>1.64</v>
      </c>
      <c r="P118" s="26">
        <v>125.0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</row>
    <row r="119" ht="15.75" customHeight="1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6">
        <v>90.0</v>
      </c>
      <c r="L119" s="26">
        <v>134.1</v>
      </c>
      <c r="M119" s="26">
        <v>130.8</v>
      </c>
      <c r="N119" s="26">
        <v>137.3</v>
      </c>
      <c r="O119" s="26">
        <v>2.58</v>
      </c>
      <c r="P119" s="26">
        <v>139.0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</row>
    <row r="120" ht="15.75" customHeight="1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>
        <v>91.0</v>
      </c>
      <c r="L120" s="26">
        <v>136.7</v>
      </c>
      <c r="M120" s="26">
        <v>134.3</v>
      </c>
      <c r="N120" s="26">
        <v>139.0</v>
      </c>
      <c r="O120" s="26">
        <v>3.23</v>
      </c>
      <c r="P120" s="26">
        <v>149.0</v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</row>
    <row r="121" ht="15.75" customHeight="1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>
        <v>92.0</v>
      </c>
      <c r="L121" s="26">
        <v>138.9</v>
      </c>
      <c r="M121" s="26">
        <v>136.3</v>
      </c>
      <c r="N121" s="26">
        <v>141.6</v>
      </c>
      <c r="O121" s="26">
        <v>3.8</v>
      </c>
      <c r="P121" s="26">
        <v>157.0</v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</row>
    <row r="122" ht="15.75" customHeight="1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>
        <v>93.0</v>
      </c>
      <c r="L122" s="26">
        <v>141.4</v>
      </c>
      <c r="M122" s="26">
        <v>138.9</v>
      </c>
      <c r="N122" s="26">
        <v>143.9</v>
      </c>
      <c r="O122" s="26">
        <v>4.4</v>
      </c>
      <c r="P122" s="26">
        <v>166.0</v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</row>
    <row r="123" ht="15.75" customHeight="1">
      <c r="B123" s="26"/>
      <c r="C123" s="26"/>
      <c r="D123" s="26"/>
      <c r="E123" s="26"/>
      <c r="F123" s="26"/>
      <c r="G123" s="26"/>
      <c r="H123" s="26"/>
      <c r="I123" s="26"/>
      <c r="J123" s="26"/>
      <c r="K123" s="26">
        <v>94.0</v>
      </c>
      <c r="L123" s="26">
        <v>143.3</v>
      </c>
      <c r="M123" s="26">
        <v>139.9</v>
      </c>
      <c r="N123" s="26">
        <v>146.7</v>
      </c>
      <c r="O123" s="26">
        <v>4.88</v>
      </c>
      <c r="P123" s="26">
        <v>173.0</v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</row>
    <row r="124" ht="15.75" customHeight="1"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</row>
    <row r="125" ht="15.75" customHeight="1"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</row>
    <row r="126" ht="15.75" customHeight="1"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</row>
    <row r="127" ht="15.75" customHeight="1"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</row>
    <row r="128" ht="15.75" customHeight="1">
      <c r="K128" s="25"/>
      <c r="L128" s="25"/>
      <c r="M128" s="25"/>
      <c r="N128" s="25"/>
      <c r="O128" s="25"/>
      <c r="P128" s="25"/>
    </row>
    <row r="129" ht="15.75" customHeight="1">
      <c r="K129" s="25"/>
      <c r="L129" s="25"/>
      <c r="M129" s="25"/>
      <c r="N129" s="25"/>
      <c r="O129" s="25"/>
      <c r="P129" s="25"/>
    </row>
    <row r="130" ht="15.75" customHeight="1">
      <c r="K130" s="25"/>
      <c r="L130" s="25"/>
      <c r="M130" s="25"/>
      <c r="N130" s="25"/>
      <c r="O130" s="25"/>
      <c r="P130" s="25"/>
    </row>
    <row r="131" ht="15.75" customHeight="1">
      <c r="K131" s="25"/>
      <c r="L131" s="25"/>
      <c r="M131" s="25"/>
      <c r="N131" s="25"/>
      <c r="O131" s="25"/>
      <c r="P131" s="25"/>
    </row>
    <row r="132" ht="15.75" customHeight="1">
      <c r="K132" s="25"/>
      <c r="L132" s="25"/>
      <c r="M132" s="25"/>
      <c r="N132" s="25"/>
      <c r="O132" s="25"/>
      <c r="P132" s="25"/>
    </row>
    <row r="133" ht="15.75" customHeight="1">
      <c r="K133" s="25"/>
      <c r="L133" s="25"/>
      <c r="M133" s="25"/>
      <c r="N133" s="25"/>
      <c r="O133" s="25"/>
      <c r="P133" s="25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57"/>
    <col customWidth="1" min="3" max="3" width="18.86"/>
    <col customWidth="1" min="4" max="4" width="18.71"/>
    <col customWidth="1" min="5" max="5" width="14.71"/>
    <col customWidth="1" min="6" max="6" width="50.71"/>
    <col customWidth="1" min="7" max="10" width="0.43"/>
    <col customWidth="1" min="11" max="11" width="8.71"/>
    <col customWidth="1" min="12" max="12" width="28.14"/>
    <col customWidth="1" min="13" max="13" width="14.0"/>
    <col customWidth="1" min="14" max="14" width="19.71"/>
    <col customWidth="1" min="15" max="64" width="8.71"/>
  </cols>
  <sheetData>
    <row r="1">
      <c r="A1" s="1" t="s">
        <v>39</v>
      </c>
    </row>
    <row r="2" ht="24.0" customHeight="1">
      <c r="C2" s="2" t="s">
        <v>1</v>
      </c>
    </row>
    <row r="3" ht="23.25" customHeight="1">
      <c r="C3" s="3" t="s">
        <v>2</v>
      </c>
      <c r="D3" s="4">
        <v>45405.0</v>
      </c>
      <c r="E3" s="5"/>
    </row>
    <row r="4" ht="30.0" customHeight="1">
      <c r="C4" s="6" t="s">
        <v>3</v>
      </c>
      <c r="D4" s="4">
        <v>44724.0</v>
      </c>
      <c r="E4" s="5"/>
    </row>
    <row r="5">
      <c r="C5" s="7" t="s">
        <v>4</v>
      </c>
      <c r="D5" s="8" t="s">
        <v>5</v>
      </c>
      <c r="E5" s="9" t="s">
        <v>6</v>
      </c>
    </row>
    <row r="6">
      <c r="C6" s="10"/>
      <c r="D6" s="11">
        <f>DATEDIF(D4,D3,"Y")</f>
        <v>1</v>
      </c>
      <c r="E6" s="12">
        <f>DATEDIF(D4,D3,"M")-DATEDIF(D4,D3,"Y")*12</f>
        <v>10</v>
      </c>
    </row>
    <row r="7">
      <c r="C7" s="5"/>
      <c r="D7" s="5"/>
      <c r="E7" s="5"/>
    </row>
    <row r="8">
      <c r="C8" s="13" t="s">
        <v>7</v>
      </c>
      <c r="D8" s="14"/>
      <c r="E8" s="15"/>
    </row>
    <row r="9">
      <c r="C9" s="16" t="s">
        <v>8</v>
      </c>
      <c r="D9" s="15"/>
      <c r="E9" s="17" t="str">
        <f>A1</f>
        <v>36-41MESES</v>
      </c>
    </row>
    <row r="11">
      <c r="I11" s="18" t="s">
        <v>9</v>
      </c>
      <c r="J11" s="15"/>
    </row>
    <row r="12">
      <c r="F12" s="19" t="s">
        <v>10</v>
      </c>
      <c r="G12" s="20" t="s">
        <v>11</v>
      </c>
      <c r="H12" s="20" t="s">
        <v>12</v>
      </c>
      <c r="I12" s="21" t="s">
        <v>13</v>
      </c>
      <c r="J12" s="21" t="s">
        <v>14</v>
      </c>
      <c r="K12" s="21" t="s">
        <v>15</v>
      </c>
      <c r="L12" s="21" t="s">
        <v>16</v>
      </c>
      <c r="M12" s="20" t="s">
        <v>17</v>
      </c>
      <c r="N12" s="21" t="s">
        <v>16</v>
      </c>
    </row>
    <row r="13">
      <c r="F13" s="31" t="s">
        <v>18</v>
      </c>
      <c r="G13" s="31">
        <v>10.0</v>
      </c>
      <c r="H13" s="31">
        <f t="shared" ref="H13:K13" si="1">VLOOKUP(G13,C29:H113,2,0)</f>
        <v>99.6</v>
      </c>
      <c r="I13" s="31">
        <f t="shared" si="1"/>
        <v>96.6</v>
      </c>
      <c r="J13" s="31">
        <f t="shared" si="1"/>
        <v>102.5</v>
      </c>
      <c r="K13" s="31">
        <f t="shared" si="1"/>
        <v>-3.15</v>
      </c>
      <c r="L13" s="31" t="str">
        <f t="shared" ref="L13:L19" si="3">IF(K13&gt;2,"Muito acima do esperado",IF(AND(K13&gt;=1.51,K13&lt;=2),"Acima do esperado",IF(AND(K13&gt;=1.01,K13&lt;=1.5),"Típico",IF(AND(K13&gt;=-1,K13&lt;=1),"Típico",IF(AND(K13&gt;=-1.5,K13&lt;=-1.01),"Alerta para atraso",IF(AND(K13&gt;=-2,K13&lt;=-1.51),"Atraso",IF(K13&lt;=-2,"Atraso signifiticativo","0")))))))</f>
        <v>Atraso signifiticativo</v>
      </c>
      <c r="M13" s="31">
        <f>VLOOKUP(G13,C29:H113,6,0)</f>
        <v>53</v>
      </c>
      <c r="N13" s="31" t="str">
        <f t="shared" ref="N13:N19" si="4">IF(M13&gt;130,"Muito Superior",IF(AND(M13&gt;=123,M13&lt;=130),"Superior",IF(AND(M13&gt;=116,M13&lt;=122),"Acima da Média",IF(AND(M13&gt;=85,M13&lt;=115),"Médio",IF(AND(M13&gt;=78,M13&lt;=84),"Abaixo da Média",IF(AND(M13&gt;=70,M13&lt;=77),"Inferior",IF(M13&lt;=70,"Muito Inferior","0")))))))</f>
        <v>Muito Inferior</v>
      </c>
    </row>
    <row r="14">
      <c r="F14" s="31" t="s">
        <v>19</v>
      </c>
      <c r="G14" s="31">
        <v>15.0</v>
      </c>
      <c r="H14" s="31">
        <f t="shared" ref="H14:K14" si="2">VLOOKUP(G14,K29:L133,2,0)</f>
        <v>105.2</v>
      </c>
      <c r="I14" s="31">
        <f t="shared" si="2"/>
        <v>103.9</v>
      </c>
      <c r="J14" s="31">
        <f t="shared" si="2"/>
        <v>106.4</v>
      </c>
      <c r="K14" s="31">
        <f t="shared" si="2"/>
        <v>-3.19</v>
      </c>
      <c r="L14" s="31" t="str">
        <f t="shared" si="3"/>
        <v>Atraso signifiticativo</v>
      </c>
      <c r="M14" s="31">
        <f>VLOOKUP(G14,K29:P133,6,0)</f>
        <v>52</v>
      </c>
      <c r="N14" s="31" t="str">
        <f t="shared" si="4"/>
        <v>Muito Inferior</v>
      </c>
    </row>
    <row r="15">
      <c r="F15" s="31" t="s">
        <v>20</v>
      </c>
      <c r="G15" s="32">
        <v>25.0</v>
      </c>
      <c r="H15" s="31">
        <f t="shared" ref="H15:K15" si="5">VLOOKUP(G15,R28:W93,2,0)</f>
        <v>114.7</v>
      </c>
      <c r="I15" s="31">
        <f t="shared" si="5"/>
        <v>113.8</v>
      </c>
      <c r="J15" s="31">
        <f t="shared" si="5"/>
        <v>115.6</v>
      </c>
      <c r="K15" s="31">
        <f t="shared" si="5"/>
        <v>-1.74</v>
      </c>
      <c r="L15" s="31" t="str">
        <f t="shared" si="3"/>
        <v>Atraso</v>
      </c>
      <c r="M15" s="31">
        <f>VLOOKUP(G15,R28:W93,6,0)</f>
        <v>74</v>
      </c>
      <c r="N15" s="31" t="str">
        <f t="shared" si="4"/>
        <v>Inferior</v>
      </c>
    </row>
    <row r="16">
      <c r="F16" s="31" t="s">
        <v>21</v>
      </c>
      <c r="G16" s="32">
        <v>44.0</v>
      </c>
      <c r="H16" s="31">
        <f t="shared" ref="H16:K16" si="6">VLOOKUP(G16,Z29:AE117,2,0)</f>
        <v>113.6</v>
      </c>
      <c r="I16" s="31">
        <f t="shared" si="6"/>
        <v>110.5</v>
      </c>
      <c r="J16" s="31">
        <f t="shared" si="6"/>
        <v>116.7</v>
      </c>
      <c r="K16" s="31">
        <f t="shared" si="6"/>
        <v>-1.66</v>
      </c>
      <c r="L16" s="31" t="str">
        <f t="shared" si="3"/>
        <v>Atraso</v>
      </c>
      <c r="M16" s="31">
        <f>VLOOKUP(G16,Z29:AE117,6,0)</f>
        <v>75</v>
      </c>
      <c r="N16" s="31" t="str">
        <f t="shared" si="4"/>
        <v>Inferior</v>
      </c>
    </row>
    <row r="17">
      <c r="F17" s="31" t="s">
        <v>22</v>
      </c>
      <c r="G17" s="32">
        <v>30.0</v>
      </c>
      <c r="H17" s="31">
        <f t="shared" ref="H17:K17" si="7">VLOOKUP(G17,AI30:AN92,2,0)</f>
        <v>130.7</v>
      </c>
      <c r="I17" s="31">
        <f t="shared" si="7"/>
        <v>128.7</v>
      </c>
      <c r="J17" s="31">
        <f t="shared" si="7"/>
        <v>132.7</v>
      </c>
      <c r="K17" s="31">
        <f t="shared" si="7"/>
        <v>-1.22</v>
      </c>
      <c r="L17" s="31" t="str">
        <f t="shared" si="3"/>
        <v>Alerta para atraso</v>
      </c>
      <c r="M17" s="31">
        <f>VLOOKUP(G17,AI30:AN92,6,0)</f>
        <v>82</v>
      </c>
      <c r="N17" s="31" t="str">
        <f t="shared" si="4"/>
        <v>Abaixo da Média</v>
      </c>
    </row>
    <row r="18">
      <c r="F18" s="31" t="s">
        <v>23</v>
      </c>
      <c r="G18" s="32">
        <v>12.0</v>
      </c>
      <c r="H18" s="31">
        <f t="shared" ref="H18:K18" si="8">VLOOKUP(G18,AS29:AX71,2,0)</f>
        <v>123.1</v>
      </c>
      <c r="I18" s="31">
        <f t="shared" si="8"/>
        <v>121.6</v>
      </c>
      <c r="J18" s="31">
        <f t="shared" si="8"/>
        <v>124.7</v>
      </c>
      <c r="K18" s="31">
        <f t="shared" si="8"/>
        <v>-1.08</v>
      </c>
      <c r="L18" s="31" t="str">
        <f t="shared" si="3"/>
        <v>Alerta para atraso</v>
      </c>
      <c r="M18" s="31">
        <f>VLOOKUP(G18,AS29:AX71,6,0)</f>
        <v>84</v>
      </c>
      <c r="N18" s="31" t="str">
        <f t="shared" si="4"/>
        <v>Abaixo da Média</v>
      </c>
    </row>
    <row r="19">
      <c r="F19" s="31" t="s">
        <v>24</v>
      </c>
      <c r="G19" s="31">
        <v>62.0</v>
      </c>
      <c r="H19" s="31">
        <f t="shared" ref="H19:K19" si="9">VLOOKUP(G19,BA29:BF115,2,0)</f>
        <v>104.5</v>
      </c>
      <c r="I19" s="31">
        <f t="shared" si="9"/>
        <v>103.8</v>
      </c>
      <c r="J19" s="31">
        <f t="shared" si="9"/>
        <v>105.3</v>
      </c>
      <c r="K19" s="31">
        <f t="shared" si="9"/>
        <v>-0.57</v>
      </c>
      <c r="L19" s="31" t="str">
        <f t="shared" si="3"/>
        <v>Típico</v>
      </c>
      <c r="M19" s="31">
        <f>VLOOKUP(G19,BA29:BF115,6,0)</f>
        <v>91</v>
      </c>
      <c r="N19" s="31" t="str">
        <f t="shared" si="4"/>
        <v>Médio</v>
      </c>
    </row>
    <row r="20">
      <c r="F20" s="24"/>
    </row>
    <row r="21" ht="15.75" customHeight="1"/>
    <row r="22" ht="15.7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</row>
    <row r="23" ht="15.7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</row>
    <row r="24" ht="15.75" customHeight="1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</row>
    <row r="25" ht="15.75" customHeight="1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</row>
    <row r="26" ht="15.75" customHeight="1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</row>
    <row r="27" ht="15.75" customHeight="1">
      <c r="A27" s="25"/>
      <c r="B27" s="26"/>
      <c r="C27" s="26" t="s">
        <v>25</v>
      </c>
      <c r="D27" s="26"/>
      <c r="E27" s="26"/>
      <c r="F27" s="26"/>
      <c r="G27" s="26"/>
      <c r="H27" s="26"/>
      <c r="I27" s="26"/>
      <c r="J27" s="26"/>
      <c r="K27" s="26" t="s">
        <v>26</v>
      </c>
      <c r="L27" s="26"/>
      <c r="M27" s="26"/>
      <c r="N27" s="26"/>
      <c r="O27" s="26"/>
      <c r="P27" s="26"/>
      <c r="Q27" s="26"/>
      <c r="R27" s="26" t="s">
        <v>27</v>
      </c>
      <c r="S27" s="26"/>
      <c r="T27" s="26"/>
      <c r="U27" s="26"/>
      <c r="V27" s="26"/>
      <c r="W27" s="26"/>
      <c r="X27" s="26"/>
      <c r="Y27" s="26"/>
      <c r="Z27" s="27" t="s">
        <v>28</v>
      </c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</row>
    <row r="28" ht="15.75" customHeight="1">
      <c r="A28" s="25"/>
      <c r="B28" s="26"/>
      <c r="C28" s="26" t="s">
        <v>29</v>
      </c>
      <c r="D28" s="26" t="s">
        <v>30</v>
      </c>
      <c r="E28" s="26" t="s">
        <v>13</v>
      </c>
      <c r="F28" s="26" t="s">
        <v>14</v>
      </c>
      <c r="G28" s="26" t="s">
        <v>15</v>
      </c>
      <c r="H28" s="26" t="s">
        <v>31</v>
      </c>
      <c r="I28" s="26"/>
      <c r="J28" s="26"/>
      <c r="K28" s="26" t="s">
        <v>29</v>
      </c>
      <c r="L28" s="26" t="s">
        <v>30</v>
      </c>
      <c r="M28" s="26" t="s">
        <v>13</v>
      </c>
      <c r="N28" s="26" t="s">
        <v>14</v>
      </c>
      <c r="O28" s="26" t="s">
        <v>15</v>
      </c>
      <c r="P28" s="26" t="s">
        <v>31</v>
      </c>
      <c r="Q28" s="26"/>
      <c r="R28" s="26" t="s">
        <v>29</v>
      </c>
      <c r="S28" s="26" t="s">
        <v>30</v>
      </c>
      <c r="T28" s="26" t="s">
        <v>13</v>
      </c>
      <c r="U28" s="26" t="s">
        <v>14</v>
      </c>
      <c r="V28" s="26" t="s">
        <v>15</v>
      </c>
      <c r="W28" s="26" t="s">
        <v>31</v>
      </c>
      <c r="X28" s="26"/>
      <c r="Y28" s="26"/>
      <c r="Z28" s="26" t="s">
        <v>29</v>
      </c>
      <c r="AA28" s="26" t="s">
        <v>30</v>
      </c>
      <c r="AB28" s="26" t="s">
        <v>13</v>
      </c>
      <c r="AC28" s="26" t="s">
        <v>14</v>
      </c>
      <c r="AD28" s="26" t="s">
        <v>15</v>
      </c>
      <c r="AE28" s="26" t="s">
        <v>31</v>
      </c>
      <c r="AF28" s="26"/>
      <c r="AG28" s="26"/>
      <c r="AH28" s="26"/>
      <c r="AI28" s="26" t="s">
        <v>32</v>
      </c>
      <c r="AJ28" s="26"/>
      <c r="AO28" s="26"/>
      <c r="AP28" s="26"/>
      <c r="AQ28" s="26"/>
      <c r="AR28" s="26"/>
      <c r="AS28" s="26"/>
      <c r="AT28" s="26" t="s">
        <v>33</v>
      </c>
      <c r="AU28" s="26"/>
      <c r="AV28" s="26"/>
      <c r="AW28" s="26"/>
      <c r="AX28" s="26"/>
      <c r="AY28" s="26"/>
      <c r="AZ28" s="26"/>
      <c r="BA28" s="26"/>
      <c r="BB28" s="26" t="s">
        <v>34</v>
      </c>
      <c r="BC28" s="26"/>
      <c r="BD28" s="26"/>
      <c r="BE28" s="26"/>
      <c r="BF28" s="26"/>
      <c r="BG28" s="26"/>
      <c r="BH28" s="26"/>
      <c r="BI28" s="26"/>
      <c r="BJ28" s="26"/>
      <c r="BK28" s="26"/>
      <c r="BL28" s="26"/>
    </row>
    <row r="29" ht="15.75" customHeight="1">
      <c r="A29" s="25"/>
      <c r="B29" s="26"/>
      <c r="C29" s="26">
        <v>0.0</v>
      </c>
      <c r="D29" s="26">
        <v>82.7</v>
      </c>
      <c r="E29" s="26">
        <v>79.1</v>
      </c>
      <c r="F29" s="26">
        <v>86.3</v>
      </c>
      <c r="G29" s="26">
        <v>-6.0</v>
      </c>
      <c r="H29" s="26">
        <v>10.0</v>
      </c>
      <c r="I29" s="26"/>
      <c r="J29" s="26"/>
      <c r="K29" s="26">
        <v>0.0</v>
      </c>
      <c r="L29" s="26">
        <v>87.2</v>
      </c>
      <c r="M29" s="26">
        <v>83.6</v>
      </c>
      <c r="N29" s="26">
        <v>90.8</v>
      </c>
      <c r="O29" s="26">
        <v>-6.34</v>
      </c>
      <c r="P29" s="26">
        <v>5.0</v>
      </c>
      <c r="Q29" s="26"/>
      <c r="R29" s="26">
        <v>0.0</v>
      </c>
      <c r="S29" s="26">
        <v>96.8</v>
      </c>
      <c r="T29" s="26">
        <v>93.6</v>
      </c>
      <c r="U29" s="26">
        <v>100.0</v>
      </c>
      <c r="V29" s="26">
        <v>-4.21</v>
      </c>
      <c r="W29" s="26">
        <v>37.0</v>
      </c>
      <c r="X29" s="26"/>
      <c r="Y29" s="26"/>
      <c r="Z29" s="26">
        <v>0.0</v>
      </c>
      <c r="AA29" s="26">
        <v>70.0</v>
      </c>
      <c r="AB29" s="26">
        <v>46.4</v>
      </c>
      <c r="AC29" s="26">
        <v>93.6</v>
      </c>
      <c r="AD29" s="26">
        <v>-8.93</v>
      </c>
      <c r="AE29" s="26">
        <v>-34.0</v>
      </c>
      <c r="AF29" s="26"/>
      <c r="AG29" s="26"/>
      <c r="AH29" s="26"/>
      <c r="AI29" s="26" t="s">
        <v>29</v>
      </c>
      <c r="AJ29" s="26" t="s">
        <v>30</v>
      </c>
      <c r="AK29" s="26" t="s">
        <v>13</v>
      </c>
      <c r="AL29" s="26" t="s">
        <v>14</v>
      </c>
      <c r="AM29" s="26" t="s">
        <v>15</v>
      </c>
      <c r="AN29" s="26" t="s">
        <v>31</v>
      </c>
      <c r="AO29" s="26"/>
      <c r="AP29" s="26"/>
      <c r="AQ29" s="26"/>
      <c r="AR29" s="26"/>
      <c r="AS29" s="26">
        <v>0.0</v>
      </c>
      <c r="AT29" s="26">
        <v>104.4</v>
      </c>
      <c r="AU29" s="26">
        <v>101.0</v>
      </c>
      <c r="AV29" s="26">
        <v>107.8</v>
      </c>
      <c r="AW29" s="26">
        <v>-4.82</v>
      </c>
      <c r="AX29" s="26">
        <v>28.0</v>
      </c>
      <c r="AY29" s="26"/>
      <c r="AZ29" s="26"/>
      <c r="BA29" s="26">
        <v>0.0</v>
      </c>
      <c r="BB29" s="26">
        <v>81.8</v>
      </c>
      <c r="BC29" s="26">
        <v>78.3</v>
      </c>
      <c r="BD29" s="26">
        <v>85.3</v>
      </c>
      <c r="BE29" s="26">
        <v>-8.05</v>
      </c>
      <c r="BF29" s="26">
        <v>-21.0</v>
      </c>
      <c r="BG29" s="26"/>
      <c r="BH29" s="26"/>
      <c r="BI29" s="26"/>
      <c r="BJ29" s="26"/>
      <c r="BK29" s="26"/>
      <c r="BL29" s="26"/>
    </row>
    <row r="30" ht="15.75" customHeight="1">
      <c r="A30" s="25"/>
      <c r="B30" s="26"/>
      <c r="C30" s="26">
        <v>1.0</v>
      </c>
      <c r="D30" s="26">
        <v>86.7</v>
      </c>
      <c r="E30" s="26">
        <v>81.7</v>
      </c>
      <c r="F30" s="26">
        <v>91.7</v>
      </c>
      <c r="G30" s="26">
        <v>-5.32</v>
      </c>
      <c r="H30" s="26">
        <v>20.0</v>
      </c>
      <c r="I30" s="26"/>
      <c r="J30" s="26"/>
      <c r="K30" s="26">
        <v>1.0</v>
      </c>
      <c r="L30" s="26">
        <v>90.4</v>
      </c>
      <c r="M30" s="26">
        <v>86.4</v>
      </c>
      <c r="N30" s="26">
        <v>94.3</v>
      </c>
      <c r="O30" s="26">
        <v>-5.79</v>
      </c>
      <c r="P30" s="26">
        <v>13.0</v>
      </c>
      <c r="Q30" s="26"/>
      <c r="R30" s="26">
        <v>1.0</v>
      </c>
      <c r="S30" s="26">
        <v>98.4</v>
      </c>
      <c r="T30" s="26">
        <v>96.3</v>
      </c>
      <c r="U30" s="26">
        <v>100.4</v>
      </c>
      <c r="V30" s="26">
        <v>-3.99</v>
      </c>
      <c r="W30" s="26">
        <v>40.0</v>
      </c>
      <c r="X30" s="26"/>
      <c r="Y30" s="26"/>
      <c r="Z30" s="26">
        <v>1.0</v>
      </c>
      <c r="AA30" s="26">
        <v>79.0</v>
      </c>
      <c r="AB30" s="26">
        <v>66.4</v>
      </c>
      <c r="AC30" s="26">
        <v>91.5</v>
      </c>
      <c r="AD30" s="26">
        <v>-7.63</v>
      </c>
      <c r="AE30" s="26">
        <v>-14.0</v>
      </c>
      <c r="AF30" s="26"/>
      <c r="AG30" s="26"/>
      <c r="AH30" s="26"/>
      <c r="AI30" s="26">
        <v>0.0</v>
      </c>
      <c r="AJ30" s="26">
        <v>110.3</v>
      </c>
      <c r="AK30" s="26">
        <v>106.9</v>
      </c>
      <c r="AL30" s="26">
        <v>113.6</v>
      </c>
      <c r="AM30" s="26">
        <v>-4.61</v>
      </c>
      <c r="AN30" s="26">
        <v>31.0</v>
      </c>
      <c r="AO30" s="26"/>
      <c r="AP30" s="26"/>
      <c r="AQ30" s="26"/>
      <c r="AR30" s="26"/>
      <c r="AS30" s="26">
        <v>1.0</v>
      </c>
      <c r="AT30" s="26">
        <v>106.3</v>
      </c>
      <c r="AU30" s="26">
        <v>103.9</v>
      </c>
      <c r="AV30" s="26">
        <v>108.6</v>
      </c>
      <c r="AW30" s="26">
        <v>-4.45</v>
      </c>
      <c r="AX30" s="26">
        <v>33.0</v>
      </c>
      <c r="AY30" s="26"/>
      <c r="AZ30" s="26"/>
      <c r="BA30" s="26">
        <v>1.0</v>
      </c>
      <c r="BB30" s="26">
        <v>84.2</v>
      </c>
      <c r="BC30" s="26">
        <v>81.3</v>
      </c>
      <c r="BD30" s="26">
        <v>87.1</v>
      </c>
      <c r="BE30" s="26">
        <v>-7.27</v>
      </c>
      <c r="BF30" s="26">
        <v>-9.0</v>
      </c>
      <c r="BG30" s="26"/>
      <c r="BH30" s="26"/>
      <c r="BI30" s="26"/>
      <c r="BJ30" s="26"/>
      <c r="BK30" s="26"/>
      <c r="BL30" s="26"/>
    </row>
    <row r="31" ht="15.75" customHeight="1">
      <c r="A31" s="25"/>
      <c r="B31" s="26"/>
      <c r="C31" s="26">
        <v>2.0</v>
      </c>
      <c r="D31" s="26">
        <v>88.7</v>
      </c>
      <c r="E31" s="26">
        <v>87.2</v>
      </c>
      <c r="F31" s="26">
        <v>90.2</v>
      </c>
      <c r="G31" s="26">
        <v>-4.99</v>
      </c>
      <c r="H31" s="26">
        <v>25.0</v>
      </c>
      <c r="I31" s="26"/>
      <c r="J31" s="26"/>
      <c r="K31" s="26">
        <v>2.0</v>
      </c>
      <c r="L31" s="26">
        <v>93.3</v>
      </c>
      <c r="M31" s="26">
        <v>91.1</v>
      </c>
      <c r="N31" s="26">
        <v>95.4</v>
      </c>
      <c r="O31" s="26">
        <v>-5.28</v>
      </c>
      <c r="P31" s="26">
        <v>21.0</v>
      </c>
      <c r="Q31" s="26"/>
      <c r="R31" s="26">
        <v>2.0</v>
      </c>
      <c r="S31" s="26">
        <v>99.7</v>
      </c>
      <c r="T31" s="26">
        <v>97.9</v>
      </c>
      <c r="U31" s="26">
        <v>101.6</v>
      </c>
      <c r="V31" s="26">
        <v>-3.8</v>
      </c>
      <c r="W31" s="26">
        <v>43.0</v>
      </c>
      <c r="X31" s="26"/>
      <c r="Y31" s="26"/>
      <c r="Z31" s="26">
        <v>2.0</v>
      </c>
      <c r="AA31" s="26">
        <v>83.9</v>
      </c>
      <c r="AB31" s="26">
        <v>75.2</v>
      </c>
      <c r="AC31" s="26">
        <v>92.6</v>
      </c>
      <c r="AD31" s="26">
        <v>-6.91</v>
      </c>
      <c r="AE31" s="26">
        <v>-4.0</v>
      </c>
      <c r="AF31" s="26"/>
      <c r="AG31" s="26"/>
      <c r="AH31" s="26"/>
      <c r="AI31" s="26">
        <v>1.0</v>
      </c>
      <c r="AJ31" s="26">
        <v>112.2</v>
      </c>
      <c r="AK31" s="26">
        <v>109.8</v>
      </c>
      <c r="AL31" s="26">
        <v>114.5</v>
      </c>
      <c r="AM31" s="26">
        <v>-4.3</v>
      </c>
      <c r="AN31" s="26">
        <v>36.0</v>
      </c>
      <c r="AO31" s="26"/>
      <c r="AP31" s="26"/>
      <c r="AQ31" s="26"/>
      <c r="AR31" s="26"/>
      <c r="AS31" s="26">
        <v>2.0</v>
      </c>
      <c r="AT31" s="26">
        <v>108.0</v>
      </c>
      <c r="AU31" s="26">
        <v>105.9</v>
      </c>
      <c r="AV31" s="26">
        <v>110.2</v>
      </c>
      <c r="AW31" s="26">
        <v>-4.09</v>
      </c>
      <c r="AX31" s="26">
        <v>39.0</v>
      </c>
      <c r="AY31" s="26"/>
      <c r="AZ31" s="26"/>
      <c r="BA31" s="26">
        <v>2.0</v>
      </c>
      <c r="BB31" s="26">
        <v>86.3</v>
      </c>
      <c r="BC31" s="26">
        <v>84.3</v>
      </c>
      <c r="BD31" s="26">
        <v>88.3</v>
      </c>
      <c r="BE31" s="26">
        <v>-6.57</v>
      </c>
      <c r="BF31" s="26">
        <v>1.0</v>
      </c>
      <c r="BG31" s="26"/>
      <c r="BH31" s="26"/>
      <c r="BI31" s="26"/>
      <c r="BJ31" s="26"/>
      <c r="BK31" s="26"/>
      <c r="BL31" s="26"/>
    </row>
    <row r="32" ht="15.75" customHeight="1">
      <c r="A32" s="25"/>
      <c r="B32" s="26"/>
      <c r="C32" s="26">
        <v>3.0</v>
      </c>
      <c r="D32" s="26">
        <v>89.4</v>
      </c>
      <c r="E32" s="26">
        <v>88.0</v>
      </c>
      <c r="F32" s="26">
        <v>90.8</v>
      </c>
      <c r="G32" s="26">
        <v>-4.87</v>
      </c>
      <c r="H32" s="26">
        <v>27.0</v>
      </c>
      <c r="I32" s="26"/>
      <c r="J32" s="26"/>
      <c r="K32" s="26">
        <v>3.0</v>
      </c>
      <c r="L32" s="26">
        <v>94.8</v>
      </c>
      <c r="M32" s="26">
        <v>92.7</v>
      </c>
      <c r="N32" s="26">
        <v>97.0</v>
      </c>
      <c r="O32" s="26">
        <v>-5.0</v>
      </c>
      <c r="P32" s="26">
        <v>25.0</v>
      </c>
      <c r="Q32" s="26"/>
      <c r="R32" s="26">
        <v>3.0</v>
      </c>
      <c r="S32" s="26">
        <v>101.0</v>
      </c>
      <c r="T32" s="26">
        <v>99.1</v>
      </c>
      <c r="U32" s="26">
        <v>102.9</v>
      </c>
      <c r="V32" s="26">
        <v>-3.63</v>
      </c>
      <c r="W32" s="26">
        <v>46.0</v>
      </c>
      <c r="X32" s="26"/>
      <c r="Y32" s="26"/>
      <c r="Z32" s="26">
        <v>3.0</v>
      </c>
      <c r="AA32" s="26">
        <v>86.7</v>
      </c>
      <c r="AB32" s="26">
        <v>79.6</v>
      </c>
      <c r="AC32" s="26">
        <v>93.8</v>
      </c>
      <c r="AD32" s="26">
        <v>-6.5</v>
      </c>
      <c r="AE32" s="26">
        <v>2.0</v>
      </c>
      <c r="AF32" s="26"/>
      <c r="AG32" s="26"/>
      <c r="AH32" s="26"/>
      <c r="AI32" s="26">
        <v>2.0</v>
      </c>
      <c r="AJ32" s="26">
        <v>114.0</v>
      </c>
      <c r="AK32" s="26">
        <v>111.9</v>
      </c>
      <c r="AL32" s="26">
        <v>116.1</v>
      </c>
      <c r="AM32" s="26">
        <v>-4.0</v>
      </c>
      <c r="AN32" s="26">
        <v>40.0</v>
      </c>
      <c r="AO32" s="26"/>
      <c r="AP32" s="26"/>
      <c r="AQ32" s="26"/>
      <c r="AR32" s="26"/>
      <c r="AS32" s="26">
        <v>3.0</v>
      </c>
      <c r="AT32" s="26">
        <v>111.3</v>
      </c>
      <c r="AU32" s="26">
        <v>106.8</v>
      </c>
      <c r="AV32" s="26">
        <v>115.9</v>
      </c>
      <c r="AW32" s="26">
        <v>-3.44</v>
      </c>
      <c r="AX32" s="26">
        <v>48.0</v>
      </c>
      <c r="AY32" s="26"/>
      <c r="AZ32" s="26"/>
      <c r="BA32" s="26">
        <v>3.0</v>
      </c>
      <c r="BB32" s="26">
        <v>87.5</v>
      </c>
      <c r="BC32" s="26">
        <v>85.8</v>
      </c>
      <c r="BD32" s="26">
        <v>89.2</v>
      </c>
      <c r="BE32" s="26">
        <v>-6.17</v>
      </c>
      <c r="BF32" s="26">
        <v>7.0</v>
      </c>
      <c r="BG32" s="26"/>
      <c r="BH32" s="26"/>
      <c r="BI32" s="26"/>
      <c r="BJ32" s="26"/>
      <c r="BK32" s="26"/>
      <c r="BL32" s="26"/>
    </row>
    <row r="33" ht="15.75" customHeight="1">
      <c r="A33" s="25"/>
      <c r="B33" s="26"/>
      <c r="C33" s="26">
        <v>4.0</v>
      </c>
      <c r="D33" s="26">
        <v>90.1</v>
      </c>
      <c r="E33" s="26">
        <v>88.6</v>
      </c>
      <c r="F33" s="26">
        <v>91.6</v>
      </c>
      <c r="G33" s="26">
        <v>-4.75</v>
      </c>
      <c r="H33" s="26">
        <v>29.0</v>
      </c>
      <c r="I33" s="26"/>
      <c r="J33" s="26"/>
      <c r="K33" s="26">
        <v>4.0</v>
      </c>
      <c r="L33" s="26">
        <v>96.8</v>
      </c>
      <c r="M33" s="26">
        <v>94.3</v>
      </c>
      <c r="N33" s="26">
        <v>99.3</v>
      </c>
      <c r="O33" s="26">
        <v>-4.66</v>
      </c>
      <c r="P33" s="26">
        <v>30.0</v>
      </c>
      <c r="Q33" s="26"/>
      <c r="R33" s="26">
        <v>4.0</v>
      </c>
      <c r="S33" s="26">
        <v>102.1</v>
      </c>
      <c r="T33" s="26">
        <v>100.5</v>
      </c>
      <c r="U33" s="26">
        <v>103.7</v>
      </c>
      <c r="V33" s="26">
        <v>-3.47</v>
      </c>
      <c r="W33" s="26">
        <v>48.0</v>
      </c>
      <c r="X33" s="26"/>
      <c r="Y33" s="26"/>
      <c r="Z33" s="26">
        <v>4.0</v>
      </c>
      <c r="AA33" s="26">
        <v>88.7</v>
      </c>
      <c r="AB33" s="26">
        <v>82.5</v>
      </c>
      <c r="AC33" s="26">
        <v>94.9</v>
      </c>
      <c r="AD33" s="26">
        <v>-6.21</v>
      </c>
      <c r="AE33" s="26">
        <v>7.0</v>
      </c>
      <c r="AF33" s="26"/>
      <c r="AG33" s="26"/>
      <c r="AH33" s="26"/>
      <c r="AI33" s="26">
        <v>3.0</v>
      </c>
      <c r="AJ33" s="26">
        <v>115.5</v>
      </c>
      <c r="AK33" s="26">
        <v>113.5</v>
      </c>
      <c r="AL33" s="26">
        <v>117.4</v>
      </c>
      <c r="AM33" s="26">
        <v>-3.75</v>
      </c>
      <c r="AN33" s="26">
        <v>44.0</v>
      </c>
      <c r="AO33" s="26"/>
      <c r="AP33" s="26"/>
      <c r="AQ33" s="26"/>
      <c r="AR33" s="26"/>
      <c r="AS33" s="26">
        <v>4.0</v>
      </c>
      <c r="AT33" s="26">
        <v>114.6</v>
      </c>
      <c r="AU33" s="26">
        <v>112.4</v>
      </c>
      <c r="AV33" s="26">
        <v>116.9</v>
      </c>
      <c r="AW33" s="26">
        <v>-2.78</v>
      </c>
      <c r="AX33" s="26">
        <v>58.0</v>
      </c>
      <c r="AY33" s="26"/>
      <c r="AZ33" s="26"/>
      <c r="BA33" s="26">
        <v>4.0</v>
      </c>
      <c r="BB33" s="26">
        <v>88.5</v>
      </c>
      <c r="BC33" s="26">
        <v>86.9</v>
      </c>
      <c r="BD33" s="26">
        <v>90.2</v>
      </c>
      <c r="BE33" s="26">
        <v>-5.83</v>
      </c>
      <c r="BF33" s="26">
        <v>13.0</v>
      </c>
      <c r="BG33" s="26"/>
      <c r="BH33" s="26"/>
      <c r="BI33" s="26"/>
      <c r="BJ33" s="26"/>
      <c r="BK33" s="26"/>
      <c r="BL33" s="26"/>
    </row>
    <row r="34" ht="15.75" customHeight="1">
      <c r="A34" s="25"/>
      <c r="B34" s="26"/>
      <c r="C34" s="26">
        <v>5.0</v>
      </c>
      <c r="D34" s="26">
        <v>92.6</v>
      </c>
      <c r="E34" s="26">
        <v>86.1</v>
      </c>
      <c r="F34" s="26">
        <v>99.1</v>
      </c>
      <c r="G34" s="26">
        <v>-4.33</v>
      </c>
      <c r="H34" s="26">
        <v>35.0</v>
      </c>
      <c r="I34" s="26"/>
      <c r="J34" s="26"/>
      <c r="K34" s="26">
        <v>5.0</v>
      </c>
      <c r="L34" s="26">
        <v>99.7</v>
      </c>
      <c r="M34" s="26">
        <v>96.6</v>
      </c>
      <c r="N34" s="26">
        <v>102.7</v>
      </c>
      <c r="O34" s="26">
        <v>-4.16</v>
      </c>
      <c r="P34" s="26">
        <v>38.0</v>
      </c>
      <c r="Q34" s="26"/>
      <c r="R34" s="26">
        <v>5.0</v>
      </c>
      <c r="S34" s="26">
        <v>102.9</v>
      </c>
      <c r="T34" s="26">
        <v>101.5</v>
      </c>
      <c r="U34" s="26">
        <v>104.3</v>
      </c>
      <c r="V34" s="26">
        <v>-3.36</v>
      </c>
      <c r="W34" s="26">
        <v>50.0</v>
      </c>
      <c r="X34" s="26"/>
      <c r="Y34" s="26"/>
      <c r="Z34" s="26">
        <v>5.0</v>
      </c>
      <c r="AA34" s="26">
        <v>90.3</v>
      </c>
      <c r="AB34" s="26">
        <v>84.7</v>
      </c>
      <c r="AC34" s="26">
        <v>95.9</v>
      </c>
      <c r="AD34" s="26">
        <v>-5.99</v>
      </c>
      <c r="AE34" s="26">
        <v>10.0</v>
      </c>
      <c r="AF34" s="26"/>
      <c r="AG34" s="26"/>
      <c r="AH34" s="26"/>
      <c r="AI34" s="26">
        <v>4.0</v>
      </c>
      <c r="AJ34" s="26">
        <v>116.7</v>
      </c>
      <c r="AK34" s="26">
        <v>115.0</v>
      </c>
      <c r="AL34" s="26">
        <v>118.3</v>
      </c>
      <c r="AM34" s="26">
        <v>-3.55</v>
      </c>
      <c r="AN34" s="26">
        <v>47.0</v>
      </c>
      <c r="AO34" s="26"/>
      <c r="AP34" s="26"/>
      <c r="AQ34" s="26"/>
      <c r="AR34" s="26"/>
      <c r="AS34" s="26">
        <v>5.0</v>
      </c>
      <c r="AT34" s="26">
        <v>116.7</v>
      </c>
      <c r="AU34" s="26">
        <v>114.2</v>
      </c>
      <c r="AV34" s="26">
        <v>119.3</v>
      </c>
      <c r="AW34" s="26">
        <v>-2.35</v>
      </c>
      <c r="AX34" s="26">
        <v>65.0</v>
      </c>
      <c r="AY34" s="26"/>
      <c r="AZ34" s="26"/>
      <c r="BA34" s="26">
        <v>5.0</v>
      </c>
      <c r="BB34" s="26">
        <v>89.4</v>
      </c>
      <c r="BC34" s="26">
        <v>88.0</v>
      </c>
      <c r="BD34" s="26">
        <v>90.9</v>
      </c>
      <c r="BE34" s="26">
        <v>-5.54</v>
      </c>
      <c r="BF34" s="26">
        <v>17.0</v>
      </c>
      <c r="BG34" s="26"/>
      <c r="BH34" s="26"/>
      <c r="BI34" s="26"/>
      <c r="BJ34" s="26"/>
      <c r="BK34" s="26"/>
      <c r="BL34" s="26"/>
    </row>
    <row r="35" ht="15.75" customHeight="1">
      <c r="A35" s="25"/>
      <c r="B35" s="26"/>
      <c r="C35" s="26">
        <v>6.0</v>
      </c>
      <c r="D35" s="26">
        <v>95.1</v>
      </c>
      <c r="E35" s="26">
        <v>93.7</v>
      </c>
      <c r="F35" s="26">
        <v>96.5</v>
      </c>
      <c r="G35" s="26">
        <v>-3.91</v>
      </c>
      <c r="H35" s="26">
        <v>41.0</v>
      </c>
      <c r="I35" s="26"/>
      <c r="J35" s="26"/>
      <c r="K35" s="26">
        <v>6.0</v>
      </c>
      <c r="L35" s="26">
        <v>101.4</v>
      </c>
      <c r="M35" s="26">
        <v>99.9</v>
      </c>
      <c r="N35" s="26">
        <v>102.9</v>
      </c>
      <c r="O35" s="26">
        <v>-3.86</v>
      </c>
      <c r="P35" s="26">
        <v>42.0</v>
      </c>
      <c r="Q35" s="26"/>
      <c r="R35" s="26">
        <v>6.0</v>
      </c>
      <c r="S35" s="26">
        <v>103.6</v>
      </c>
      <c r="T35" s="26">
        <v>102.3</v>
      </c>
      <c r="U35" s="26">
        <v>104.9</v>
      </c>
      <c r="V35" s="26">
        <v>-3.27</v>
      </c>
      <c r="W35" s="26">
        <v>51.0</v>
      </c>
      <c r="X35" s="26"/>
      <c r="Y35" s="26"/>
      <c r="Z35" s="26">
        <v>6.0</v>
      </c>
      <c r="AA35" s="26">
        <v>91.6</v>
      </c>
      <c r="AB35" s="26">
        <v>86.4</v>
      </c>
      <c r="AC35" s="26">
        <v>96.8</v>
      </c>
      <c r="AD35" s="26">
        <v>-5.79</v>
      </c>
      <c r="AE35" s="26">
        <v>13.0</v>
      </c>
      <c r="AF35" s="26"/>
      <c r="AG35" s="26"/>
      <c r="AH35" s="26"/>
      <c r="AI35" s="26">
        <v>5.0</v>
      </c>
      <c r="AJ35" s="26">
        <v>117.5</v>
      </c>
      <c r="AK35" s="26">
        <v>116.1</v>
      </c>
      <c r="AL35" s="26">
        <v>118.9</v>
      </c>
      <c r="AM35" s="26">
        <v>-3.41</v>
      </c>
      <c r="AN35" s="26">
        <v>49.0</v>
      </c>
      <c r="AO35" s="26"/>
      <c r="AP35" s="26"/>
      <c r="AQ35" s="26"/>
      <c r="AR35" s="26"/>
      <c r="AS35" s="26">
        <v>6.0</v>
      </c>
      <c r="AT35" s="26">
        <v>118.5</v>
      </c>
      <c r="AU35" s="26">
        <v>116.7</v>
      </c>
      <c r="AV35" s="26">
        <v>120.4</v>
      </c>
      <c r="AW35" s="26">
        <v>-1.99</v>
      </c>
      <c r="AX35" s="26">
        <v>70.0</v>
      </c>
      <c r="AY35" s="26"/>
      <c r="AZ35" s="26"/>
      <c r="BA35" s="26">
        <v>6.0</v>
      </c>
      <c r="BB35" s="26">
        <v>90.1</v>
      </c>
      <c r="BC35" s="26">
        <v>88.9</v>
      </c>
      <c r="BD35" s="26">
        <v>91.3</v>
      </c>
      <c r="BE35" s="26">
        <v>-5.33</v>
      </c>
      <c r="BF35" s="26">
        <v>20.0</v>
      </c>
      <c r="BG35" s="26"/>
      <c r="BH35" s="26"/>
      <c r="BI35" s="26"/>
      <c r="BJ35" s="26"/>
      <c r="BK35" s="26"/>
      <c r="BL35" s="26"/>
    </row>
    <row r="36" ht="15.75" customHeight="1">
      <c r="A36" s="25"/>
      <c r="B36" s="26"/>
      <c r="C36" s="26">
        <v>7.0</v>
      </c>
      <c r="D36" s="26">
        <v>95.7</v>
      </c>
      <c r="E36" s="26">
        <v>94.5</v>
      </c>
      <c r="F36" s="26">
        <v>96.8</v>
      </c>
      <c r="G36" s="26">
        <v>-3.81</v>
      </c>
      <c r="H36" s="26">
        <v>43.0</v>
      </c>
      <c r="I36" s="26"/>
      <c r="J36" s="26"/>
      <c r="K36" s="26">
        <v>7.0</v>
      </c>
      <c r="L36" s="26">
        <v>102.0</v>
      </c>
      <c r="M36" s="26">
        <v>100.8</v>
      </c>
      <c r="N36" s="26">
        <v>103.2</v>
      </c>
      <c r="O36" s="26">
        <v>-3.75</v>
      </c>
      <c r="P36" s="26">
        <v>44.0</v>
      </c>
      <c r="Q36" s="26"/>
      <c r="R36" s="26">
        <v>7.0</v>
      </c>
      <c r="S36" s="26">
        <v>104.2</v>
      </c>
      <c r="T36" s="26">
        <v>102.9</v>
      </c>
      <c r="U36" s="26">
        <v>105.5</v>
      </c>
      <c r="V36" s="26">
        <v>-3.19</v>
      </c>
      <c r="W36" s="26">
        <v>52.0</v>
      </c>
      <c r="X36" s="26"/>
      <c r="Y36" s="26"/>
      <c r="Z36" s="26">
        <v>7.0</v>
      </c>
      <c r="AA36" s="26">
        <v>92.8</v>
      </c>
      <c r="AB36" s="26">
        <v>87.9</v>
      </c>
      <c r="AC36" s="26">
        <v>97.6</v>
      </c>
      <c r="AD36" s="26">
        <v>-5.62</v>
      </c>
      <c r="AE36" s="26">
        <v>16.0</v>
      </c>
      <c r="AF36" s="26"/>
      <c r="AG36" s="26"/>
      <c r="AH36" s="26"/>
      <c r="AI36" s="26">
        <v>6.0</v>
      </c>
      <c r="AJ36" s="26">
        <v>118.1</v>
      </c>
      <c r="AK36" s="26">
        <v>116.9</v>
      </c>
      <c r="AL36" s="26">
        <v>119.4</v>
      </c>
      <c r="AM36" s="26">
        <v>-3.31</v>
      </c>
      <c r="AN36" s="26">
        <v>50.0</v>
      </c>
      <c r="AO36" s="26"/>
      <c r="AP36" s="26"/>
      <c r="AQ36" s="26"/>
      <c r="AR36" s="26"/>
      <c r="AS36" s="26">
        <v>7.0</v>
      </c>
      <c r="AT36" s="26">
        <v>119.5</v>
      </c>
      <c r="AU36" s="26">
        <v>118.0</v>
      </c>
      <c r="AV36" s="26">
        <v>121.1</v>
      </c>
      <c r="AW36" s="26">
        <v>-1.79</v>
      </c>
      <c r="AX36" s="26">
        <v>73.0</v>
      </c>
      <c r="AY36" s="26"/>
      <c r="AZ36" s="26"/>
      <c r="BA36" s="26">
        <v>7.0</v>
      </c>
      <c r="BB36" s="26">
        <v>90.5</v>
      </c>
      <c r="BC36" s="26">
        <v>89.5</v>
      </c>
      <c r="BD36" s="26">
        <v>91.5</v>
      </c>
      <c r="BE36" s="26">
        <v>-5.19</v>
      </c>
      <c r="BF36" s="26">
        <v>22.0</v>
      </c>
      <c r="BG36" s="26"/>
      <c r="BH36" s="26"/>
      <c r="BI36" s="26"/>
      <c r="BJ36" s="26"/>
      <c r="BK36" s="26"/>
      <c r="BL36" s="26"/>
    </row>
    <row r="37" ht="15.75" customHeight="1">
      <c r="A37" s="25"/>
      <c r="B37" s="26"/>
      <c r="C37" s="26">
        <v>8.0</v>
      </c>
      <c r="D37" s="26">
        <v>96.2</v>
      </c>
      <c r="E37" s="26">
        <v>94.9</v>
      </c>
      <c r="F37" s="26">
        <v>97.4</v>
      </c>
      <c r="G37" s="26">
        <v>-3.72</v>
      </c>
      <c r="H37" s="26">
        <v>44.0</v>
      </c>
      <c r="I37" s="26"/>
      <c r="J37" s="26"/>
      <c r="K37" s="26">
        <v>8.0</v>
      </c>
      <c r="L37" s="26">
        <v>102.4</v>
      </c>
      <c r="M37" s="26">
        <v>101.4</v>
      </c>
      <c r="N37" s="26">
        <v>103.5</v>
      </c>
      <c r="O37" s="26">
        <v>-3.67</v>
      </c>
      <c r="P37" s="26">
        <v>45.0</v>
      </c>
      <c r="Q37" s="26"/>
      <c r="R37" s="26">
        <v>8.0</v>
      </c>
      <c r="S37" s="26">
        <v>104.8</v>
      </c>
      <c r="T37" s="26">
        <v>103.5</v>
      </c>
      <c r="U37" s="26">
        <v>106.1</v>
      </c>
      <c r="V37" s="26">
        <v>-3.1</v>
      </c>
      <c r="W37" s="26">
        <v>53.0</v>
      </c>
      <c r="X37" s="26"/>
      <c r="Y37" s="26"/>
      <c r="Z37" s="26">
        <v>8.0</v>
      </c>
      <c r="AA37" s="26">
        <v>93.8</v>
      </c>
      <c r="AB37" s="26">
        <v>89.2</v>
      </c>
      <c r="AC37" s="26">
        <v>98.4</v>
      </c>
      <c r="AD37" s="26">
        <v>-5.47</v>
      </c>
      <c r="AE37" s="26">
        <v>18.0</v>
      </c>
      <c r="AF37" s="26"/>
      <c r="AG37" s="26"/>
      <c r="AH37" s="26"/>
      <c r="AI37" s="26">
        <v>7.0</v>
      </c>
      <c r="AJ37" s="26">
        <v>118.7</v>
      </c>
      <c r="AK37" s="26">
        <v>117.5</v>
      </c>
      <c r="AL37" s="26">
        <v>119.9</v>
      </c>
      <c r="AM37" s="26">
        <v>-3.21</v>
      </c>
      <c r="AN37" s="26">
        <v>52.0</v>
      </c>
      <c r="AO37" s="26"/>
      <c r="AP37" s="26"/>
      <c r="AQ37" s="26"/>
      <c r="AR37" s="26"/>
      <c r="AS37" s="26">
        <v>8.0</v>
      </c>
      <c r="AT37" s="26">
        <v>120.3</v>
      </c>
      <c r="AU37" s="26">
        <v>118.9</v>
      </c>
      <c r="AV37" s="26">
        <v>121.7</v>
      </c>
      <c r="AW37" s="26">
        <v>-1.64</v>
      </c>
      <c r="AX37" s="26">
        <v>75.0</v>
      </c>
      <c r="AY37" s="26"/>
      <c r="AZ37" s="26"/>
      <c r="BA37" s="26">
        <v>8.0</v>
      </c>
      <c r="BB37" s="26">
        <v>90.8</v>
      </c>
      <c r="BC37" s="26">
        <v>89.9</v>
      </c>
      <c r="BD37" s="26">
        <v>91.8</v>
      </c>
      <c r="BE37" s="26">
        <v>-5.08</v>
      </c>
      <c r="BF37" s="26">
        <v>24.0</v>
      </c>
      <c r="BG37" s="26"/>
      <c r="BH37" s="26"/>
      <c r="BI37" s="26"/>
      <c r="BJ37" s="26"/>
      <c r="BK37" s="26"/>
      <c r="BL37" s="26"/>
    </row>
    <row r="38" ht="15.75" customHeight="1">
      <c r="A38" s="25"/>
      <c r="B38" s="26"/>
      <c r="C38" s="26">
        <v>9.0</v>
      </c>
      <c r="D38" s="26">
        <v>97.0</v>
      </c>
      <c r="E38" s="26">
        <v>95.2</v>
      </c>
      <c r="F38" s="26">
        <v>98.7</v>
      </c>
      <c r="G38" s="26">
        <v>-3.59</v>
      </c>
      <c r="H38" s="26">
        <v>46.0</v>
      </c>
      <c r="I38" s="26"/>
      <c r="J38" s="26"/>
      <c r="K38" s="26">
        <v>9.0</v>
      </c>
      <c r="L38" s="26">
        <v>102.8</v>
      </c>
      <c r="M38" s="26">
        <v>101.8</v>
      </c>
      <c r="N38" s="26">
        <v>103.8</v>
      </c>
      <c r="O38" s="26">
        <v>-3.6</v>
      </c>
      <c r="P38" s="26">
        <v>46.0</v>
      </c>
      <c r="Q38" s="26"/>
      <c r="R38" s="26">
        <v>9.0</v>
      </c>
      <c r="S38" s="26">
        <v>105.5</v>
      </c>
      <c r="T38" s="26">
        <v>104.1</v>
      </c>
      <c r="U38" s="26">
        <v>106.8</v>
      </c>
      <c r="V38" s="26">
        <v>-3.01</v>
      </c>
      <c r="W38" s="26">
        <v>55.0</v>
      </c>
      <c r="X38" s="26"/>
      <c r="Y38" s="26"/>
      <c r="Z38" s="26">
        <v>9.0</v>
      </c>
      <c r="AA38" s="26">
        <v>94.8</v>
      </c>
      <c r="AB38" s="26">
        <v>90.3</v>
      </c>
      <c r="AC38" s="26">
        <v>99.2</v>
      </c>
      <c r="AD38" s="26">
        <v>-5.33</v>
      </c>
      <c r="AE38" s="26">
        <v>20.0</v>
      </c>
      <c r="AF38" s="26"/>
      <c r="AG38" s="26"/>
      <c r="AH38" s="26"/>
      <c r="AI38" s="26">
        <v>8.0</v>
      </c>
      <c r="AJ38" s="26">
        <v>119.1</v>
      </c>
      <c r="AK38" s="26">
        <v>118.1</v>
      </c>
      <c r="AL38" s="26">
        <v>120.2</v>
      </c>
      <c r="AM38" s="26">
        <v>-3.14</v>
      </c>
      <c r="AN38" s="26">
        <v>53.0</v>
      </c>
      <c r="AO38" s="26"/>
      <c r="AP38" s="26"/>
      <c r="AQ38" s="26"/>
      <c r="AR38" s="26"/>
      <c r="AS38" s="26">
        <v>9.0</v>
      </c>
      <c r="AT38" s="26">
        <v>121.0</v>
      </c>
      <c r="AU38" s="26">
        <v>119.7</v>
      </c>
      <c r="AV38" s="26">
        <v>122.3</v>
      </c>
      <c r="AW38" s="26">
        <v>-1.51</v>
      </c>
      <c r="AX38" s="26">
        <v>77.0</v>
      </c>
      <c r="AY38" s="26"/>
      <c r="AZ38" s="26"/>
      <c r="BA38" s="26">
        <v>9.0</v>
      </c>
      <c r="BB38" s="26">
        <v>91.1</v>
      </c>
      <c r="BC38" s="26">
        <v>90.3</v>
      </c>
      <c r="BD38" s="26">
        <v>92.0</v>
      </c>
      <c r="BE38" s="26">
        <v>-4.98</v>
      </c>
      <c r="BF38" s="26">
        <v>25.0</v>
      </c>
      <c r="BG38" s="26"/>
      <c r="BH38" s="26"/>
      <c r="BI38" s="26"/>
      <c r="BJ38" s="26"/>
      <c r="BK38" s="26"/>
      <c r="BL38" s="26"/>
    </row>
    <row r="39" ht="15.75" customHeight="1">
      <c r="A39" s="25"/>
      <c r="B39" s="26"/>
      <c r="C39" s="26">
        <v>10.0</v>
      </c>
      <c r="D39" s="26">
        <v>99.6</v>
      </c>
      <c r="E39" s="26">
        <v>96.6</v>
      </c>
      <c r="F39" s="26">
        <v>102.5</v>
      </c>
      <c r="G39" s="26">
        <v>-3.15</v>
      </c>
      <c r="H39" s="26">
        <v>53.0</v>
      </c>
      <c r="I39" s="26"/>
      <c r="J39" s="26"/>
      <c r="K39" s="26">
        <v>10.0</v>
      </c>
      <c r="L39" s="26">
        <v>103.2</v>
      </c>
      <c r="M39" s="26">
        <v>102.2</v>
      </c>
      <c r="N39" s="26">
        <v>104.2</v>
      </c>
      <c r="O39" s="26">
        <v>-3.54</v>
      </c>
      <c r="P39" s="26">
        <v>47.0</v>
      </c>
      <c r="Q39" s="26"/>
      <c r="R39" s="26">
        <v>10.0</v>
      </c>
      <c r="S39" s="26">
        <v>106.1</v>
      </c>
      <c r="T39" s="26">
        <v>104.8</v>
      </c>
      <c r="U39" s="26">
        <v>107.5</v>
      </c>
      <c r="V39" s="26">
        <v>-2.92</v>
      </c>
      <c r="W39" s="26">
        <v>56.0</v>
      </c>
      <c r="X39" s="26"/>
      <c r="Y39" s="26"/>
      <c r="Z39" s="26">
        <v>10.0</v>
      </c>
      <c r="AA39" s="26">
        <v>95.6</v>
      </c>
      <c r="AB39" s="26">
        <v>91.4</v>
      </c>
      <c r="AC39" s="26">
        <v>99.9</v>
      </c>
      <c r="AD39" s="26">
        <v>-5.21</v>
      </c>
      <c r="AE39" s="26">
        <v>22.0</v>
      </c>
      <c r="AF39" s="26"/>
      <c r="AG39" s="26"/>
      <c r="AH39" s="26"/>
      <c r="AI39" s="26">
        <v>9.0</v>
      </c>
      <c r="AJ39" s="26">
        <v>119.5</v>
      </c>
      <c r="AK39" s="26">
        <v>118.5</v>
      </c>
      <c r="AL39" s="26">
        <v>120.6</v>
      </c>
      <c r="AM39" s="26">
        <v>-3.07</v>
      </c>
      <c r="AN39" s="26">
        <v>54.0</v>
      </c>
      <c r="AO39" s="26"/>
      <c r="AP39" s="26"/>
      <c r="AQ39" s="26"/>
      <c r="AR39" s="26"/>
      <c r="AS39" s="26">
        <v>10.0</v>
      </c>
      <c r="AT39" s="26">
        <v>121.6</v>
      </c>
      <c r="AU39" s="26">
        <v>120.3</v>
      </c>
      <c r="AV39" s="26">
        <v>122.9</v>
      </c>
      <c r="AW39" s="26">
        <v>-1.38</v>
      </c>
      <c r="AX39" s="26">
        <v>79.0</v>
      </c>
      <c r="AY39" s="26"/>
      <c r="AZ39" s="26"/>
      <c r="BA39" s="26">
        <v>10.0</v>
      </c>
      <c r="BB39" s="26">
        <v>91.4</v>
      </c>
      <c r="BC39" s="26">
        <v>90.5</v>
      </c>
      <c r="BD39" s="26">
        <v>92.2</v>
      </c>
      <c r="BE39" s="26">
        <v>-4.9</v>
      </c>
      <c r="BF39" s="26">
        <v>27.0</v>
      </c>
      <c r="BG39" s="26"/>
      <c r="BH39" s="26"/>
      <c r="BI39" s="26"/>
      <c r="BJ39" s="26"/>
      <c r="BK39" s="26"/>
      <c r="BL39" s="26"/>
    </row>
    <row r="40" ht="15.75" customHeight="1">
      <c r="A40" s="25"/>
      <c r="B40" s="26"/>
      <c r="C40" s="26">
        <v>11.0</v>
      </c>
      <c r="D40" s="26">
        <v>100.9</v>
      </c>
      <c r="E40" s="26">
        <v>99.5</v>
      </c>
      <c r="F40" s="26">
        <v>102.3</v>
      </c>
      <c r="G40" s="26">
        <v>-2.92</v>
      </c>
      <c r="H40" s="26">
        <v>56.0</v>
      </c>
      <c r="I40" s="26"/>
      <c r="J40" s="26"/>
      <c r="K40" s="26">
        <v>11.0</v>
      </c>
      <c r="L40" s="26">
        <v>103.5</v>
      </c>
      <c r="M40" s="26">
        <v>102.6</v>
      </c>
      <c r="N40" s="26">
        <v>104.5</v>
      </c>
      <c r="O40" s="26">
        <v>-3.48</v>
      </c>
      <c r="P40" s="26">
        <v>48.0</v>
      </c>
      <c r="Q40" s="26"/>
      <c r="R40" s="26">
        <v>11.0</v>
      </c>
      <c r="S40" s="26">
        <v>106.8</v>
      </c>
      <c r="T40" s="26">
        <v>105.4</v>
      </c>
      <c r="U40" s="26">
        <v>108.2</v>
      </c>
      <c r="V40" s="26">
        <v>-2.83</v>
      </c>
      <c r="W40" s="26">
        <v>58.0</v>
      </c>
      <c r="X40" s="26"/>
      <c r="Y40" s="26"/>
      <c r="Z40" s="26">
        <v>11.0</v>
      </c>
      <c r="AA40" s="26">
        <v>96.4</v>
      </c>
      <c r="AB40" s="26">
        <v>92.3</v>
      </c>
      <c r="AC40" s="26">
        <v>100.5</v>
      </c>
      <c r="AD40" s="26">
        <v>-5.09</v>
      </c>
      <c r="AE40" s="26">
        <v>24.0</v>
      </c>
      <c r="AF40" s="26"/>
      <c r="AG40" s="26"/>
      <c r="AH40" s="26"/>
      <c r="AI40" s="26">
        <v>10.0</v>
      </c>
      <c r="AJ40" s="26">
        <v>119.9</v>
      </c>
      <c r="AK40" s="26">
        <v>119.0</v>
      </c>
      <c r="AL40" s="26">
        <v>120.8</v>
      </c>
      <c r="AM40" s="26">
        <v>-3.01</v>
      </c>
      <c r="AN40" s="26">
        <v>55.0</v>
      </c>
      <c r="AO40" s="26"/>
      <c r="AP40" s="26"/>
      <c r="AQ40" s="26"/>
      <c r="AR40" s="26"/>
      <c r="AS40" s="26">
        <v>11.0</v>
      </c>
      <c r="AT40" s="26">
        <v>122.3</v>
      </c>
      <c r="AU40" s="26">
        <v>120.9</v>
      </c>
      <c r="AV40" s="26">
        <v>123.7</v>
      </c>
      <c r="AW40" s="26">
        <v>-1.24</v>
      </c>
      <c r="AX40" s="26">
        <v>81.0</v>
      </c>
      <c r="AY40" s="26"/>
      <c r="AZ40" s="26"/>
      <c r="BA40" s="26">
        <v>11.0</v>
      </c>
      <c r="BB40" s="26">
        <v>91.7</v>
      </c>
      <c r="BC40" s="26">
        <v>90.8</v>
      </c>
      <c r="BD40" s="26">
        <v>92.5</v>
      </c>
      <c r="BE40" s="26">
        <v>-4.81</v>
      </c>
      <c r="BF40" s="26">
        <v>28.0</v>
      </c>
      <c r="BG40" s="26"/>
      <c r="BH40" s="26"/>
      <c r="BI40" s="26"/>
      <c r="BJ40" s="26"/>
      <c r="BK40" s="26"/>
      <c r="BL40" s="26"/>
    </row>
    <row r="41" ht="15.75" customHeight="1">
      <c r="A41" s="25"/>
      <c r="B41" s="26"/>
      <c r="C41" s="26">
        <v>12.0</v>
      </c>
      <c r="D41" s="26">
        <v>101.6</v>
      </c>
      <c r="E41" s="26">
        <v>100.3</v>
      </c>
      <c r="F41" s="26">
        <v>102.8</v>
      </c>
      <c r="G41" s="26">
        <v>-2.82</v>
      </c>
      <c r="H41" s="26">
        <v>58.0</v>
      </c>
      <c r="I41" s="26"/>
      <c r="J41" s="26"/>
      <c r="K41" s="26">
        <v>12.0</v>
      </c>
      <c r="L41" s="26">
        <v>103.9</v>
      </c>
      <c r="M41" s="26">
        <v>102.9</v>
      </c>
      <c r="N41" s="26">
        <v>104.8</v>
      </c>
      <c r="O41" s="26">
        <v>-3.42</v>
      </c>
      <c r="P41" s="26">
        <v>49.0</v>
      </c>
      <c r="Q41" s="26"/>
      <c r="R41" s="26">
        <v>12.0</v>
      </c>
      <c r="S41" s="26">
        <v>107.5</v>
      </c>
      <c r="T41" s="26">
        <v>106.1</v>
      </c>
      <c r="U41" s="26">
        <v>109.0</v>
      </c>
      <c r="V41" s="26">
        <v>-2.73</v>
      </c>
      <c r="W41" s="26">
        <v>59.0</v>
      </c>
      <c r="X41" s="26"/>
      <c r="Y41" s="26"/>
      <c r="Z41" s="26">
        <v>12.0</v>
      </c>
      <c r="AA41" s="26">
        <v>97.2</v>
      </c>
      <c r="AB41" s="26">
        <v>93.2</v>
      </c>
      <c r="AC41" s="26">
        <v>101.2</v>
      </c>
      <c r="AD41" s="26">
        <v>-4.99</v>
      </c>
      <c r="AE41" s="26">
        <v>25.0</v>
      </c>
      <c r="AF41" s="26"/>
      <c r="AG41" s="26"/>
      <c r="AH41" s="26"/>
      <c r="AI41" s="26">
        <v>11.0</v>
      </c>
      <c r="AJ41" s="26">
        <v>120.2</v>
      </c>
      <c r="AK41" s="26">
        <v>119.3</v>
      </c>
      <c r="AL41" s="26">
        <v>121.1</v>
      </c>
      <c r="AM41" s="26">
        <v>-2.96</v>
      </c>
      <c r="AN41" s="26">
        <v>56.0</v>
      </c>
      <c r="AO41" s="26"/>
      <c r="AP41" s="26"/>
      <c r="AQ41" s="26"/>
      <c r="AR41" s="26"/>
      <c r="AS41" s="26">
        <v>12.0</v>
      </c>
      <c r="AT41" s="26">
        <v>123.1</v>
      </c>
      <c r="AU41" s="26">
        <v>121.6</v>
      </c>
      <c r="AV41" s="26">
        <v>124.7</v>
      </c>
      <c r="AW41" s="26">
        <v>-1.08</v>
      </c>
      <c r="AX41" s="26">
        <v>84.0</v>
      </c>
      <c r="AY41" s="26"/>
      <c r="AZ41" s="26"/>
      <c r="BA41" s="26">
        <v>12.0</v>
      </c>
      <c r="BB41" s="26">
        <v>91.9</v>
      </c>
      <c r="BC41" s="26">
        <v>91.1</v>
      </c>
      <c r="BD41" s="26">
        <v>92.7</v>
      </c>
      <c r="BE41" s="26">
        <v>-4.73</v>
      </c>
      <c r="BF41" s="26">
        <v>29.0</v>
      </c>
      <c r="BG41" s="26"/>
      <c r="BH41" s="26"/>
      <c r="BI41" s="26"/>
      <c r="BJ41" s="26"/>
      <c r="BK41" s="26"/>
      <c r="BL41" s="26"/>
    </row>
    <row r="42" ht="15.75" customHeight="1">
      <c r="A42" s="25"/>
      <c r="B42" s="26"/>
      <c r="C42" s="26">
        <v>13.0</v>
      </c>
      <c r="D42" s="26">
        <v>102.1</v>
      </c>
      <c r="E42" s="26">
        <v>100.9</v>
      </c>
      <c r="F42" s="26">
        <v>103.2</v>
      </c>
      <c r="G42" s="26">
        <v>-2.73</v>
      </c>
      <c r="H42" s="26">
        <v>59.0</v>
      </c>
      <c r="I42" s="26"/>
      <c r="J42" s="26"/>
      <c r="K42" s="26">
        <v>13.0</v>
      </c>
      <c r="L42" s="26">
        <v>104.2</v>
      </c>
      <c r="M42" s="26">
        <v>103.2</v>
      </c>
      <c r="N42" s="26">
        <v>105.3</v>
      </c>
      <c r="O42" s="26">
        <v>-3.36</v>
      </c>
      <c r="P42" s="26">
        <v>50.0</v>
      </c>
      <c r="Q42" s="26"/>
      <c r="R42" s="26">
        <v>13.0</v>
      </c>
      <c r="S42" s="26">
        <v>108.3</v>
      </c>
      <c r="T42" s="26">
        <v>106.9</v>
      </c>
      <c r="U42" s="26">
        <v>109.7</v>
      </c>
      <c r="V42" s="26">
        <v>-2.62</v>
      </c>
      <c r="W42" s="26">
        <v>61.0</v>
      </c>
      <c r="X42" s="26"/>
      <c r="Y42" s="26"/>
      <c r="Z42" s="26">
        <v>13.0</v>
      </c>
      <c r="AA42" s="26">
        <v>97.9</v>
      </c>
      <c r="AB42" s="26">
        <v>94.0</v>
      </c>
      <c r="AC42" s="26">
        <v>101.8</v>
      </c>
      <c r="AD42" s="26">
        <v>-4.88</v>
      </c>
      <c r="AE42" s="26">
        <v>27.0</v>
      </c>
      <c r="AF42" s="26"/>
      <c r="AG42" s="26"/>
      <c r="AH42" s="26"/>
      <c r="AI42" s="26">
        <v>12.0</v>
      </c>
      <c r="AJ42" s="26">
        <v>120.5</v>
      </c>
      <c r="AK42" s="26">
        <v>119.6</v>
      </c>
      <c r="AL42" s="26">
        <v>121.3</v>
      </c>
      <c r="AM42" s="26">
        <v>-2.92</v>
      </c>
      <c r="AN42" s="26">
        <v>56.0</v>
      </c>
      <c r="AO42" s="26"/>
      <c r="AP42" s="26"/>
      <c r="AQ42" s="26"/>
      <c r="AR42" s="26"/>
      <c r="AS42" s="26">
        <v>13.0</v>
      </c>
      <c r="AT42" s="26">
        <v>124.1</v>
      </c>
      <c r="AU42" s="26">
        <v>122.4</v>
      </c>
      <c r="AV42" s="26">
        <v>125.8</v>
      </c>
      <c r="AW42" s="26">
        <v>-0.88</v>
      </c>
      <c r="AX42" s="26">
        <v>87.0</v>
      </c>
      <c r="AY42" s="26"/>
      <c r="AZ42" s="26"/>
      <c r="BA42" s="26">
        <v>13.0</v>
      </c>
      <c r="BB42" s="26">
        <v>92.2</v>
      </c>
      <c r="BC42" s="26">
        <v>91.3</v>
      </c>
      <c r="BD42" s="26">
        <v>93.0</v>
      </c>
      <c r="BE42" s="26">
        <v>-4.65</v>
      </c>
      <c r="BF42" s="26">
        <v>30.0</v>
      </c>
      <c r="BG42" s="26"/>
      <c r="BH42" s="26"/>
      <c r="BI42" s="26"/>
      <c r="BJ42" s="26"/>
      <c r="BK42" s="26"/>
      <c r="BL42" s="26"/>
    </row>
    <row r="43" ht="15.75" customHeight="1">
      <c r="A43" s="25"/>
      <c r="B43" s="26"/>
      <c r="C43" s="26">
        <v>14.0</v>
      </c>
      <c r="D43" s="26">
        <v>102.5</v>
      </c>
      <c r="E43" s="26">
        <v>101.5</v>
      </c>
      <c r="F43" s="26">
        <v>103.6</v>
      </c>
      <c r="G43" s="26">
        <v>-2.65</v>
      </c>
      <c r="H43" s="26">
        <v>60.0</v>
      </c>
      <c r="I43" s="26"/>
      <c r="J43" s="26"/>
      <c r="K43" s="26">
        <v>14.0</v>
      </c>
      <c r="L43" s="26">
        <v>104.7</v>
      </c>
      <c r="M43" s="26">
        <v>103.5</v>
      </c>
      <c r="N43" s="26">
        <v>105.8</v>
      </c>
      <c r="O43" s="26">
        <v>-3.28</v>
      </c>
      <c r="P43" s="26">
        <v>51.0</v>
      </c>
      <c r="Q43" s="26"/>
      <c r="R43" s="26">
        <v>14.0</v>
      </c>
      <c r="S43" s="26">
        <v>109.0</v>
      </c>
      <c r="T43" s="26">
        <v>107.6</v>
      </c>
      <c r="U43" s="26">
        <v>110.4</v>
      </c>
      <c r="V43" s="26">
        <v>-2.52</v>
      </c>
      <c r="W43" s="26">
        <v>62.0</v>
      </c>
      <c r="X43" s="26"/>
      <c r="Y43" s="26"/>
      <c r="Z43" s="26">
        <v>14.0</v>
      </c>
      <c r="AA43" s="26">
        <v>98.6</v>
      </c>
      <c r="AB43" s="26">
        <v>94.8</v>
      </c>
      <c r="AC43" s="26">
        <v>102.4</v>
      </c>
      <c r="AD43" s="26">
        <v>-4.78</v>
      </c>
      <c r="AE43" s="26">
        <v>28.0</v>
      </c>
      <c r="AF43" s="26"/>
      <c r="AG43" s="26"/>
      <c r="AH43" s="26"/>
      <c r="AI43" s="26">
        <v>13.0</v>
      </c>
      <c r="AJ43" s="26">
        <v>120.7</v>
      </c>
      <c r="AK43" s="26">
        <v>119.9</v>
      </c>
      <c r="AL43" s="26">
        <v>121.6</v>
      </c>
      <c r="AM43" s="26">
        <v>-2.87</v>
      </c>
      <c r="AN43" s="26">
        <v>57.0</v>
      </c>
      <c r="AO43" s="26"/>
      <c r="AP43" s="26"/>
      <c r="AQ43" s="26"/>
      <c r="AR43" s="26"/>
      <c r="AS43" s="26">
        <v>14.0</v>
      </c>
      <c r="AT43" s="26">
        <v>125.1</v>
      </c>
      <c r="AU43" s="26">
        <v>123.5</v>
      </c>
      <c r="AV43" s="26">
        <v>126.8</v>
      </c>
      <c r="AW43" s="26">
        <v>-0.67</v>
      </c>
      <c r="AX43" s="26">
        <v>90.0</v>
      </c>
      <c r="AY43" s="26"/>
      <c r="AZ43" s="26"/>
      <c r="BA43" s="26">
        <v>14.0</v>
      </c>
      <c r="BB43" s="26">
        <v>92.4</v>
      </c>
      <c r="BC43" s="26">
        <v>91.5</v>
      </c>
      <c r="BD43" s="26">
        <v>93.3</v>
      </c>
      <c r="BE43" s="26">
        <v>-4.56</v>
      </c>
      <c r="BF43" s="26">
        <v>32.0</v>
      </c>
      <c r="BG43" s="26"/>
      <c r="BH43" s="26"/>
      <c r="BI43" s="26"/>
      <c r="BJ43" s="26"/>
      <c r="BK43" s="26"/>
      <c r="BL43" s="26"/>
    </row>
    <row r="44" ht="15.75" customHeight="1">
      <c r="A44" s="25"/>
      <c r="B44" s="26"/>
      <c r="C44" s="26">
        <v>15.0</v>
      </c>
      <c r="D44" s="26">
        <v>102.9</v>
      </c>
      <c r="E44" s="26">
        <v>101.9</v>
      </c>
      <c r="F44" s="26">
        <v>104.0</v>
      </c>
      <c r="G44" s="26">
        <v>-5.58</v>
      </c>
      <c r="H44" s="26">
        <v>61.0</v>
      </c>
      <c r="I44" s="26"/>
      <c r="J44" s="26"/>
      <c r="K44" s="26">
        <v>15.0</v>
      </c>
      <c r="L44" s="26">
        <v>105.2</v>
      </c>
      <c r="M44" s="26">
        <v>103.9</v>
      </c>
      <c r="N44" s="26">
        <v>106.4</v>
      </c>
      <c r="O44" s="26">
        <v>-3.19</v>
      </c>
      <c r="P44" s="26">
        <v>52.0</v>
      </c>
      <c r="Q44" s="26"/>
      <c r="R44" s="26">
        <v>15.0</v>
      </c>
      <c r="S44" s="26">
        <v>109.8</v>
      </c>
      <c r="T44" s="26">
        <v>108.4</v>
      </c>
      <c r="U44" s="26">
        <v>111.1</v>
      </c>
      <c r="V44" s="26">
        <v>-2.42</v>
      </c>
      <c r="W44" s="26">
        <v>64.0</v>
      </c>
      <c r="X44" s="26"/>
      <c r="Y44" s="26"/>
      <c r="Z44" s="26">
        <v>15.0</v>
      </c>
      <c r="AA44" s="26">
        <v>99.3</v>
      </c>
      <c r="AB44" s="26">
        <v>95.5</v>
      </c>
      <c r="AC44" s="26">
        <v>103.0</v>
      </c>
      <c r="AD44" s="26">
        <v>-4.68</v>
      </c>
      <c r="AE44" s="26">
        <v>30.0</v>
      </c>
      <c r="AF44" s="26"/>
      <c r="AG44" s="26"/>
      <c r="AH44" s="26"/>
      <c r="AI44" s="26">
        <v>14.0</v>
      </c>
      <c r="AJ44" s="26">
        <v>121.0</v>
      </c>
      <c r="AK44" s="26">
        <v>120.2</v>
      </c>
      <c r="AL44" s="26">
        <v>121.8</v>
      </c>
      <c r="AM44" s="26">
        <v>-2.83</v>
      </c>
      <c r="AN44" s="26">
        <v>58.0</v>
      </c>
      <c r="AO44" s="26"/>
      <c r="AP44" s="26"/>
      <c r="AQ44" s="26"/>
      <c r="AR44" s="26"/>
      <c r="AS44" s="26">
        <v>15.0</v>
      </c>
      <c r="AT44" s="26">
        <v>126.1</v>
      </c>
      <c r="AU44" s="26">
        <v>124.5</v>
      </c>
      <c r="AV44" s="26">
        <v>127.8</v>
      </c>
      <c r="AW44" s="26">
        <v>-0.47</v>
      </c>
      <c r="AX44" s="26">
        <v>93.0</v>
      </c>
      <c r="AY44" s="26"/>
      <c r="AZ44" s="26"/>
      <c r="BA44" s="26">
        <v>15.0</v>
      </c>
      <c r="BB44" s="26">
        <v>92.7</v>
      </c>
      <c r="BC44" s="26">
        <v>91.8</v>
      </c>
      <c r="BD44" s="26">
        <v>93.7</v>
      </c>
      <c r="BE44" s="26">
        <v>-4.46</v>
      </c>
      <c r="BF44" s="26">
        <v>33.0</v>
      </c>
      <c r="BG44" s="26"/>
      <c r="BH44" s="26"/>
      <c r="BI44" s="26"/>
      <c r="BJ44" s="26"/>
      <c r="BK44" s="26"/>
      <c r="BL44" s="26"/>
    </row>
    <row r="45" ht="15.75" customHeight="1">
      <c r="A45" s="25"/>
      <c r="B45" s="26"/>
      <c r="C45" s="26">
        <v>16.0</v>
      </c>
      <c r="D45" s="26">
        <v>103.4</v>
      </c>
      <c r="E45" s="26">
        <v>102.2</v>
      </c>
      <c r="F45" s="26">
        <v>104.5</v>
      </c>
      <c r="G45" s="26">
        <v>-2.51</v>
      </c>
      <c r="H45" s="26">
        <v>62.0</v>
      </c>
      <c r="I45" s="26"/>
      <c r="J45" s="26"/>
      <c r="K45" s="26">
        <v>16.0</v>
      </c>
      <c r="L45" s="26">
        <v>105.8</v>
      </c>
      <c r="M45" s="26">
        <v>104.5</v>
      </c>
      <c r="N45" s="26">
        <v>107.1</v>
      </c>
      <c r="O45" s="26">
        <v>-3.08</v>
      </c>
      <c r="P45" s="26">
        <v>54.0</v>
      </c>
      <c r="Q45" s="26"/>
      <c r="R45" s="26">
        <v>16.0</v>
      </c>
      <c r="S45" s="26">
        <v>110.5</v>
      </c>
      <c r="T45" s="26">
        <v>109.1</v>
      </c>
      <c r="U45" s="26">
        <v>111.8</v>
      </c>
      <c r="V45" s="26">
        <v>-2.33</v>
      </c>
      <c r="W45" s="26">
        <v>65.0</v>
      </c>
      <c r="X45" s="26"/>
      <c r="Y45" s="26"/>
      <c r="Z45" s="26">
        <v>16.0</v>
      </c>
      <c r="AA45" s="26">
        <v>99.9</v>
      </c>
      <c r="AB45" s="26">
        <v>96.2</v>
      </c>
      <c r="AC45" s="26">
        <v>103.6</v>
      </c>
      <c r="AD45" s="26">
        <v>-4.59</v>
      </c>
      <c r="AE45" s="26">
        <v>31.0</v>
      </c>
      <c r="AF45" s="26"/>
      <c r="AG45" s="26"/>
      <c r="AH45" s="26"/>
      <c r="AI45" s="26">
        <v>15.0</v>
      </c>
      <c r="AJ45" s="26">
        <v>121.2</v>
      </c>
      <c r="AK45" s="26">
        <v>120.4</v>
      </c>
      <c r="AL45" s="26">
        <v>122.0</v>
      </c>
      <c r="AM45" s="26">
        <v>-2.79</v>
      </c>
      <c r="AN45" s="26">
        <v>58.0</v>
      </c>
      <c r="AO45" s="26"/>
      <c r="AP45" s="26"/>
      <c r="AQ45" s="26"/>
      <c r="AR45" s="26"/>
      <c r="AS45" s="26">
        <v>16.0</v>
      </c>
      <c r="AT45" s="26">
        <v>127.1</v>
      </c>
      <c r="AU45" s="26">
        <v>125.5</v>
      </c>
      <c r="AV45" s="26">
        <v>128.6</v>
      </c>
      <c r="AW45" s="26">
        <v>-0.29</v>
      </c>
      <c r="AX45" s="26">
        <v>96.0</v>
      </c>
      <c r="AY45" s="26"/>
      <c r="AZ45" s="26"/>
      <c r="BA45" s="26">
        <v>16.0</v>
      </c>
      <c r="BB45" s="26">
        <v>93.1</v>
      </c>
      <c r="BC45" s="26">
        <v>92.1</v>
      </c>
      <c r="BD45" s="26">
        <v>94.1</v>
      </c>
      <c r="BE45" s="26">
        <v>-4.34</v>
      </c>
      <c r="BF45" s="26">
        <v>35.0</v>
      </c>
      <c r="BG45" s="26"/>
      <c r="BH45" s="26"/>
      <c r="BI45" s="26"/>
      <c r="BJ45" s="26"/>
      <c r="BK45" s="26"/>
      <c r="BL45" s="26"/>
    </row>
    <row r="46" ht="15.75" customHeight="1">
      <c r="A46" s="25"/>
      <c r="B46" s="26"/>
      <c r="C46" s="26">
        <v>17.0</v>
      </c>
      <c r="D46" s="26">
        <v>103.9</v>
      </c>
      <c r="E46" s="26">
        <v>102.7</v>
      </c>
      <c r="F46" s="26">
        <v>105.1</v>
      </c>
      <c r="G46" s="26">
        <v>-2.42</v>
      </c>
      <c r="H46" s="26">
        <v>64.0</v>
      </c>
      <c r="I46" s="26"/>
      <c r="J46" s="26"/>
      <c r="K46" s="26">
        <v>17.0</v>
      </c>
      <c r="L46" s="26">
        <v>106.4</v>
      </c>
      <c r="M46" s="26">
        <v>105.1</v>
      </c>
      <c r="N46" s="26">
        <v>107.8</v>
      </c>
      <c r="O46" s="26">
        <v>-2.97</v>
      </c>
      <c r="P46" s="26">
        <v>55.0</v>
      </c>
      <c r="Q46" s="26"/>
      <c r="R46" s="26">
        <v>17.0</v>
      </c>
      <c r="S46" s="26">
        <v>111.1</v>
      </c>
      <c r="T46" s="26">
        <v>109.8</v>
      </c>
      <c r="U46" s="26">
        <v>112.5</v>
      </c>
      <c r="V46" s="26">
        <v>-2.23</v>
      </c>
      <c r="W46" s="26">
        <v>67.0</v>
      </c>
      <c r="X46" s="26"/>
      <c r="Y46" s="26"/>
      <c r="Z46" s="26">
        <v>17.0</v>
      </c>
      <c r="AA46" s="26">
        <v>100.5</v>
      </c>
      <c r="AB46" s="26">
        <v>96.9</v>
      </c>
      <c r="AC46" s="26">
        <v>104.2</v>
      </c>
      <c r="AD46" s="26">
        <v>-4.5</v>
      </c>
      <c r="AE46" s="26">
        <v>33.0</v>
      </c>
      <c r="AF46" s="26"/>
      <c r="AG46" s="26"/>
      <c r="AH46" s="26"/>
      <c r="AI46" s="26">
        <v>16.0</v>
      </c>
      <c r="AJ46" s="26">
        <v>121.4</v>
      </c>
      <c r="AK46" s="26">
        <v>120.7</v>
      </c>
      <c r="AL46" s="26">
        <v>122.2</v>
      </c>
      <c r="AM46" s="26">
        <v>-2.76</v>
      </c>
      <c r="AN46" s="26">
        <v>59.0</v>
      </c>
      <c r="AO46" s="26"/>
      <c r="AP46" s="26"/>
      <c r="AQ46" s="26"/>
      <c r="AR46" s="26"/>
      <c r="AS46" s="26">
        <v>17.0</v>
      </c>
      <c r="AT46" s="26">
        <v>128.0</v>
      </c>
      <c r="AU46" s="26">
        <v>126.4</v>
      </c>
      <c r="AV46" s="26">
        <v>129.5</v>
      </c>
      <c r="AW46" s="26">
        <v>-0.11</v>
      </c>
      <c r="AX46" s="26">
        <v>98.0</v>
      </c>
      <c r="AY46" s="26"/>
      <c r="AZ46" s="26"/>
      <c r="BA46" s="26">
        <v>17.0</v>
      </c>
      <c r="BB46" s="26">
        <v>93.5</v>
      </c>
      <c r="BC46" s="26">
        <v>92.5</v>
      </c>
      <c r="BD46" s="26">
        <v>94.6</v>
      </c>
      <c r="BE46" s="26">
        <v>-4.2</v>
      </c>
      <c r="BF46" s="26">
        <v>37.0</v>
      </c>
      <c r="BG46" s="26"/>
      <c r="BH46" s="26"/>
      <c r="BI46" s="26"/>
      <c r="BJ46" s="26"/>
      <c r="BK46" s="26"/>
      <c r="BL46" s="26"/>
    </row>
    <row r="47" ht="15.75" customHeight="1">
      <c r="A47" s="25"/>
      <c r="B47" s="26"/>
      <c r="C47" s="26">
        <v>18.0</v>
      </c>
      <c r="D47" s="26">
        <v>104.4</v>
      </c>
      <c r="E47" s="26">
        <v>103.2</v>
      </c>
      <c r="F47" s="26">
        <v>105.6</v>
      </c>
      <c r="G47" s="26">
        <v>-2.34</v>
      </c>
      <c r="H47" s="26">
        <v>65.0</v>
      </c>
      <c r="I47" s="26"/>
      <c r="J47" s="26"/>
      <c r="K47" s="26">
        <v>18.0</v>
      </c>
      <c r="L47" s="26">
        <v>107.1</v>
      </c>
      <c r="M47" s="26">
        <v>105.8</v>
      </c>
      <c r="N47" s="26">
        <v>108.3</v>
      </c>
      <c r="O47" s="26">
        <v>-2.86</v>
      </c>
      <c r="P47" s="26">
        <v>57.0</v>
      </c>
      <c r="Q47" s="26"/>
      <c r="R47" s="26">
        <v>18.0</v>
      </c>
      <c r="S47" s="26">
        <v>111.8</v>
      </c>
      <c r="T47" s="26">
        <v>110.5</v>
      </c>
      <c r="U47" s="26">
        <v>113.1</v>
      </c>
      <c r="V47" s="26">
        <v>-2.14</v>
      </c>
      <c r="W47" s="26">
        <v>68.0</v>
      </c>
      <c r="X47" s="26"/>
      <c r="Y47" s="26"/>
      <c r="Z47" s="26">
        <v>18.0</v>
      </c>
      <c r="AA47" s="26">
        <v>101.1</v>
      </c>
      <c r="AB47" s="26">
        <v>97.5</v>
      </c>
      <c r="AC47" s="26">
        <v>104.7</v>
      </c>
      <c r="AD47" s="26">
        <v>-4.41</v>
      </c>
      <c r="AE47" s="26">
        <v>34.0</v>
      </c>
      <c r="AF47" s="26"/>
      <c r="AG47" s="26"/>
      <c r="AH47" s="26"/>
      <c r="AI47" s="26">
        <v>17.0</v>
      </c>
      <c r="AJ47" s="26">
        <v>121.7</v>
      </c>
      <c r="AK47" s="26">
        <v>120.9</v>
      </c>
      <c r="AL47" s="26">
        <v>122.5</v>
      </c>
      <c r="AM47" s="26">
        <v>-2.72</v>
      </c>
      <c r="AN47" s="26">
        <v>59.0</v>
      </c>
      <c r="AO47" s="26"/>
      <c r="AP47" s="26"/>
      <c r="AQ47" s="26"/>
      <c r="AR47" s="26"/>
      <c r="AS47" s="26">
        <v>18.0</v>
      </c>
      <c r="AT47" s="26">
        <v>128.8</v>
      </c>
      <c r="AU47" s="26">
        <v>127.3</v>
      </c>
      <c r="AV47" s="26">
        <v>130.3</v>
      </c>
      <c r="AW47" s="26">
        <v>0.06</v>
      </c>
      <c r="AX47" s="26">
        <v>101.0</v>
      </c>
      <c r="AY47" s="26"/>
      <c r="AZ47" s="26"/>
      <c r="BA47" s="26">
        <v>18.0</v>
      </c>
      <c r="BB47" s="26">
        <v>93.9</v>
      </c>
      <c r="BC47" s="26">
        <v>92.9</v>
      </c>
      <c r="BD47" s="26">
        <v>94.9</v>
      </c>
      <c r="BE47" s="26">
        <v>-4.07</v>
      </c>
      <c r="BF47" s="26">
        <v>39.0</v>
      </c>
      <c r="BG47" s="26"/>
      <c r="BH47" s="26"/>
      <c r="BI47" s="26"/>
      <c r="BJ47" s="26"/>
      <c r="BK47" s="26"/>
      <c r="BL47" s="26"/>
    </row>
    <row r="48" ht="15.75" customHeight="1">
      <c r="A48" s="25"/>
      <c r="B48" s="26"/>
      <c r="C48" s="26">
        <v>19.0</v>
      </c>
      <c r="D48" s="26">
        <v>105.0</v>
      </c>
      <c r="E48" s="26">
        <v>103.7</v>
      </c>
      <c r="F48" s="26">
        <v>106.3</v>
      </c>
      <c r="G48" s="26">
        <v>-2.24</v>
      </c>
      <c r="H48" s="26">
        <v>66.0</v>
      </c>
      <c r="I48" s="26"/>
      <c r="J48" s="26"/>
      <c r="K48" s="26">
        <v>19.0</v>
      </c>
      <c r="L48" s="26">
        <v>107.6</v>
      </c>
      <c r="M48" s="26">
        <v>106.4</v>
      </c>
      <c r="N48" s="26">
        <v>108.8</v>
      </c>
      <c r="O48" s="26">
        <v>-2.77</v>
      </c>
      <c r="P48" s="26">
        <v>59.0</v>
      </c>
      <c r="Q48" s="26"/>
      <c r="R48" s="26">
        <v>19.0</v>
      </c>
      <c r="S48" s="26">
        <v>112.3</v>
      </c>
      <c r="T48" s="26">
        <v>111.1</v>
      </c>
      <c r="U48" s="26">
        <v>113.5</v>
      </c>
      <c r="V48" s="26">
        <v>-2.07</v>
      </c>
      <c r="W48" s="26">
        <v>69.0</v>
      </c>
      <c r="X48" s="26"/>
      <c r="Y48" s="26"/>
      <c r="Z48" s="26">
        <v>19.0</v>
      </c>
      <c r="AA48" s="26">
        <v>101.7</v>
      </c>
      <c r="AB48" s="26">
        <v>98.2</v>
      </c>
      <c r="AC48" s="26">
        <v>105.2</v>
      </c>
      <c r="AD48" s="26">
        <v>-4.33</v>
      </c>
      <c r="AE48" s="26">
        <v>35.0</v>
      </c>
      <c r="AF48" s="26"/>
      <c r="AG48" s="26"/>
      <c r="AH48" s="26"/>
      <c r="AI48" s="26">
        <v>18.0</v>
      </c>
      <c r="AJ48" s="26">
        <v>121.9</v>
      </c>
      <c r="AK48" s="26">
        <v>121.1</v>
      </c>
      <c r="AL48" s="26">
        <v>122.7</v>
      </c>
      <c r="AM48" s="26">
        <v>-2.68</v>
      </c>
      <c r="AN48" s="26">
        <v>60.0</v>
      </c>
      <c r="AO48" s="26"/>
      <c r="AP48" s="26"/>
      <c r="AQ48" s="26"/>
      <c r="AR48" s="26"/>
      <c r="AS48" s="26">
        <v>19.0</v>
      </c>
      <c r="AT48" s="26">
        <v>129.6</v>
      </c>
      <c r="AU48" s="26">
        <v>128.2</v>
      </c>
      <c r="AV48" s="26">
        <v>131.0</v>
      </c>
      <c r="AW48" s="26">
        <v>0.22</v>
      </c>
      <c r="AX48" s="26">
        <v>103.0</v>
      </c>
      <c r="AY48" s="26"/>
      <c r="AZ48" s="26"/>
      <c r="BA48" s="26">
        <v>19.0</v>
      </c>
      <c r="BB48" s="26">
        <v>94.3</v>
      </c>
      <c r="BC48" s="26">
        <v>93.3</v>
      </c>
      <c r="BD48" s="26">
        <v>95.3</v>
      </c>
      <c r="BE48" s="26">
        <v>-3.94</v>
      </c>
      <c r="BF48" s="26">
        <v>41.0</v>
      </c>
      <c r="BG48" s="26"/>
      <c r="BH48" s="26"/>
      <c r="BI48" s="26"/>
      <c r="BJ48" s="26"/>
      <c r="BK48" s="26"/>
      <c r="BL48" s="26"/>
    </row>
    <row r="49" ht="15.75" customHeight="1">
      <c r="A49" s="25"/>
      <c r="B49" s="26"/>
      <c r="C49" s="26">
        <v>20.0</v>
      </c>
      <c r="D49" s="26">
        <v>105.6</v>
      </c>
      <c r="E49" s="26">
        <v>104.3</v>
      </c>
      <c r="F49" s="26">
        <v>106.8</v>
      </c>
      <c r="G49" s="26">
        <v>-2.14</v>
      </c>
      <c r="H49" s="26">
        <v>68.0</v>
      </c>
      <c r="I49" s="26"/>
      <c r="J49" s="26"/>
      <c r="K49" s="26">
        <v>20.0</v>
      </c>
      <c r="L49" s="26">
        <v>108.1</v>
      </c>
      <c r="M49" s="26">
        <v>107.0</v>
      </c>
      <c r="N49" s="26">
        <v>109.2</v>
      </c>
      <c r="O49" s="26">
        <v>-2.68</v>
      </c>
      <c r="P49" s="26">
        <v>60.0</v>
      </c>
      <c r="Q49" s="26"/>
      <c r="R49" s="26">
        <v>20.0</v>
      </c>
      <c r="S49" s="26">
        <v>112.8</v>
      </c>
      <c r="T49" s="26">
        <v>111.7</v>
      </c>
      <c r="U49" s="26">
        <v>114.0</v>
      </c>
      <c r="V49" s="26">
        <v>-2.0</v>
      </c>
      <c r="W49" s="26">
        <v>70.0</v>
      </c>
      <c r="X49" s="26"/>
      <c r="Y49" s="26"/>
      <c r="Z49" s="26">
        <v>20.0</v>
      </c>
      <c r="AA49" s="26">
        <v>102.3</v>
      </c>
      <c r="AB49" s="26">
        <v>98.8</v>
      </c>
      <c r="AC49" s="26">
        <v>105.8</v>
      </c>
      <c r="AD49" s="26">
        <v>-4.24</v>
      </c>
      <c r="AE49" s="26">
        <v>36.0</v>
      </c>
      <c r="AF49" s="26"/>
      <c r="AG49" s="26"/>
      <c r="AH49" s="26"/>
      <c r="AI49" s="26">
        <v>19.0</v>
      </c>
      <c r="AJ49" s="26">
        <v>122.1</v>
      </c>
      <c r="AK49" s="26">
        <v>121.3</v>
      </c>
      <c r="AL49" s="26">
        <v>122.9</v>
      </c>
      <c r="AM49" s="26">
        <v>-2.64</v>
      </c>
      <c r="AN49" s="26">
        <v>60.0</v>
      </c>
      <c r="AO49" s="26"/>
      <c r="AP49" s="26"/>
      <c r="AQ49" s="26"/>
      <c r="AR49" s="26"/>
      <c r="AS49" s="26">
        <v>20.0</v>
      </c>
      <c r="AT49" s="26">
        <v>130.3</v>
      </c>
      <c r="AU49" s="26">
        <v>128.9</v>
      </c>
      <c r="AV49" s="26">
        <v>131.6</v>
      </c>
      <c r="AW49" s="26">
        <v>0.36</v>
      </c>
      <c r="AX49" s="26">
        <v>105.0</v>
      </c>
      <c r="AY49" s="26"/>
      <c r="AZ49" s="26"/>
      <c r="BA49" s="26">
        <v>20.0</v>
      </c>
      <c r="BB49" s="26">
        <v>94.6</v>
      </c>
      <c r="BC49" s="26">
        <v>93.7</v>
      </c>
      <c r="BD49" s="26">
        <v>95.6</v>
      </c>
      <c r="BE49" s="26">
        <v>-3.83</v>
      </c>
      <c r="BF49" s="26">
        <v>43.0</v>
      </c>
      <c r="BG49" s="26"/>
      <c r="BH49" s="26"/>
      <c r="BI49" s="26"/>
      <c r="BJ49" s="26"/>
      <c r="BK49" s="26"/>
      <c r="BL49" s="26"/>
    </row>
    <row r="50" ht="15.75" customHeight="1">
      <c r="A50" s="25"/>
      <c r="B50" s="26"/>
      <c r="C50" s="26">
        <v>21.0</v>
      </c>
      <c r="D50" s="26">
        <v>106.0</v>
      </c>
      <c r="E50" s="26">
        <v>105.0</v>
      </c>
      <c r="F50" s="26">
        <v>107.1</v>
      </c>
      <c r="G50" s="26">
        <v>-2.06</v>
      </c>
      <c r="H50" s="26">
        <v>69.0</v>
      </c>
      <c r="I50" s="26"/>
      <c r="J50" s="26"/>
      <c r="K50" s="26">
        <v>21.0</v>
      </c>
      <c r="L50" s="26">
        <v>108.5</v>
      </c>
      <c r="M50" s="26">
        <v>107.5</v>
      </c>
      <c r="N50" s="26">
        <v>109.5</v>
      </c>
      <c r="O50" s="26">
        <v>-2.61</v>
      </c>
      <c r="P50" s="26">
        <v>61.0</v>
      </c>
      <c r="Q50" s="26"/>
      <c r="R50" s="26">
        <v>21.0</v>
      </c>
      <c r="S50" s="26">
        <v>113.3</v>
      </c>
      <c r="T50" s="26">
        <v>112.2</v>
      </c>
      <c r="U50" s="26">
        <v>114.4</v>
      </c>
      <c r="V50" s="26">
        <v>-1.94</v>
      </c>
      <c r="W50" s="26">
        <v>71.0</v>
      </c>
      <c r="X50" s="26"/>
      <c r="Y50" s="26"/>
      <c r="Z50" s="26">
        <v>21.0</v>
      </c>
      <c r="AA50" s="26">
        <v>102.8</v>
      </c>
      <c r="AB50" s="26">
        <v>99.4</v>
      </c>
      <c r="AC50" s="26">
        <v>106.3</v>
      </c>
      <c r="AD50" s="26">
        <v>-4.16</v>
      </c>
      <c r="AE50" s="26">
        <v>38.0</v>
      </c>
      <c r="AF50" s="26"/>
      <c r="AG50" s="26"/>
      <c r="AH50" s="26"/>
      <c r="AI50" s="26">
        <v>20.0</v>
      </c>
      <c r="AJ50" s="26">
        <v>122.4</v>
      </c>
      <c r="AK50" s="26">
        <v>121.5</v>
      </c>
      <c r="AL50" s="26">
        <v>123.2</v>
      </c>
      <c r="AM50" s="26">
        <v>-2.6</v>
      </c>
      <c r="AN50" s="26">
        <v>61.0</v>
      </c>
      <c r="AO50" s="26"/>
      <c r="AP50" s="26"/>
      <c r="AQ50" s="26"/>
      <c r="AR50" s="26"/>
      <c r="AS50" s="26">
        <v>21.0</v>
      </c>
      <c r="AT50" s="26">
        <v>130.9</v>
      </c>
      <c r="AU50" s="26">
        <v>129.6</v>
      </c>
      <c r="AV50" s="26">
        <v>132.3</v>
      </c>
      <c r="AW50" s="26">
        <v>0.49</v>
      </c>
      <c r="AX50" s="26">
        <v>107.0</v>
      </c>
      <c r="AY50" s="26"/>
      <c r="AZ50" s="26"/>
      <c r="BA50" s="26">
        <v>21.0</v>
      </c>
      <c r="BB50" s="26">
        <v>95.0</v>
      </c>
      <c r="BC50" s="26">
        <v>94.0</v>
      </c>
      <c r="BD50" s="26">
        <v>96.0</v>
      </c>
      <c r="BE50" s="26">
        <v>-3.71</v>
      </c>
      <c r="BF50" s="26">
        <v>44.0</v>
      </c>
      <c r="BG50" s="26"/>
      <c r="BH50" s="26"/>
      <c r="BI50" s="26"/>
      <c r="BJ50" s="26"/>
      <c r="BK50" s="26"/>
      <c r="BL50" s="26"/>
    </row>
    <row r="51" ht="15.75" customHeight="1">
      <c r="A51" s="25"/>
      <c r="B51" s="26"/>
      <c r="C51" s="26">
        <v>22.0</v>
      </c>
      <c r="D51" s="26">
        <v>106.4</v>
      </c>
      <c r="E51" s="26">
        <v>105.4</v>
      </c>
      <c r="F51" s="26">
        <v>107.5</v>
      </c>
      <c r="G51" s="26">
        <v>-1.99</v>
      </c>
      <c r="H51" s="26">
        <v>70.0</v>
      </c>
      <c r="I51" s="26"/>
      <c r="J51" s="26"/>
      <c r="K51" s="26">
        <v>22.0</v>
      </c>
      <c r="L51" s="26">
        <v>108.9</v>
      </c>
      <c r="M51" s="26">
        <v>107.9</v>
      </c>
      <c r="N51" s="26">
        <v>109.8</v>
      </c>
      <c r="O51" s="26">
        <v>-2.55</v>
      </c>
      <c r="P51" s="26">
        <v>62.0</v>
      </c>
      <c r="Q51" s="26"/>
      <c r="R51" s="26">
        <v>22.0</v>
      </c>
      <c r="S51" s="26">
        <v>113.7</v>
      </c>
      <c r="T51" s="26">
        <v>112.7</v>
      </c>
      <c r="U51" s="26">
        <v>114.7</v>
      </c>
      <c r="V51" s="26">
        <v>-1.88</v>
      </c>
      <c r="W51" s="26">
        <v>72.0</v>
      </c>
      <c r="X51" s="26"/>
      <c r="Y51" s="26"/>
      <c r="Z51" s="26">
        <v>22.0</v>
      </c>
      <c r="AA51" s="26">
        <v>103.4</v>
      </c>
      <c r="AB51" s="26">
        <v>99.9</v>
      </c>
      <c r="AC51" s="26">
        <v>106.8</v>
      </c>
      <c r="AD51" s="26">
        <v>-4.09</v>
      </c>
      <c r="AE51" s="26">
        <v>39.0</v>
      </c>
      <c r="AF51" s="26"/>
      <c r="AG51" s="26"/>
      <c r="AH51" s="26"/>
      <c r="AI51" s="26">
        <v>21.0</v>
      </c>
      <c r="AJ51" s="26">
        <v>122.7</v>
      </c>
      <c r="AK51" s="26">
        <v>121.8</v>
      </c>
      <c r="AL51" s="26">
        <v>123.6</v>
      </c>
      <c r="AM51" s="26">
        <v>-2.55</v>
      </c>
      <c r="AN51" s="26">
        <v>62.0</v>
      </c>
      <c r="AO51" s="26"/>
      <c r="AP51" s="26"/>
      <c r="AQ51" s="26"/>
      <c r="AR51" s="26"/>
      <c r="AS51" s="26">
        <v>22.0</v>
      </c>
      <c r="AT51" s="26">
        <v>131.6</v>
      </c>
      <c r="AU51" s="26">
        <v>130.3</v>
      </c>
      <c r="AV51" s="26">
        <v>132.9</v>
      </c>
      <c r="AW51" s="26">
        <v>0.62</v>
      </c>
      <c r="AX51" s="26">
        <v>109.0</v>
      </c>
      <c r="AY51" s="26"/>
      <c r="AZ51" s="26"/>
      <c r="BA51" s="26">
        <v>22.0</v>
      </c>
      <c r="BB51" s="26">
        <v>95.4</v>
      </c>
      <c r="BC51" s="26">
        <v>94.3</v>
      </c>
      <c r="BD51" s="26">
        <v>96.4</v>
      </c>
      <c r="BE51" s="26">
        <v>-3.58</v>
      </c>
      <c r="BF51" s="26">
        <v>46.0</v>
      </c>
      <c r="BG51" s="26"/>
      <c r="BH51" s="26"/>
      <c r="BI51" s="26"/>
      <c r="BJ51" s="26"/>
      <c r="BK51" s="26"/>
      <c r="BL51" s="26"/>
    </row>
    <row r="52" ht="15.75" customHeight="1">
      <c r="A52" s="25"/>
      <c r="B52" s="26"/>
      <c r="C52" s="26">
        <v>23.0</v>
      </c>
      <c r="D52" s="26">
        <v>106.8</v>
      </c>
      <c r="E52" s="26">
        <v>105.8</v>
      </c>
      <c r="F52" s="26">
        <v>107.8</v>
      </c>
      <c r="G52" s="26">
        <v>-1.93</v>
      </c>
      <c r="H52" s="26">
        <v>71.0</v>
      </c>
      <c r="I52" s="26"/>
      <c r="J52" s="26"/>
      <c r="K52" s="26">
        <v>23.0</v>
      </c>
      <c r="L52" s="26">
        <v>109.2</v>
      </c>
      <c r="M52" s="26">
        <v>108.3</v>
      </c>
      <c r="N52" s="26">
        <v>110.1</v>
      </c>
      <c r="O52" s="26">
        <v>-2.49</v>
      </c>
      <c r="P52" s="26">
        <v>63.0</v>
      </c>
      <c r="Q52" s="26"/>
      <c r="R52" s="26">
        <v>23.0</v>
      </c>
      <c r="S52" s="26">
        <v>114.1</v>
      </c>
      <c r="T52" s="26">
        <v>113.1</v>
      </c>
      <c r="U52" s="26">
        <v>115.0</v>
      </c>
      <c r="V52" s="26">
        <v>-1.83</v>
      </c>
      <c r="W52" s="26">
        <v>73.0</v>
      </c>
      <c r="X52" s="26"/>
      <c r="Y52" s="26"/>
      <c r="Z52" s="26">
        <v>23.0</v>
      </c>
      <c r="AA52" s="26">
        <v>103.9</v>
      </c>
      <c r="AB52" s="26">
        <v>100.5</v>
      </c>
      <c r="AC52" s="26">
        <v>107.3</v>
      </c>
      <c r="AD52" s="26">
        <v>-4.01</v>
      </c>
      <c r="AE52" s="26">
        <v>40.0</v>
      </c>
      <c r="AF52" s="26"/>
      <c r="AG52" s="26"/>
      <c r="AH52" s="26"/>
      <c r="AI52" s="26">
        <v>22.0</v>
      </c>
      <c r="AJ52" s="26">
        <v>123.0</v>
      </c>
      <c r="AK52" s="26">
        <v>122.0</v>
      </c>
      <c r="AL52" s="26">
        <v>123.9</v>
      </c>
      <c r="AM52" s="26">
        <v>-2.5</v>
      </c>
      <c r="AN52" s="26">
        <v>62.0</v>
      </c>
      <c r="AO52" s="26"/>
      <c r="AP52" s="26"/>
      <c r="AQ52" s="26"/>
      <c r="AR52" s="26"/>
      <c r="AS52" s="26">
        <v>23.0</v>
      </c>
      <c r="AT52" s="26">
        <v>132.2</v>
      </c>
      <c r="AU52" s="26">
        <v>130.9</v>
      </c>
      <c r="AV52" s="26">
        <v>133.5</v>
      </c>
      <c r="AW52" s="26">
        <v>0.74</v>
      </c>
      <c r="AX52" s="26">
        <v>111.0</v>
      </c>
      <c r="AY52" s="26"/>
      <c r="AZ52" s="26"/>
      <c r="BA52" s="26">
        <v>23.0</v>
      </c>
      <c r="BB52" s="26">
        <v>95.8</v>
      </c>
      <c r="BC52" s="26">
        <v>94.7</v>
      </c>
      <c r="BD52" s="26">
        <v>96.9</v>
      </c>
      <c r="BE52" s="26">
        <v>-3.45</v>
      </c>
      <c r="BF52" s="26">
        <v>48.0</v>
      </c>
      <c r="BG52" s="26"/>
      <c r="BH52" s="26"/>
      <c r="BI52" s="26"/>
      <c r="BJ52" s="26"/>
      <c r="BK52" s="26"/>
      <c r="BL52" s="26"/>
    </row>
    <row r="53" ht="15.75" customHeight="1">
      <c r="A53" s="25"/>
      <c r="B53" s="26"/>
      <c r="C53" s="26">
        <v>24.0</v>
      </c>
      <c r="D53" s="26">
        <v>107.2</v>
      </c>
      <c r="E53" s="26">
        <v>106.2</v>
      </c>
      <c r="F53" s="26">
        <v>108.2</v>
      </c>
      <c r="G53" s="26">
        <v>-1.87</v>
      </c>
      <c r="H53" s="26">
        <v>72.0</v>
      </c>
      <c r="I53" s="26"/>
      <c r="J53" s="26"/>
      <c r="K53" s="26">
        <v>24.0</v>
      </c>
      <c r="L53" s="26">
        <v>109.4</v>
      </c>
      <c r="M53" s="26">
        <v>108.6</v>
      </c>
      <c r="N53" s="26">
        <v>110.3</v>
      </c>
      <c r="O53" s="26">
        <v>-2.44</v>
      </c>
      <c r="P53" s="26">
        <v>63.0</v>
      </c>
      <c r="Q53" s="26"/>
      <c r="R53" s="26">
        <v>24.0</v>
      </c>
      <c r="S53" s="26">
        <v>114.4</v>
      </c>
      <c r="T53" s="26">
        <v>113.4</v>
      </c>
      <c r="U53" s="26">
        <v>115.3</v>
      </c>
      <c r="V53" s="26">
        <v>-1.78</v>
      </c>
      <c r="W53" s="26">
        <v>73.0</v>
      </c>
      <c r="X53" s="26"/>
      <c r="Y53" s="26"/>
      <c r="Z53" s="26">
        <v>24.0</v>
      </c>
      <c r="AA53" s="26">
        <v>104.4</v>
      </c>
      <c r="AB53" s="26">
        <v>101.1</v>
      </c>
      <c r="AC53" s="26">
        <v>107.7</v>
      </c>
      <c r="AD53" s="26">
        <v>-3.93</v>
      </c>
      <c r="AE53" s="26">
        <v>41.0</v>
      </c>
      <c r="AF53" s="26"/>
      <c r="AG53" s="26"/>
      <c r="AH53" s="26"/>
      <c r="AI53" s="26">
        <v>23.0</v>
      </c>
      <c r="AJ53" s="26">
        <v>123.3</v>
      </c>
      <c r="AK53" s="26">
        <v>122.3</v>
      </c>
      <c r="AL53" s="26">
        <v>124.3</v>
      </c>
      <c r="AM53" s="26">
        <v>-2.45</v>
      </c>
      <c r="AN53" s="26">
        <v>63.0</v>
      </c>
      <c r="AO53" s="26"/>
      <c r="AP53" s="26"/>
      <c r="AQ53" s="26"/>
      <c r="AR53" s="26"/>
      <c r="AS53" s="26">
        <v>24.0</v>
      </c>
      <c r="AT53" s="26">
        <v>132.8</v>
      </c>
      <c r="AU53" s="26">
        <v>131.5</v>
      </c>
      <c r="AV53" s="26">
        <v>134.0</v>
      </c>
      <c r="AW53" s="26">
        <v>0.85</v>
      </c>
      <c r="AX53" s="26">
        <v>113.0</v>
      </c>
      <c r="AY53" s="26"/>
      <c r="AZ53" s="26"/>
      <c r="BA53" s="26">
        <v>24.0</v>
      </c>
      <c r="BB53" s="26">
        <v>96.2</v>
      </c>
      <c r="BC53" s="26">
        <v>95.1</v>
      </c>
      <c r="BD53" s="26">
        <v>97.3</v>
      </c>
      <c r="BE53" s="26">
        <v>-3.31</v>
      </c>
      <c r="BF53" s="26">
        <v>50.0</v>
      </c>
      <c r="BG53" s="26"/>
      <c r="BH53" s="26"/>
      <c r="BI53" s="26"/>
      <c r="BJ53" s="26"/>
      <c r="BK53" s="26"/>
      <c r="BL53" s="26"/>
    </row>
    <row r="54" ht="15.75" customHeight="1">
      <c r="A54" s="25"/>
      <c r="B54" s="26"/>
      <c r="C54" s="26">
        <v>25.0</v>
      </c>
      <c r="D54" s="26">
        <v>107.5</v>
      </c>
      <c r="E54" s="26">
        <v>106.6</v>
      </c>
      <c r="F54" s="26">
        <v>108.5</v>
      </c>
      <c r="G54" s="26">
        <v>-1.81</v>
      </c>
      <c r="H54" s="26">
        <v>73.0</v>
      </c>
      <c r="I54" s="26"/>
      <c r="J54" s="26"/>
      <c r="K54" s="26">
        <v>25.0</v>
      </c>
      <c r="L54" s="26">
        <v>109.7</v>
      </c>
      <c r="M54" s="26">
        <v>108.9</v>
      </c>
      <c r="N54" s="26">
        <v>110.5</v>
      </c>
      <c r="O54" s="26">
        <v>-2.4</v>
      </c>
      <c r="P54" s="26">
        <v>64.0</v>
      </c>
      <c r="Q54" s="26"/>
      <c r="R54" s="26">
        <v>25.0</v>
      </c>
      <c r="S54" s="26">
        <v>114.7</v>
      </c>
      <c r="T54" s="26">
        <v>113.8</v>
      </c>
      <c r="U54" s="26">
        <v>115.6</v>
      </c>
      <c r="V54" s="26">
        <v>-1.74</v>
      </c>
      <c r="W54" s="26">
        <v>74.0</v>
      </c>
      <c r="X54" s="26"/>
      <c r="Y54" s="26"/>
      <c r="Z54" s="26">
        <v>25.0</v>
      </c>
      <c r="AA54" s="26">
        <v>104.9</v>
      </c>
      <c r="AB54" s="26">
        <v>101.6</v>
      </c>
      <c r="AC54" s="26">
        <v>108.2</v>
      </c>
      <c r="AD54" s="26">
        <v>-3.86</v>
      </c>
      <c r="AE54" s="26">
        <v>42.0</v>
      </c>
      <c r="AF54" s="26"/>
      <c r="AG54" s="26"/>
      <c r="AH54" s="26"/>
      <c r="AI54" s="26">
        <v>24.0</v>
      </c>
      <c r="AJ54" s="26">
        <v>123.7</v>
      </c>
      <c r="AK54" s="26">
        <v>122.6</v>
      </c>
      <c r="AL54" s="26">
        <v>124.9</v>
      </c>
      <c r="AM54" s="26">
        <v>-2.38</v>
      </c>
      <c r="AN54" s="26">
        <v>64.0</v>
      </c>
      <c r="AO54" s="26"/>
      <c r="AP54" s="26"/>
      <c r="AQ54" s="26"/>
      <c r="AR54" s="26"/>
      <c r="AS54" s="26">
        <v>25.0</v>
      </c>
      <c r="AT54" s="26">
        <v>133.3</v>
      </c>
      <c r="AU54" s="26">
        <v>132.1</v>
      </c>
      <c r="AV54" s="26">
        <v>134.5</v>
      </c>
      <c r="AW54" s="26">
        <v>0.96</v>
      </c>
      <c r="AX54" s="26">
        <v>114.0</v>
      </c>
      <c r="AY54" s="26"/>
      <c r="AZ54" s="26"/>
      <c r="BA54" s="26">
        <v>25.0</v>
      </c>
      <c r="BB54" s="26">
        <v>96.6</v>
      </c>
      <c r="BC54" s="26">
        <v>95.6</v>
      </c>
      <c r="BD54" s="26">
        <v>97.7</v>
      </c>
      <c r="BE54" s="26">
        <v>-3.18</v>
      </c>
      <c r="BF54" s="26">
        <v>52.0</v>
      </c>
      <c r="BG54" s="26"/>
      <c r="BH54" s="26"/>
      <c r="BI54" s="26"/>
      <c r="BJ54" s="26"/>
      <c r="BK54" s="26"/>
      <c r="BL54" s="26"/>
    </row>
    <row r="55" ht="15.75" customHeight="1">
      <c r="A55" s="25"/>
      <c r="B55" s="26"/>
      <c r="C55" s="26">
        <v>26.0</v>
      </c>
      <c r="D55" s="26">
        <v>107.9</v>
      </c>
      <c r="E55" s="26">
        <v>106.9</v>
      </c>
      <c r="F55" s="26">
        <v>108.9</v>
      </c>
      <c r="G55" s="26">
        <v>-1.75</v>
      </c>
      <c r="H55" s="26">
        <v>74.0</v>
      </c>
      <c r="I55" s="26"/>
      <c r="J55" s="26"/>
      <c r="K55" s="26">
        <v>26.0</v>
      </c>
      <c r="L55" s="26">
        <v>109.9</v>
      </c>
      <c r="M55" s="26">
        <v>109.1</v>
      </c>
      <c r="N55" s="26">
        <v>110.7</v>
      </c>
      <c r="O55" s="26">
        <v>-2.36</v>
      </c>
      <c r="P55" s="26">
        <v>65.0</v>
      </c>
      <c r="Q55" s="26"/>
      <c r="R55" s="26">
        <v>26.0</v>
      </c>
      <c r="S55" s="26">
        <v>115.0</v>
      </c>
      <c r="T55" s="26">
        <v>114.1</v>
      </c>
      <c r="U55" s="26">
        <v>115.9</v>
      </c>
      <c r="V55" s="26">
        <v>-1.7</v>
      </c>
      <c r="W55" s="26">
        <v>75.0</v>
      </c>
      <c r="X55" s="26"/>
      <c r="Y55" s="26"/>
      <c r="Z55" s="26">
        <v>26.0</v>
      </c>
      <c r="AA55" s="26">
        <v>105.4</v>
      </c>
      <c r="AB55" s="26">
        <v>102.1</v>
      </c>
      <c r="AC55" s="26">
        <v>108.7</v>
      </c>
      <c r="AD55" s="26">
        <v>-3.79</v>
      </c>
      <c r="AE55" s="26">
        <v>43.0</v>
      </c>
      <c r="AF55" s="26"/>
      <c r="AG55" s="26"/>
      <c r="AH55" s="26"/>
      <c r="AI55" s="26">
        <v>25.0</v>
      </c>
      <c r="AJ55" s="26">
        <v>124.3</v>
      </c>
      <c r="AK55" s="26">
        <v>123.0</v>
      </c>
      <c r="AL55" s="26">
        <v>125.5</v>
      </c>
      <c r="AM55" s="26">
        <v>-2.29</v>
      </c>
      <c r="AN55" s="26">
        <v>66.0</v>
      </c>
      <c r="AO55" s="26"/>
      <c r="AP55" s="26"/>
      <c r="AQ55" s="26"/>
      <c r="AR55" s="26"/>
      <c r="AS55" s="26">
        <v>26.0</v>
      </c>
      <c r="AT55" s="26">
        <v>133.8</v>
      </c>
      <c r="AU55" s="26">
        <v>132.6</v>
      </c>
      <c r="AV55" s="26">
        <v>135.0</v>
      </c>
      <c r="AW55" s="26">
        <v>1.06</v>
      </c>
      <c r="AX55" s="26">
        <v>116.0</v>
      </c>
      <c r="AY55" s="26"/>
      <c r="AZ55" s="26"/>
      <c r="BA55" s="26">
        <v>26.0</v>
      </c>
      <c r="BB55" s="26">
        <v>97.0</v>
      </c>
      <c r="BC55" s="26">
        <v>96.0</v>
      </c>
      <c r="BD55" s="26">
        <v>98.0</v>
      </c>
      <c r="BE55" s="26">
        <v>-3.05</v>
      </c>
      <c r="BF55" s="26">
        <v>54.0</v>
      </c>
      <c r="BG55" s="26"/>
      <c r="BH55" s="26"/>
      <c r="BI55" s="26"/>
      <c r="BJ55" s="26"/>
      <c r="BK55" s="26"/>
      <c r="BL55" s="26"/>
    </row>
    <row r="56" ht="15.75" customHeight="1">
      <c r="A56" s="25"/>
      <c r="B56" s="26"/>
      <c r="C56" s="26">
        <v>27.0</v>
      </c>
      <c r="D56" s="26">
        <v>108.2</v>
      </c>
      <c r="E56" s="26">
        <v>107.3</v>
      </c>
      <c r="F56" s="26">
        <v>109.2</v>
      </c>
      <c r="G56" s="26">
        <v>-1.69</v>
      </c>
      <c r="H56" s="26">
        <v>75.0</v>
      </c>
      <c r="I56" s="26"/>
      <c r="J56" s="26"/>
      <c r="K56" s="26">
        <v>27.0</v>
      </c>
      <c r="L56" s="26">
        <v>110.2</v>
      </c>
      <c r="M56" s="26">
        <v>109.4</v>
      </c>
      <c r="N56" s="26">
        <v>111.0</v>
      </c>
      <c r="O56" s="26">
        <v>-2.32</v>
      </c>
      <c r="P56" s="26">
        <v>65.0</v>
      </c>
      <c r="Q56" s="26"/>
      <c r="R56" s="26">
        <v>27.0</v>
      </c>
      <c r="S56" s="26">
        <v>115.3</v>
      </c>
      <c r="T56" s="26">
        <v>114.4</v>
      </c>
      <c r="U56" s="26">
        <v>116.2</v>
      </c>
      <c r="V56" s="26">
        <v>-1.66</v>
      </c>
      <c r="W56" s="26">
        <v>75.0</v>
      </c>
      <c r="X56" s="26"/>
      <c r="Y56" s="26"/>
      <c r="Z56" s="26">
        <v>27.0</v>
      </c>
      <c r="AA56" s="26">
        <v>105.9</v>
      </c>
      <c r="AB56" s="26">
        <v>102.6</v>
      </c>
      <c r="AC56" s="26">
        <v>109.2</v>
      </c>
      <c r="AD56" s="26">
        <v>-3.72</v>
      </c>
      <c r="AE56" s="26">
        <v>44.0</v>
      </c>
      <c r="AF56" s="26"/>
      <c r="AG56" s="26"/>
      <c r="AH56" s="26"/>
      <c r="AI56" s="26">
        <v>26.0</v>
      </c>
      <c r="AJ56" s="26">
        <v>125.0</v>
      </c>
      <c r="AK56" s="26">
        <v>123.4</v>
      </c>
      <c r="AL56" s="26">
        <v>126.7</v>
      </c>
      <c r="AM56" s="26">
        <v>-2.16</v>
      </c>
      <c r="AN56" s="26">
        <v>68.0</v>
      </c>
      <c r="AO56" s="26"/>
      <c r="AP56" s="26"/>
      <c r="AQ56" s="26"/>
      <c r="AR56" s="26"/>
      <c r="AS56" s="26">
        <v>27.0</v>
      </c>
      <c r="AT56" s="26">
        <v>134.3</v>
      </c>
      <c r="AU56" s="26">
        <v>133.1</v>
      </c>
      <c r="AV56" s="26">
        <v>135.5</v>
      </c>
      <c r="AW56" s="26">
        <v>1.16</v>
      </c>
      <c r="AX56" s="26">
        <v>117.0</v>
      </c>
      <c r="AY56" s="26"/>
      <c r="AZ56" s="26"/>
      <c r="BA56" s="26">
        <v>27.0</v>
      </c>
      <c r="BB56" s="26">
        <v>97.3</v>
      </c>
      <c r="BC56" s="26">
        <v>96.4</v>
      </c>
      <c r="BD56" s="26">
        <v>98.2</v>
      </c>
      <c r="BE56" s="26">
        <v>-2.95</v>
      </c>
      <c r="BF56" s="26">
        <v>56.0</v>
      </c>
      <c r="BG56" s="26"/>
      <c r="BH56" s="26"/>
      <c r="BI56" s="26"/>
      <c r="BJ56" s="26"/>
      <c r="BK56" s="26"/>
      <c r="BL56" s="26"/>
    </row>
    <row r="57" ht="15.75" customHeight="1">
      <c r="A57" s="25"/>
      <c r="B57" s="26"/>
      <c r="C57" s="26">
        <v>28.0</v>
      </c>
      <c r="D57" s="26">
        <v>108.6</v>
      </c>
      <c r="E57" s="26">
        <v>107.6</v>
      </c>
      <c r="F57" s="26">
        <v>109.6</v>
      </c>
      <c r="G57" s="26">
        <v>-1.63</v>
      </c>
      <c r="H57" s="26">
        <v>76.0</v>
      </c>
      <c r="I57" s="26"/>
      <c r="J57" s="26"/>
      <c r="K57" s="26">
        <v>28.0</v>
      </c>
      <c r="L57" s="26">
        <v>110.4</v>
      </c>
      <c r="M57" s="26">
        <v>109.6</v>
      </c>
      <c r="N57" s="26">
        <v>111.2</v>
      </c>
      <c r="O57" s="26">
        <v>-2.27</v>
      </c>
      <c r="P57" s="26">
        <v>66.0</v>
      </c>
      <c r="Q57" s="26"/>
      <c r="R57" s="26">
        <v>28.0</v>
      </c>
      <c r="S57" s="26">
        <v>115.6</v>
      </c>
      <c r="T57" s="26">
        <v>114.7</v>
      </c>
      <c r="U57" s="26">
        <v>116.4</v>
      </c>
      <c r="V57" s="26">
        <v>-1.62</v>
      </c>
      <c r="W57" s="26">
        <v>76.0</v>
      </c>
      <c r="X57" s="26"/>
      <c r="Y57" s="26"/>
      <c r="Z57" s="26">
        <v>28.0</v>
      </c>
      <c r="AA57" s="26">
        <v>106.4</v>
      </c>
      <c r="AB57" s="26">
        <v>103.2</v>
      </c>
      <c r="AC57" s="26">
        <v>109.6</v>
      </c>
      <c r="AD57" s="26">
        <v>-3.65</v>
      </c>
      <c r="AE57" s="26">
        <v>45.0</v>
      </c>
      <c r="AF57" s="26"/>
      <c r="AG57" s="26"/>
      <c r="AH57" s="26"/>
      <c r="AI57" s="26">
        <v>27.0</v>
      </c>
      <c r="AJ57" s="26">
        <v>126.4</v>
      </c>
      <c r="AK57" s="26">
        <v>124.2</v>
      </c>
      <c r="AL57" s="26">
        <v>128.6</v>
      </c>
      <c r="AM57" s="26">
        <v>-1.93</v>
      </c>
      <c r="AN57" s="26">
        <v>71.0</v>
      </c>
      <c r="AO57" s="26"/>
      <c r="AP57" s="26"/>
      <c r="AQ57" s="26"/>
      <c r="AR57" s="26"/>
      <c r="AS57" s="26">
        <v>28.0</v>
      </c>
      <c r="AT57" s="26">
        <v>134.8</v>
      </c>
      <c r="AU57" s="26">
        <v>133.6</v>
      </c>
      <c r="AV57" s="26">
        <v>136.0</v>
      </c>
      <c r="AW57" s="26">
        <v>1.27</v>
      </c>
      <c r="AX57" s="26">
        <v>119.0</v>
      </c>
      <c r="AY57" s="26"/>
      <c r="AZ57" s="26"/>
      <c r="BA57" s="26">
        <v>28.0</v>
      </c>
      <c r="BB57" s="26">
        <v>97.6</v>
      </c>
      <c r="BC57" s="26">
        <v>96.8</v>
      </c>
      <c r="BD57" s="26">
        <v>98.4</v>
      </c>
      <c r="BE57" s="26">
        <v>-2.85</v>
      </c>
      <c r="BF57" s="26">
        <v>57.0</v>
      </c>
      <c r="BG57" s="26"/>
      <c r="BH57" s="26"/>
      <c r="BI57" s="26"/>
      <c r="BJ57" s="26"/>
      <c r="BK57" s="26"/>
      <c r="BL57" s="26"/>
    </row>
    <row r="58" ht="15.75" customHeight="1">
      <c r="A58" s="25"/>
      <c r="B58" s="26"/>
      <c r="C58" s="26">
        <v>29.0</v>
      </c>
      <c r="D58" s="26">
        <v>109.0</v>
      </c>
      <c r="E58" s="26">
        <v>108.0</v>
      </c>
      <c r="F58" s="26">
        <v>109.9</v>
      </c>
      <c r="G58" s="26">
        <v>-1.57</v>
      </c>
      <c r="H58" s="26">
        <v>77.0</v>
      </c>
      <c r="I58" s="26"/>
      <c r="J58" s="26"/>
      <c r="K58" s="26">
        <v>29.0</v>
      </c>
      <c r="L58" s="26">
        <v>110.6</v>
      </c>
      <c r="M58" s="26">
        <v>109.8</v>
      </c>
      <c r="N58" s="26">
        <v>111.4</v>
      </c>
      <c r="O58" s="26">
        <v>-2.23</v>
      </c>
      <c r="P58" s="26">
        <v>66.0</v>
      </c>
      <c r="Q58" s="26"/>
      <c r="R58" s="26">
        <v>29.0</v>
      </c>
      <c r="S58" s="26">
        <v>115.9</v>
      </c>
      <c r="T58" s="26">
        <v>115.0</v>
      </c>
      <c r="U58" s="26">
        <v>116.7</v>
      </c>
      <c r="V58" s="26">
        <v>-1.58</v>
      </c>
      <c r="W58" s="26">
        <v>76.0</v>
      </c>
      <c r="X58" s="26"/>
      <c r="Y58" s="26"/>
      <c r="Z58" s="26">
        <v>29.0</v>
      </c>
      <c r="AA58" s="26">
        <v>106.9</v>
      </c>
      <c r="AB58" s="26">
        <v>103.6</v>
      </c>
      <c r="AC58" s="26">
        <v>110.1</v>
      </c>
      <c r="AD58" s="26">
        <v>-3.58</v>
      </c>
      <c r="AE58" s="26">
        <v>46.0</v>
      </c>
      <c r="AF58" s="26"/>
      <c r="AG58" s="26"/>
      <c r="AH58" s="26"/>
      <c r="AI58" s="26">
        <v>28.0</v>
      </c>
      <c r="AJ58" s="26">
        <v>128.1</v>
      </c>
      <c r="AK58" s="26">
        <v>126.1</v>
      </c>
      <c r="AL58" s="26">
        <v>130.0</v>
      </c>
      <c r="AM58" s="26">
        <v>-1.65</v>
      </c>
      <c r="AN58" s="26">
        <v>75.0</v>
      </c>
      <c r="AO58" s="26"/>
      <c r="AP58" s="26"/>
      <c r="AQ58" s="26"/>
      <c r="AR58" s="26"/>
      <c r="AS58" s="26">
        <v>29.0</v>
      </c>
      <c r="AT58" s="26">
        <v>135.4</v>
      </c>
      <c r="AU58" s="26">
        <v>134.1</v>
      </c>
      <c r="AV58" s="26">
        <v>136.7</v>
      </c>
      <c r="AW58" s="26">
        <v>1.38</v>
      </c>
      <c r="AX58" s="26">
        <v>121.0</v>
      </c>
      <c r="AY58" s="26"/>
      <c r="AZ58" s="26"/>
      <c r="BA58" s="26">
        <v>29.0</v>
      </c>
      <c r="BB58" s="26">
        <v>97.8</v>
      </c>
      <c r="BC58" s="26">
        <v>97.1</v>
      </c>
      <c r="BD58" s="26">
        <v>98.6</v>
      </c>
      <c r="BE58" s="26">
        <v>-2.77</v>
      </c>
      <c r="BF58" s="26">
        <v>58.0</v>
      </c>
      <c r="BG58" s="26"/>
      <c r="BH58" s="26"/>
      <c r="BI58" s="26"/>
      <c r="BJ58" s="26"/>
      <c r="BK58" s="26"/>
      <c r="BL58" s="26"/>
    </row>
    <row r="59" ht="15.75" customHeight="1">
      <c r="A59" s="25"/>
      <c r="B59" s="26"/>
      <c r="C59" s="26">
        <v>30.0</v>
      </c>
      <c r="D59" s="26">
        <v>109.3</v>
      </c>
      <c r="E59" s="26">
        <v>108.4</v>
      </c>
      <c r="F59" s="26">
        <v>110.2</v>
      </c>
      <c r="G59" s="26">
        <v>-1.51</v>
      </c>
      <c r="H59" s="26">
        <v>77.0</v>
      </c>
      <c r="I59" s="26"/>
      <c r="J59" s="26"/>
      <c r="K59" s="26">
        <v>30.0</v>
      </c>
      <c r="L59" s="26">
        <v>110.9</v>
      </c>
      <c r="M59" s="26">
        <v>110.1</v>
      </c>
      <c r="N59" s="26">
        <v>111.7</v>
      </c>
      <c r="O59" s="26">
        <v>-2.19</v>
      </c>
      <c r="P59" s="26">
        <v>67.0</v>
      </c>
      <c r="Q59" s="26"/>
      <c r="R59" s="26">
        <v>30.0</v>
      </c>
      <c r="S59" s="26">
        <v>116.1</v>
      </c>
      <c r="T59" s="26">
        <v>115.3</v>
      </c>
      <c r="U59" s="26">
        <v>117.0</v>
      </c>
      <c r="V59" s="26">
        <v>-1.55</v>
      </c>
      <c r="W59" s="26">
        <v>77.0</v>
      </c>
      <c r="X59" s="26"/>
      <c r="Y59" s="26"/>
      <c r="Z59" s="26">
        <v>30.0</v>
      </c>
      <c r="AA59" s="26">
        <v>107.3</v>
      </c>
      <c r="AB59" s="26">
        <v>104.1</v>
      </c>
      <c r="AC59" s="26">
        <v>110.5</v>
      </c>
      <c r="AD59" s="26">
        <v>-3.51</v>
      </c>
      <c r="AE59" s="26">
        <v>47.0</v>
      </c>
      <c r="AF59" s="26"/>
      <c r="AG59" s="26"/>
      <c r="AH59" s="26"/>
      <c r="AI59" s="26">
        <v>29.0</v>
      </c>
      <c r="AJ59" s="26">
        <v>129.4</v>
      </c>
      <c r="AK59" s="26">
        <v>127.5</v>
      </c>
      <c r="AL59" s="26">
        <v>131.3</v>
      </c>
      <c r="AM59" s="26">
        <v>-1.44</v>
      </c>
      <c r="AN59" s="26">
        <v>78.0</v>
      </c>
      <c r="AO59" s="26"/>
      <c r="AP59" s="26"/>
      <c r="AQ59" s="26"/>
      <c r="AR59" s="26"/>
      <c r="AS59" s="26">
        <v>30.0</v>
      </c>
      <c r="AT59" s="26">
        <v>136.0</v>
      </c>
      <c r="AU59" s="26">
        <v>134.6</v>
      </c>
      <c r="AV59" s="26">
        <v>137.4</v>
      </c>
      <c r="AW59" s="26">
        <v>1.51</v>
      </c>
      <c r="AX59" s="26">
        <v>123.0</v>
      </c>
      <c r="AY59" s="26"/>
      <c r="AZ59" s="26"/>
      <c r="BA59" s="26">
        <v>30.0</v>
      </c>
      <c r="BB59" s="26">
        <v>98.1</v>
      </c>
      <c r="BC59" s="26">
        <v>97.3</v>
      </c>
      <c r="BD59" s="26">
        <v>98.8</v>
      </c>
      <c r="BE59" s="26">
        <v>-2.7</v>
      </c>
      <c r="BF59" s="26">
        <v>59.0</v>
      </c>
      <c r="BG59" s="26"/>
      <c r="BH59" s="26"/>
      <c r="BI59" s="26"/>
      <c r="BJ59" s="26"/>
      <c r="BK59" s="26"/>
      <c r="BL59" s="26"/>
    </row>
    <row r="60" ht="15.75" customHeight="1">
      <c r="A60" s="25"/>
      <c r="B60" s="26"/>
      <c r="C60" s="26">
        <v>31.0</v>
      </c>
      <c r="D60" s="26">
        <v>109.6</v>
      </c>
      <c r="E60" s="26">
        <v>108.7</v>
      </c>
      <c r="F60" s="26">
        <v>110.4</v>
      </c>
      <c r="G60" s="26">
        <v>-1.46</v>
      </c>
      <c r="H60" s="26">
        <v>78.0</v>
      </c>
      <c r="I60" s="26"/>
      <c r="J60" s="26"/>
      <c r="K60" s="26">
        <v>31.0</v>
      </c>
      <c r="L60" s="26">
        <v>111.1</v>
      </c>
      <c r="M60" s="26">
        <v>110.3</v>
      </c>
      <c r="N60" s="26">
        <v>111.9</v>
      </c>
      <c r="O60" s="26">
        <v>-2.15</v>
      </c>
      <c r="P60" s="26">
        <v>68.0</v>
      </c>
      <c r="Q60" s="26"/>
      <c r="R60" s="26">
        <v>31.0</v>
      </c>
      <c r="S60" s="26">
        <v>116.4</v>
      </c>
      <c r="T60" s="26">
        <v>115.5</v>
      </c>
      <c r="U60" s="26">
        <v>117.2</v>
      </c>
      <c r="V60" s="26">
        <v>-1.51</v>
      </c>
      <c r="W60" s="26">
        <v>77.0</v>
      </c>
      <c r="X60" s="26"/>
      <c r="Y60" s="26"/>
      <c r="Z60" s="26">
        <v>31.0</v>
      </c>
      <c r="AA60" s="26">
        <v>107.8</v>
      </c>
      <c r="AB60" s="26">
        <v>104.6</v>
      </c>
      <c r="AC60" s="26">
        <v>111.0</v>
      </c>
      <c r="AD60" s="26">
        <v>-3.44</v>
      </c>
      <c r="AE60" s="26">
        <v>48.0</v>
      </c>
      <c r="AF60" s="26"/>
      <c r="AG60" s="26"/>
      <c r="AH60" s="26"/>
      <c r="AI60" s="26">
        <v>30.0</v>
      </c>
      <c r="AJ60" s="26">
        <v>130.7</v>
      </c>
      <c r="AK60" s="26">
        <v>128.7</v>
      </c>
      <c r="AL60" s="26">
        <v>132.7</v>
      </c>
      <c r="AM60" s="26">
        <v>-1.22</v>
      </c>
      <c r="AN60" s="26">
        <v>82.0</v>
      </c>
      <c r="AO60" s="26"/>
      <c r="AP60" s="26"/>
      <c r="AQ60" s="26"/>
      <c r="AR60" s="26"/>
      <c r="AS60" s="26">
        <v>31.0</v>
      </c>
      <c r="AT60" s="26">
        <v>136.8</v>
      </c>
      <c r="AU60" s="26">
        <v>135.2</v>
      </c>
      <c r="AV60" s="26">
        <v>138.5</v>
      </c>
      <c r="AW60" s="26">
        <v>1.67</v>
      </c>
      <c r="AX60" s="26">
        <v>125.0</v>
      </c>
      <c r="AY60" s="26"/>
      <c r="AZ60" s="26"/>
      <c r="BA60" s="26">
        <v>31.0</v>
      </c>
      <c r="BB60" s="26">
        <v>98.3</v>
      </c>
      <c r="BC60" s="26">
        <v>97.5</v>
      </c>
      <c r="BD60" s="26">
        <v>99.0</v>
      </c>
      <c r="BE60" s="26">
        <v>-2.64</v>
      </c>
      <c r="BF60" s="26">
        <v>60.0</v>
      </c>
      <c r="BG60" s="26"/>
      <c r="BH60" s="26"/>
      <c r="BI60" s="26"/>
      <c r="BJ60" s="26"/>
      <c r="BK60" s="26"/>
      <c r="BL60" s="26"/>
    </row>
    <row r="61" ht="15.75" customHeight="1">
      <c r="A61" s="25"/>
      <c r="B61" s="26"/>
      <c r="C61" s="26">
        <v>32.0</v>
      </c>
      <c r="D61" s="26">
        <v>109.8</v>
      </c>
      <c r="E61" s="26">
        <v>109.0</v>
      </c>
      <c r="F61" s="26">
        <v>110.6</v>
      </c>
      <c r="G61" s="26">
        <v>-1.42</v>
      </c>
      <c r="H61" s="26">
        <v>79.0</v>
      </c>
      <c r="I61" s="26"/>
      <c r="J61" s="26"/>
      <c r="K61" s="26">
        <v>32.0</v>
      </c>
      <c r="L61" s="26">
        <v>111.4</v>
      </c>
      <c r="M61" s="26">
        <v>110.5</v>
      </c>
      <c r="N61" s="26">
        <v>112.2</v>
      </c>
      <c r="O61" s="26">
        <v>-2.11</v>
      </c>
      <c r="P61" s="26">
        <v>68.0</v>
      </c>
      <c r="Q61" s="26"/>
      <c r="R61" s="26">
        <v>32.0</v>
      </c>
      <c r="S61" s="26">
        <v>116.6</v>
      </c>
      <c r="T61" s="26">
        <v>115.8</v>
      </c>
      <c r="U61" s="26">
        <v>117.5</v>
      </c>
      <c r="V61" s="26">
        <v>-1.47</v>
      </c>
      <c r="W61" s="26">
        <v>78.0</v>
      </c>
      <c r="X61" s="26"/>
      <c r="Y61" s="26"/>
      <c r="Z61" s="26">
        <v>32.0</v>
      </c>
      <c r="AA61" s="26">
        <v>108.3</v>
      </c>
      <c r="AB61" s="26">
        <v>105.1</v>
      </c>
      <c r="AC61" s="26">
        <v>111.4</v>
      </c>
      <c r="AD61" s="26">
        <v>-3.37</v>
      </c>
      <c r="AE61" s="26">
        <v>49.0</v>
      </c>
      <c r="AF61" s="26"/>
      <c r="AG61" s="26"/>
      <c r="AH61" s="26"/>
      <c r="AI61" s="26">
        <v>31.0</v>
      </c>
      <c r="AJ61" s="26">
        <v>132.3</v>
      </c>
      <c r="AK61" s="26">
        <v>130.1</v>
      </c>
      <c r="AL61" s="26">
        <v>134.5</v>
      </c>
      <c r="AM61" s="26">
        <v>-0.95</v>
      </c>
      <c r="AN61" s="26">
        <v>86.0</v>
      </c>
      <c r="AO61" s="26"/>
      <c r="AP61" s="26"/>
      <c r="AQ61" s="26"/>
      <c r="AR61" s="26"/>
      <c r="AS61" s="26">
        <v>32.0</v>
      </c>
      <c r="AT61" s="26">
        <v>137.9</v>
      </c>
      <c r="AU61" s="26">
        <v>136.1</v>
      </c>
      <c r="AV61" s="26">
        <v>139.8</v>
      </c>
      <c r="AW61" s="26">
        <v>1.89</v>
      </c>
      <c r="AX61" s="26">
        <v>128.0</v>
      </c>
      <c r="AY61" s="26"/>
      <c r="AZ61" s="26"/>
      <c r="BA61" s="26">
        <v>32.0</v>
      </c>
      <c r="BB61" s="26">
        <v>98.4</v>
      </c>
      <c r="BC61" s="26">
        <v>97.7</v>
      </c>
      <c r="BD61" s="26">
        <v>99.1</v>
      </c>
      <c r="BE61" s="26">
        <v>-2.58</v>
      </c>
      <c r="BF61" s="26">
        <v>61.0</v>
      </c>
      <c r="BG61" s="26"/>
      <c r="BH61" s="26"/>
      <c r="BI61" s="26"/>
      <c r="BJ61" s="26"/>
      <c r="BK61" s="26"/>
      <c r="BL61" s="26"/>
    </row>
    <row r="62" ht="15.75" customHeight="1">
      <c r="A62" s="25"/>
      <c r="B62" s="26"/>
      <c r="C62" s="26">
        <v>33.0</v>
      </c>
      <c r="D62" s="26">
        <v>110.1</v>
      </c>
      <c r="E62" s="26">
        <v>109.3</v>
      </c>
      <c r="F62" s="26">
        <v>110.9</v>
      </c>
      <c r="G62" s="26">
        <v>-1.38</v>
      </c>
      <c r="H62" s="26">
        <v>79.0</v>
      </c>
      <c r="I62" s="26"/>
      <c r="J62" s="26"/>
      <c r="K62" s="26">
        <v>33.0</v>
      </c>
      <c r="L62" s="26">
        <v>111.7</v>
      </c>
      <c r="M62" s="26">
        <v>110.7</v>
      </c>
      <c r="N62" s="26">
        <v>112.6</v>
      </c>
      <c r="O62" s="26">
        <v>-2.06</v>
      </c>
      <c r="P62" s="26">
        <v>69.0</v>
      </c>
      <c r="Q62" s="26"/>
      <c r="R62" s="26">
        <v>33.0</v>
      </c>
      <c r="S62" s="26">
        <v>116.9</v>
      </c>
      <c r="T62" s="26">
        <v>116.1</v>
      </c>
      <c r="U62" s="26">
        <v>117.7</v>
      </c>
      <c r="V62" s="26">
        <v>-1.44</v>
      </c>
      <c r="W62" s="26">
        <v>78.0</v>
      </c>
      <c r="X62" s="26"/>
      <c r="Y62" s="26"/>
      <c r="Z62" s="26">
        <v>33.0</v>
      </c>
      <c r="AA62" s="26">
        <v>108.7</v>
      </c>
      <c r="AB62" s="26">
        <v>105.6</v>
      </c>
      <c r="AC62" s="26">
        <v>111.9</v>
      </c>
      <c r="AD62" s="26">
        <v>-3.31</v>
      </c>
      <c r="AE62" s="26">
        <v>50.0</v>
      </c>
      <c r="AF62" s="26"/>
      <c r="AG62" s="26"/>
      <c r="AH62" s="26"/>
      <c r="AI62" s="26">
        <v>32.0</v>
      </c>
      <c r="AJ62" s="26">
        <v>134.0</v>
      </c>
      <c r="AK62" s="26">
        <v>132.0</v>
      </c>
      <c r="AL62" s="26">
        <v>136.0</v>
      </c>
      <c r="AM62" s="26">
        <v>-0.67</v>
      </c>
      <c r="AN62" s="26">
        <v>90.0</v>
      </c>
      <c r="AO62" s="26"/>
      <c r="AP62" s="26"/>
      <c r="AQ62" s="26"/>
      <c r="AR62" s="26"/>
      <c r="AS62" s="26">
        <v>33.0</v>
      </c>
      <c r="AT62" s="26">
        <v>139.4</v>
      </c>
      <c r="AU62" s="26">
        <v>137.3</v>
      </c>
      <c r="AV62" s="26">
        <v>141.5</v>
      </c>
      <c r="AW62" s="26">
        <v>2.7</v>
      </c>
      <c r="AX62" s="26">
        <v>133.0</v>
      </c>
      <c r="AY62" s="26"/>
      <c r="AZ62" s="26"/>
      <c r="BA62" s="26">
        <v>33.0</v>
      </c>
      <c r="BB62" s="26">
        <v>98.6</v>
      </c>
      <c r="BC62" s="26">
        <v>97.9</v>
      </c>
      <c r="BD62" s="26">
        <v>99.3</v>
      </c>
      <c r="BE62" s="26">
        <v>-2.53</v>
      </c>
      <c r="BF62" s="26">
        <v>62.0</v>
      </c>
      <c r="BG62" s="26"/>
      <c r="BH62" s="26"/>
      <c r="BI62" s="26"/>
      <c r="BJ62" s="26"/>
      <c r="BK62" s="26"/>
      <c r="BL62" s="26"/>
    </row>
    <row r="63" ht="15.75" customHeight="1">
      <c r="A63" s="25"/>
      <c r="B63" s="26"/>
      <c r="C63" s="26">
        <v>34.0</v>
      </c>
      <c r="D63" s="26">
        <v>110.3</v>
      </c>
      <c r="E63" s="26">
        <v>109.5</v>
      </c>
      <c r="F63" s="26">
        <v>111.1</v>
      </c>
      <c r="G63" s="26">
        <v>-1.34</v>
      </c>
      <c r="H63" s="26">
        <v>80.0</v>
      </c>
      <c r="I63" s="26"/>
      <c r="J63" s="26"/>
      <c r="K63" s="26">
        <v>34.0</v>
      </c>
      <c r="L63" s="26">
        <v>112.0</v>
      </c>
      <c r="M63" s="26">
        <v>111.0</v>
      </c>
      <c r="N63" s="26">
        <v>113.0</v>
      </c>
      <c r="O63" s="26">
        <v>-2.0</v>
      </c>
      <c r="P63" s="26">
        <v>70.0</v>
      </c>
      <c r="Q63" s="26"/>
      <c r="R63" s="26">
        <v>34.0</v>
      </c>
      <c r="S63" s="26">
        <v>117.2</v>
      </c>
      <c r="T63" s="26">
        <v>116.3</v>
      </c>
      <c r="U63" s="26">
        <v>118.0</v>
      </c>
      <c r="V63" s="26">
        <v>-1.4</v>
      </c>
      <c r="W63" s="26">
        <v>79.0</v>
      </c>
      <c r="X63" s="26"/>
      <c r="Y63" s="26"/>
      <c r="Z63" s="26">
        <v>34.0</v>
      </c>
      <c r="AA63" s="26">
        <v>109.2</v>
      </c>
      <c r="AB63" s="26">
        <v>106.0</v>
      </c>
      <c r="AC63" s="26">
        <v>112.3</v>
      </c>
      <c r="AD63" s="26">
        <v>-3.24</v>
      </c>
      <c r="AE63" s="26">
        <v>51.0</v>
      </c>
      <c r="AF63" s="26"/>
      <c r="AG63" s="26"/>
      <c r="AH63" s="26"/>
      <c r="AI63" s="26">
        <v>33.0</v>
      </c>
      <c r="AJ63" s="26">
        <v>135.2</v>
      </c>
      <c r="AK63" s="26">
        <v>133.6</v>
      </c>
      <c r="AL63" s="26">
        <v>136.8</v>
      </c>
      <c r="AM63" s="26">
        <v>-0.47</v>
      </c>
      <c r="AN63" s="26">
        <v>93.0</v>
      </c>
      <c r="AO63" s="26"/>
      <c r="AP63" s="26"/>
      <c r="AQ63" s="26"/>
      <c r="AR63" s="26"/>
      <c r="AS63" s="26">
        <v>34.0</v>
      </c>
      <c r="AT63" s="26">
        <v>140.9</v>
      </c>
      <c r="AU63" s="26">
        <v>137.7</v>
      </c>
      <c r="AV63" s="26">
        <v>144.2</v>
      </c>
      <c r="AW63" s="26">
        <v>2.49</v>
      </c>
      <c r="AX63" s="26">
        <v>137.0</v>
      </c>
      <c r="AY63" s="26"/>
      <c r="AZ63" s="26"/>
      <c r="BA63" s="26">
        <v>34.0</v>
      </c>
      <c r="BB63" s="26">
        <v>98.8</v>
      </c>
      <c r="BC63" s="26">
        <v>98.1</v>
      </c>
      <c r="BD63" s="26">
        <v>99.4</v>
      </c>
      <c r="BE63" s="26">
        <v>-2.47</v>
      </c>
      <c r="BF63" s="26">
        <v>63.0</v>
      </c>
      <c r="BG63" s="26"/>
      <c r="BH63" s="26"/>
      <c r="BI63" s="26"/>
      <c r="BJ63" s="26"/>
      <c r="BK63" s="26"/>
      <c r="BL63" s="26"/>
    </row>
    <row r="64" ht="15.75" customHeight="1">
      <c r="A64" s="25"/>
      <c r="B64" s="26"/>
      <c r="C64" s="26">
        <v>35.0</v>
      </c>
      <c r="D64" s="26">
        <v>110.5</v>
      </c>
      <c r="E64" s="26">
        <v>109.7</v>
      </c>
      <c r="F64" s="26">
        <v>111.3</v>
      </c>
      <c r="G64" s="26">
        <v>-1.3</v>
      </c>
      <c r="H64" s="26">
        <v>80.0</v>
      </c>
      <c r="I64" s="26"/>
      <c r="J64" s="26"/>
      <c r="K64" s="26">
        <v>35.0</v>
      </c>
      <c r="L64" s="26">
        <v>112.4</v>
      </c>
      <c r="M64" s="26">
        <v>111.3</v>
      </c>
      <c r="N64" s="26">
        <v>113.5</v>
      </c>
      <c r="O64" s="26">
        <v>-1.93</v>
      </c>
      <c r="P64" s="26">
        <v>71.0</v>
      </c>
      <c r="Q64" s="26"/>
      <c r="R64" s="26">
        <v>35.0</v>
      </c>
      <c r="S64" s="26">
        <v>117.5</v>
      </c>
      <c r="T64" s="26">
        <v>116.6</v>
      </c>
      <c r="U64" s="26">
        <v>118.3</v>
      </c>
      <c r="V64" s="26">
        <v>-1.36</v>
      </c>
      <c r="W64" s="26">
        <v>80.0</v>
      </c>
      <c r="X64" s="26"/>
      <c r="Y64" s="26"/>
      <c r="Z64" s="26">
        <v>35.0</v>
      </c>
      <c r="AA64" s="26">
        <v>109.6</v>
      </c>
      <c r="AB64" s="26">
        <v>106.5</v>
      </c>
      <c r="AC64" s="26">
        <v>112.7</v>
      </c>
      <c r="AD64" s="26">
        <v>-3.18</v>
      </c>
      <c r="AE64" s="26">
        <v>52.0</v>
      </c>
      <c r="AF64" s="26"/>
      <c r="AG64" s="26"/>
      <c r="AH64" s="26"/>
      <c r="AI64" s="26">
        <v>34.0</v>
      </c>
      <c r="AJ64" s="26">
        <v>136.0</v>
      </c>
      <c r="AK64" s="26">
        <v>134.7</v>
      </c>
      <c r="AL64" s="26">
        <v>137.4</v>
      </c>
      <c r="AM64" s="26">
        <v>-0.33</v>
      </c>
      <c r="AN64" s="26">
        <v>95.0</v>
      </c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>
        <v>35.0</v>
      </c>
      <c r="BB64" s="26">
        <v>98.9</v>
      </c>
      <c r="BC64" s="26">
        <v>98.3</v>
      </c>
      <c r="BD64" s="26">
        <v>99.6</v>
      </c>
      <c r="BE64" s="26">
        <v>-2.41</v>
      </c>
      <c r="BF64" s="26">
        <v>64.0</v>
      </c>
      <c r="BG64" s="26"/>
      <c r="BH64" s="26"/>
      <c r="BI64" s="26"/>
      <c r="BJ64" s="26"/>
      <c r="BK64" s="26"/>
      <c r="BL64" s="26"/>
    </row>
    <row r="65" ht="15.75" customHeight="1">
      <c r="A65" s="25"/>
      <c r="B65" s="26"/>
      <c r="C65" s="26">
        <v>36.0</v>
      </c>
      <c r="D65" s="26">
        <v>110.7</v>
      </c>
      <c r="E65" s="26">
        <v>110.0</v>
      </c>
      <c r="F65" s="26">
        <v>111.5</v>
      </c>
      <c r="G65" s="26">
        <v>-1.27</v>
      </c>
      <c r="H65" s="26">
        <v>81.0</v>
      </c>
      <c r="I65" s="26"/>
      <c r="J65" s="26"/>
      <c r="K65" s="26">
        <v>36.0</v>
      </c>
      <c r="L65" s="26">
        <v>112.9</v>
      </c>
      <c r="M65" s="26">
        <v>111.7</v>
      </c>
      <c r="N65" s="26">
        <v>114.0</v>
      </c>
      <c r="O65" s="26">
        <v>-1.85</v>
      </c>
      <c r="P65" s="26">
        <v>72.0</v>
      </c>
      <c r="Q65" s="26"/>
      <c r="R65" s="26">
        <v>36.0</v>
      </c>
      <c r="S65" s="26">
        <v>117.7</v>
      </c>
      <c r="T65" s="26">
        <v>116.8</v>
      </c>
      <c r="U65" s="26">
        <v>118.6</v>
      </c>
      <c r="V65" s="26">
        <v>-1.32</v>
      </c>
      <c r="W65" s="26">
        <v>80.0</v>
      </c>
      <c r="X65" s="26"/>
      <c r="Y65" s="26"/>
      <c r="Z65" s="26">
        <v>36.0</v>
      </c>
      <c r="AA65" s="26">
        <v>110.1</v>
      </c>
      <c r="AB65" s="26">
        <v>106.9</v>
      </c>
      <c r="AC65" s="26">
        <v>113.2</v>
      </c>
      <c r="AD65" s="26">
        <v>-3.11</v>
      </c>
      <c r="AE65" s="26">
        <v>53.0</v>
      </c>
      <c r="AF65" s="26"/>
      <c r="AG65" s="26"/>
      <c r="AH65" s="26"/>
      <c r="AI65" s="26">
        <v>35.0</v>
      </c>
      <c r="AJ65" s="26">
        <v>136.6</v>
      </c>
      <c r="AK65" s="26">
        <v>135.4</v>
      </c>
      <c r="AL65" s="26">
        <v>137.9</v>
      </c>
      <c r="AM65" s="26">
        <v>-0.23</v>
      </c>
      <c r="AN65" s="26">
        <v>97.0</v>
      </c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>
        <v>36.0</v>
      </c>
      <c r="BB65" s="26">
        <v>99.1</v>
      </c>
      <c r="BC65" s="26">
        <v>98.4</v>
      </c>
      <c r="BD65" s="26">
        <v>99.8</v>
      </c>
      <c r="BE65" s="26">
        <v>-2.36</v>
      </c>
      <c r="BF65" s="26">
        <v>65.0</v>
      </c>
      <c r="BG65" s="26"/>
      <c r="BH65" s="26"/>
      <c r="BI65" s="26"/>
      <c r="BJ65" s="26"/>
      <c r="BK65" s="26"/>
      <c r="BL65" s="26"/>
    </row>
    <row r="66" ht="15.75" customHeight="1">
      <c r="A66" s="25"/>
      <c r="B66" s="26"/>
      <c r="C66" s="26">
        <v>37.0</v>
      </c>
      <c r="D66" s="26">
        <v>111.0</v>
      </c>
      <c r="E66" s="26">
        <v>110.2</v>
      </c>
      <c r="F66" s="26">
        <v>111.7</v>
      </c>
      <c r="G66" s="26">
        <v>-1.23</v>
      </c>
      <c r="H66" s="26">
        <v>82.0</v>
      </c>
      <c r="I66" s="26"/>
      <c r="J66" s="26"/>
      <c r="K66" s="26">
        <v>37.0</v>
      </c>
      <c r="L66" s="26">
        <v>113.4</v>
      </c>
      <c r="M66" s="26">
        <v>112.2</v>
      </c>
      <c r="N66" s="26">
        <v>114.6</v>
      </c>
      <c r="O66" s="26">
        <v>-1.75</v>
      </c>
      <c r="P66" s="26">
        <v>74.0</v>
      </c>
      <c r="Q66" s="26"/>
      <c r="R66" s="26">
        <v>37.0</v>
      </c>
      <c r="S66" s="26">
        <v>118.0</v>
      </c>
      <c r="T66" s="26">
        <v>117.1</v>
      </c>
      <c r="U66" s="26">
        <v>119.0</v>
      </c>
      <c r="V66" s="26">
        <v>-1.28</v>
      </c>
      <c r="W66" s="26">
        <v>81.0</v>
      </c>
      <c r="X66" s="26"/>
      <c r="Y66" s="26"/>
      <c r="Z66" s="26">
        <v>37.0</v>
      </c>
      <c r="AA66" s="26">
        <v>110.5</v>
      </c>
      <c r="AB66" s="26">
        <v>107.4</v>
      </c>
      <c r="AC66" s="26">
        <v>113.6</v>
      </c>
      <c r="AD66" s="26">
        <v>-3.05</v>
      </c>
      <c r="AE66" s="26">
        <v>54.0</v>
      </c>
      <c r="AF66" s="26"/>
      <c r="AG66" s="26"/>
      <c r="AH66" s="26"/>
      <c r="AI66" s="26">
        <v>36.0</v>
      </c>
      <c r="AJ66" s="26">
        <v>137.2</v>
      </c>
      <c r="AK66" s="26">
        <v>136.0</v>
      </c>
      <c r="AL66" s="26">
        <v>138.3</v>
      </c>
      <c r="AM66" s="26">
        <v>-0.14</v>
      </c>
      <c r="AN66" s="26">
        <v>98.0</v>
      </c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>
        <v>37.0</v>
      </c>
      <c r="BB66" s="26">
        <v>99.3</v>
      </c>
      <c r="BC66" s="26">
        <v>98.6</v>
      </c>
      <c r="BD66" s="26">
        <v>100.0</v>
      </c>
      <c r="BE66" s="26">
        <v>-2.3</v>
      </c>
      <c r="BF66" s="26">
        <v>66.0</v>
      </c>
      <c r="BG66" s="26"/>
      <c r="BH66" s="26"/>
      <c r="BI66" s="26"/>
      <c r="BJ66" s="26"/>
      <c r="BK66" s="26"/>
      <c r="BL66" s="26"/>
    </row>
    <row r="67" ht="15.75" customHeight="1">
      <c r="A67" s="25"/>
      <c r="B67" s="26"/>
      <c r="C67" s="26">
        <v>38.0</v>
      </c>
      <c r="D67" s="26">
        <v>111.2</v>
      </c>
      <c r="E67" s="26">
        <v>110.4</v>
      </c>
      <c r="F67" s="26">
        <v>112.0</v>
      </c>
      <c r="G67" s="26">
        <v>-1.19</v>
      </c>
      <c r="H67" s="26">
        <v>82.0</v>
      </c>
      <c r="I67" s="26"/>
      <c r="J67" s="26"/>
      <c r="K67" s="26">
        <v>38.0</v>
      </c>
      <c r="L67" s="26">
        <v>113.9</v>
      </c>
      <c r="M67" s="26">
        <v>112.8</v>
      </c>
      <c r="N67" s="26">
        <v>115.1</v>
      </c>
      <c r="O67" s="26">
        <v>-1.66</v>
      </c>
      <c r="P67" s="26">
        <v>75.0</v>
      </c>
      <c r="Q67" s="26"/>
      <c r="R67" s="26">
        <v>38.0</v>
      </c>
      <c r="S67" s="26">
        <v>118.4</v>
      </c>
      <c r="T67" s="26">
        <v>117.4</v>
      </c>
      <c r="U67" s="26">
        <v>119.3</v>
      </c>
      <c r="V67" s="26">
        <v>-1.24</v>
      </c>
      <c r="W67" s="26">
        <v>81.0</v>
      </c>
      <c r="X67" s="26"/>
      <c r="Y67" s="26"/>
      <c r="Z67" s="26">
        <v>38.0</v>
      </c>
      <c r="AA67" s="26">
        <v>111.0</v>
      </c>
      <c r="AB67" s="26">
        <v>107.8</v>
      </c>
      <c r="AC67" s="26">
        <v>114.1</v>
      </c>
      <c r="AD67" s="26">
        <v>-2.98</v>
      </c>
      <c r="AE67" s="26">
        <v>55.0</v>
      </c>
      <c r="AF67" s="26"/>
      <c r="AG67" s="26"/>
      <c r="AH67" s="26"/>
      <c r="AI67" s="26">
        <v>37.0</v>
      </c>
      <c r="AJ67" s="26">
        <v>137.6</v>
      </c>
      <c r="AK67" s="26">
        <v>136.5</v>
      </c>
      <c r="AL67" s="26">
        <v>138.7</v>
      </c>
      <c r="AM67" s="26">
        <v>-0.07</v>
      </c>
      <c r="AN67" s="26">
        <v>99.0</v>
      </c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>
        <v>38.0</v>
      </c>
      <c r="BB67" s="26">
        <v>99.5</v>
      </c>
      <c r="BC67" s="26">
        <v>98.8</v>
      </c>
      <c r="BD67" s="26">
        <v>100.2</v>
      </c>
      <c r="BE67" s="26">
        <v>-2.24</v>
      </c>
      <c r="BF67" s="26">
        <v>66.0</v>
      </c>
      <c r="BG67" s="26"/>
      <c r="BH67" s="26"/>
      <c r="BI67" s="26"/>
      <c r="BJ67" s="26"/>
      <c r="BK67" s="26"/>
      <c r="BL67" s="26"/>
    </row>
    <row r="68" ht="15.75" customHeight="1">
      <c r="A68" s="25"/>
      <c r="B68" s="26"/>
      <c r="C68" s="26">
        <v>39.0</v>
      </c>
      <c r="D68" s="26">
        <v>111.4</v>
      </c>
      <c r="E68" s="26">
        <v>110.6</v>
      </c>
      <c r="F68" s="26">
        <v>112.2</v>
      </c>
      <c r="G68" s="26">
        <v>-1.15</v>
      </c>
      <c r="H68" s="26">
        <v>83.0</v>
      </c>
      <c r="I68" s="26"/>
      <c r="J68" s="26"/>
      <c r="K68" s="26">
        <v>39.0</v>
      </c>
      <c r="L68" s="26">
        <v>114.4</v>
      </c>
      <c r="M68" s="26">
        <v>113.3</v>
      </c>
      <c r="N68" s="26">
        <v>115.4</v>
      </c>
      <c r="O68" s="26">
        <v>-1.58</v>
      </c>
      <c r="P68" s="26">
        <v>76.0</v>
      </c>
      <c r="Q68" s="26"/>
      <c r="R68" s="26">
        <v>39.0</v>
      </c>
      <c r="S68" s="26">
        <v>118.7</v>
      </c>
      <c r="T68" s="26">
        <v>117.7</v>
      </c>
      <c r="U68" s="26">
        <v>119.7</v>
      </c>
      <c r="V68" s="26">
        <v>-1.19</v>
      </c>
      <c r="W68" s="26">
        <v>82.0</v>
      </c>
      <c r="X68" s="26"/>
      <c r="Y68" s="26"/>
      <c r="Z68" s="26">
        <v>39.0</v>
      </c>
      <c r="AA68" s="26">
        <v>111.4</v>
      </c>
      <c r="AB68" s="26">
        <v>108.3</v>
      </c>
      <c r="AC68" s="26">
        <v>114.5</v>
      </c>
      <c r="AD68" s="26">
        <v>-2.92</v>
      </c>
      <c r="AE68" s="26">
        <v>56.0</v>
      </c>
      <c r="AF68" s="26"/>
      <c r="AG68" s="26"/>
      <c r="AH68" s="26"/>
      <c r="AI68" s="26">
        <v>38.0</v>
      </c>
      <c r="AJ68" s="26">
        <v>138.0</v>
      </c>
      <c r="AK68" s="26">
        <v>137.0</v>
      </c>
      <c r="AL68" s="26">
        <v>139.1</v>
      </c>
      <c r="AM68" s="26">
        <v>0.0</v>
      </c>
      <c r="AN68" s="26">
        <v>100.0</v>
      </c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>
        <v>39.0</v>
      </c>
      <c r="BB68" s="26">
        <v>99.7</v>
      </c>
      <c r="BC68" s="26">
        <v>98.9</v>
      </c>
      <c r="BD68" s="26">
        <v>100.4</v>
      </c>
      <c r="BE68" s="26">
        <v>-2.17</v>
      </c>
      <c r="BF68" s="26">
        <v>67.0</v>
      </c>
      <c r="BG68" s="26"/>
      <c r="BH68" s="26"/>
      <c r="BI68" s="26"/>
      <c r="BJ68" s="26"/>
      <c r="BK68" s="26"/>
      <c r="BL68" s="26"/>
    </row>
    <row r="69" ht="15.75" customHeight="1">
      <c r="A69" s="25"/>
      <c r="B69" s="26"/>
      <c r="C69" s="26">
        <v>40.0</v>
      </c>
      <c r="D69" s="26">
        <v>111.7</v>
      </c>
      <c r="E69" s="26">
        <v>110.8</v>
      </c>
      <c r="F69" s="26">
        <v>112.5</v>
      </c>
      <c r="G69" s="26">
        <v>-1.11</v>
      </c>
      <c r="H69" s="26">
        <v>83.0</v>
      </c>
      <c r="I69" s="26"/>
      <c r="J69" s="26"/>
      <c r="K69" s="26">
        <v>40.0</v>
      </c>
      <c r="L69" s="26">
        <v>114.7</v>
      </c>
      <c r="M69" s="26">
        <v>113.8</v>
      </c>
      <c r="N69" s="26">
        <v>115.7</v>
      </c>
      <c r="O69" s="26">
        <v>-1.52</v>
      </c>
      <c r="P69" s="26">
        <v>77.0</v>
      </c>
      <c r="Q69" s="26"/>
      <c r="R69" s="26">
        <v>40.0</v>
      </c>
      <c r="S69" s="26">
        <v>119.1</v>
      </c>
      <c r="T69" s="26">
        <v>118.1</v>
      </c>
      <c r="U69" s="26">
        <v>120.1</v>
      </c>
      <c r="V69" s="26">
        <v>-1.14</v>
      </c>
      <c r="W69" s="26">
        <v>83.0</v>
      </c>
      <c r="X69" s="26"/>
      <c r="Y69" s="26"/>
      <c r="Z69" s="26">
        <v>40.0</v>
      </c>
      <c r="AA69" s="26">
        <v>111.8</v>
      </c>
      <c r="AB69" s="26">
        <v>108.7</v>
      </c>
      <c r="AC69" s="26">
        <v>114.9</v>
      </c>
      <c r="AD69" s="26">
        <v>-2.85</v>
      </c>
      <c r="AE69" s="26">
        <v>57.0</v>
      </c>
      <c r="AF69" s="26"/>
      <c r="AG69" s="26"/>
      <c r="AH69" s="26"/>
      <c r="AI69" s="26">
        <v>39.0</v>
      </c>
      <c r="AJ69" s="26">
        <v>138.5</v>
      </c>
      <c r="AK69" s="26">
        <v>137.4</v>
      </c>
      <c r="AL69" s="26">
        <v>139.5</v>
      </c>
      <c r="AM69" s="26">
        <v>0.07</v>
      </c>
      <c r="AN69" s="26">
        <v>101.0</v>
      </c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>
        <v>40.0</v>
      </c>
      <c r="BB69" s="26">
        <v>99.9</v>
      </c>
      <c r="BC69" s="26">
        <v>99.1</v>
      </c>
      <c r="BD69" s="26">
        <v>100.7</v>
      </c>
      <c r="BE69" s="26">
        <v>-2.1</v>
      </c>
      <c r="BF69" s="26">
        <v>68.0</v>
      </c>
      <c r="BG69" s="26"/>
      <c r="BH69" s="26"/>
      <c r="BI69" s="26"/>
      <c r="BJ69" s="26"/>
      <c r="BK69" s="26"/>
      <c r="BL69" s="26"/>
    </row>
    <row r="70" ht="15.75" customHeight="1">
      <c r="A70" s="25"/>
      <c r="B70" s="26"/>
      <c r="C70" s="26">
        <v>41.0</v>
      </c>
      <c r="D70" s="26">
        <v>112.0</v>
      </c>
      <c r="E70" s="26">
        <v>111.0</v>
      </c>
      <c r="F70" s="26">
        <v>112.9</v>
      </c>
      <c r="G70" s="26">
        <v>-1.06</v>
      </c>
      <c r="H70" s="26">
        <v>84.0</v>
      </c>
      <c r="I70" s="26"/>
      <c r="J70" s="26"/>
      <c r="K70" s="26">
        <v>41.0</v>
      </c>
      <c r="L70" s="26">
        <v>115.0</v>
      </c>
      <c r="M70" s="26">
        <v>114.1</v>
      </c>
      <c r="N70" s="26">
        <v>116.0</v>
      </c>
      <c r="O70" s="26">
        <v>-1.46</v>
      </c>
      <c r="P70" s="26">
        <v>78.0</v>
      </c>
      <c r="Q70" s="26"/>
      <c r="R70" s="26">
        <v>41.0</v>
      </c>
      <c r="S70" s="26">
        <v>119.5</v>
      </c>
      <c r="T70" s="26">
        <v>118.4</v>
      </c>
      <c r="U70" s="26">
        <v>120.6</v>
      </c>
      <c r="V70" s="26">
        <v>-1.08</v>
      </c>
      <c r="W70" s="26">
        <v>84.0</v>
      </c>
      <c r="X70" s="26"/>
      <c r="Y70" s="26"/>
      <c r="Z70" s="26">
        <v>41.0</v>
      </c>
      <c r="AA70" s="26">
        <v>112.3</v>
      </c>
      <c r="AB70" s="26">
        <v>109.2</v>
      </c>
      <c r="AC70" s="26">
        <v>115.4</v>
      </c>
      <c r="AD70" s="26">
        <v>-1.76</v>
      </c>
      <c r="AE70" s="26">
        <v>74.0</v>
      </c>
      <c r="AF70" s="26"/>
      <c r="AG70" s="26"/>
      <c r="AH70" s="26"/>
      <c r="AI70" s="26">
        <v>40.0</v>
      </c>
      <c r="AJ70" s="26">
        <v>138.9</v>
      </c>
      <c r="AK70" s="26">
        <v>137.8</v>
      </c>
      <c r="AL70" s="26">
        <v>140.0</v>
      </c>
      <c r="AM70" s="26">
        <v>0.14</v>
      </c>
      <c r="AN70" s="26">
        <v>102.0</v>
      </c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>
        <v>41.0</v>
      </c>
      <c r="BB70" s="26">
        <v>100.1</v>
      </c>
      <c r="BC70" s="26">
        <v>99.3</v>
      </c>
      <c r="BD70" s="26">
        <v>100.9</v>
      </c>
      <c r="BE70" s="26">
        <v>-2.03</v>
      </c>
      <c r="BF70" s="26">
        <v>70.0</v>
      </c>
      <c r="BG70" s="26"/>
      <c r="BH70" s="26"/>
      <c r="BI70" s="26"/>
      <c r="BJ70" s="26"/>
      <c r="BK70" s="26"/>
      <c r="BL70" s="26"/>
    </row>
    <row r="71" ht="15.75" customHeight="1">
      <c r="A71" s="25"/>
      <c r="B71" s="26"/>
      <c r="C71" s="26">
        <v>42.0</v>
      </c>
      <c r="D71" s="26">
        <v>112.3</v>
      </c>
      <c r="E71" s="26">
        <v>111.3</v>
      </c>
      <c r="F71" s="26">
        <v>113.3</v>
      </c>
      <c r="G71" s="26">
        <v>1.0</v>
      </c>
      <c r="H71" s="26">
        <v>85.0</v>
      </c>
      <c r="I71" s="26"/>
      <c r="J71" s="26"/>
      <c r="K71" s="26">
        <v>42.0</v>
      </c>
      <c r="L71" s="26">
        <v>115.3</v>
      </c>
      <c r="M71" s="26">
        <v>114.4</v>
      </c>
      <c r="N71" s="26">
        <v>116.2</v>
      </c>
      <c r="O71" s="26">
        <v>-1.41</v>
      </c>
      <c r="P71" s="26">
        <v>79.0</v>
      </c>
      <c r="Q71" s="26"/>
      <c r="R71" s="26">
        <v>42.0</v>
      </c>
      <c r="S71" s="26">
        <v>119.9</v>
      </c>
      <c r="T71" s="26">
        <v>118.8</v>
      </c>
      <c r="U71" s="26">
        <v>121.0</v>
      </c>
      <c r="V71" s="26">
        <v>-1.02</v>
      </c>
      <c r="W71" s="26">
        <v>85.0</v>
      </c>
      <c r="X71" s="26"/>
      <c r="Y71" s="26"/>
      <c r="Z71" s="26">
        <v>42.0</v>
      </c>
      <c r="AA71" s="26">
        <v>112.7</v>
      </c>
      <c r="AB71" s="26">
        <v>109.6</v>
      </c>
      <c r="AC71" s="26">
        <v>115.8</v>
      </c>
      <c r="AD71" s="26">
        <v>-1.72</v>
      </c>
      <c r="AE71" s="26">
        <v>74.0</v>
      </c>
      <c r="AF71" s="26"/>
      <c r="AG71" s="26"/>
      <c r="AH71" s="26"/>
      <c r="AI71" s="26">
        <v>41.0</v>
      </c>
      <c r="AJ71" s="26">
        <v>139.3</v>
      </c>
      <c r="AK71" s="26">
        <v>138.2</v>
      </c>
      <c r="AL71" s="26">
        <v>140.4</v>
      </c>
      <c r="AM71" s="26">
        <v>0.21</v>
      </c>
      <c r="AN71" s="26">
        <v>103.0</v>
      </c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>
        <v>42.0</v>
      </c>
      <c r="BB71" s="26">
        <v>100.4</v>
      </c>
      <c r="BC71" s="26">
        <v>99.5</v>
      </c>
      <c r="BD71" s="26">
        <v>101.2</v>
      </c>
      <c r="BE71" s="26">
        <v>-1.95</v>
      </c>
      <c r="BF71" s="26">
        <v>71.0</v>
      </c>
      <c r="BG71" s="26"/>
      <c r="BH71" s="26"/>
      <c r="BI71" s="26"/>
      <c r="BJ71" s="26"/>
      <c r="BK71" s="26"/>
      <c r="BL71" s="26"/>
    </row>
    <row r="72" ht="15.75" customHeight="1">
      <c r="A72" s="25"/>
      <c r="B72" s="26"/>
      <c r="C72" s="26">
        <v>43.0</v>
      </c>
      <c r="D72" s="26">
        <v>112.7</v>
      </c>
      <c r="E72" s="26">
        <v>111.7</v>
      </c>
      <c r="F72" s="26">
        <v>113.6</v>
      </c>
      <c r="G72" s="26">
        <v>-0.94</v>
      </c>
      <c r="H72" s="26">
        <v>86.0</v>
      </c>
      <c r="I72" s="26"/>
      <c r="J72" s="26"/>
      <c r="K72" s="26">
        <v>43.0</v>
      </c>
      <c r="L72" s="26">
        <v>115.6</v>
      </c>
      <c r="M72" s="26">
        <v>114.8</v>
      </c>
      <c r="N72" s="26">
        <v>116.5</v>
      </c>
      <c r="O72" s="26">
        <v>-1.36</v>
      </c>
      <c r="P72" s="26">
        <v>80.0</v>
      </c>
      <c r="Q72" s="26"/>
      <c r="R72" s="26">
        <v>43.0</v>
      </c>
      <c r="S72" s="26">
        <v>120.4</v>
      </c>
      <c r="T72" s="26">
        <v>119.2</v>
      </c>
      <c r="U72" s="26">
        <v>121.6</v>
      </c>
      <c r="V72" s="26">
        <v>-0.95</v>
      </c>
      <c r="W72" s="26">
        <v>86.0</v>
      </c>
      <c r="X72" s="26"/>
      <c r="Y72" s="26"/>
      <c r="Z72" s="26">
        <v>43.0</v>
      </c>
      <c r="AA72" s="26">
        <v>113.2</v>
      </c>
      <c r="AB72" s="26">
        <v>110.1</v>
      </c>
      <c r="AC72" s="26">
        <v>116.3</v>
      </c>
      <c r="AD72" s="26">
        <v>-1.69</v>
      </c>
      <c r="AE72" s="26">
        <v>75.0</v>
      </c>
      <c r="AF72" s="26"/>
      <c r="AG72" s="26"/>
      <c r="AH72" s="26"/>
      <c r="AI72" s="26">
        <v>42.0</v>
      </c>
      <c r="AJ72" s="26">
        <v>139.8</v>
      </c>
      <c r="AK72" s="26">
        <v>138.6</v>
      </c>
      <c r="AL72" s="26">
        <v>140.9</v>
      </c>
      <c r="AM72" s="26">
        <v>0.29</v>
      </c>
      <c r="AN72" s="26">
        <v>104.0</v>
      </c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>
        <v>43.0</v>
      </c>
      <c r="BB72" s="26">
        <v>100.6</v>
      </c>
      <c r="BC72" s="26">
        <v>99.8</v>
      </c>
      <c r="BD72" s="26">
        <v>101.4</v>
      </c>
      <c r="BE72" s="26">
        <v>-1.86</v>
      </c>
      <c r="BF72" s="26">
        <v>72.0</v>
      </c>
      <c r="BG72" s="26"/>
      <c r="BH72" s="26"/>
      <c r="BI72" s="26"/>
      <c r="BJ72" s="26"/>
      <c r="BK72" s="26"/>
      <c r="BL72" s="26"/>
    </row>
    <row r="73" ht="15.75" customHeight="1">
      <c r="A73" s="25"/>
      <c r="B73" s="26"/>
      <c r="C73" s="26">
        <v>44.0</v>
      </c>
      <c r="D73" s="26">
        <v>113.0</v>
      </c>
      <c r="E73" s="26">
        <v>112.0</v>
      </c>
      <c r="F73" s="26">
        <v>114.0</v>
      </c>
      <c r="G73" s="26">
        <v>-0.88</v>
      </c>
      <c r="H73" s="26">
        <v>87.0</v>
      </c>
      <c r="I73" s="26"/>
      <c r="J73" s="26"/>
      <c r="K73" s="26">
        <v>44.0</v>
      </c>
      <c r="L73" s="26">
        <v>115.9</v>
      </c>
      <c r="M73" s="26">
        <v>115.0</v>
      </c>
      <c r="N73" s="26">
        <v>116.8</v>
      </c>
      <c r="O73" s="26">
        <v>-1.31</v>
      </c>
      <c r="P73" s="26">
        <v>80.0</v>
      </c>
      <c r="Q73" s="26"/>
      <c r="R73" s="26">
        <v>44.0</v>
      </c>
      <c r="S73" s="26">
        <v>121.0</v>
      </c>
      <c r="T73" s="26">
        <v>119.7</v>
      </c>
      <c r="U73" s="26">
        <v>122.2</v>
      </c>
      <c r="V73" s="26">
        <v>-0.88</v>
      </c>
      <c r="W73" s="26">
        <v>87.0</v>
      </c>
      <c r="X73" s="26"/>
      <c r="Y73" s="26"/>
      <c r="Z73" s="26">
        <v>44.0</v>
      </c>
      <c r="AA73" s="26">
        <v>113.6</v>
      </c>
      <c r="AB73" s="26">
        <v>110.5</v>
      </c>
      <c r="AC73" s="26">
        <v>116.7</v>
      </c>
      <c r="AD73" s="26">
        <v>-1.66</v>
      </c>
      <c r="AE73" s="26">
        <v>75.0</v>
      </c>
      <c r="AF73" s="26"/>
      <c r="AG73" s="26"/>
      <c r="AH73" s="26"/>
      <c r="AI73" s="26">
        <v>43.0</v>
      </c>
      <c r="AJ73" s="26">
        <v>140.3</v>
      </c>
      <c r="AK73" s="26">
        <v>139.1</v>
      </c>
      <c r="AL73" s="26">
        <v>141.5</v>
      </c>
      <c r="AM73" s="26">
        <v>0.37</v>
      </c>
      <c r="AN73" s="26">
        <v>106.0</v>
      </c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>
        <v>44.0</v>
      </c>
      <c r="BB73" s="26">
        <v>100.9</v>
      </c>
      <c r="BC73" s="26">
        <v>100.1</v>
      </c>
      <c r="BD73" s="26">
        <v>101.7</v>
      </c>
      <c r="BE73" s="26">
        <v>-1.78</v>
      </c>
      <c r="BF73" s="26">
        <v>73.0</v>
      </c>
      <c r="BG73" s="26"/>
      <c r="BH73" s="26"/>
      <c r="BI73" s="26"/>
      <c r="BJ73" s="26"/>
      <c r="BK73" s="26"/>
      <c r="BL73" s="26"/>
    </row>
    <row r="74" ht="15.75" customHeight="1">
      <c r="A74" s="25"/>
      <c r="B74" s="26"/>
      <c r="C74" s="26">
        <v>45.0</v>
      </c>
      <c r="D74" s="26">
        <v>113.3</v>
      </c>
      <c r="E74" s="26">
        <v>112.4</v>
      </c>
      <c r="F74" s="26">
        <v>114.3</v>
      </c>
      <c r="G74" s="26">
        <v>-0.83</v>
      </c>
      <c r="H74" s="26">
        <v>88.0</v>
      </c>
      <c r="I74" s="26"/>
      <c r="J74" s="26"/>
      <c r="K74" s="26">
        <v>45.0</v>
      </c>
      <c r="L74" s="26">
        <v>116.2</v>
      </c>
      <c r="M74" s="26">
        <v>115.3</v>
      </c>
      <c r="N74" s="26">
        <v>117.1</v>
      </c>
      <c r="O74" s="26">
        <v>-1.26</v>
      </c>
      <c r="P74" s="26">
        <v>81.0</v>
      </c>
      <c r="Q74" s="26"/>
      <c r="R74" s="26">
        <v>45.0</v>
      </c>
      <c r="S74" s="26">
        <v>121.6</v>
      </c>
      <c r="T74" s="26">
        <v>120.3</v>
      </c>
      <c r="U74" s="26">
        <v>122.9</v>
      </c>
      <c r="V74" s="26">
        <v>-0.79</v>
      </c>
      <c r="W74" s="26">
        <v>88.0</v>
      </c>
      <c r="X74" s="26"/>
      <c r="Y74" s="26"/>
      <c r="Z74" s="26">
        <v>45.0</v>
      </c>
      <c r="AA74" s="26">
        <v>114.1</v>
      </c>
      <c r="AB74" s="26">
        <v>110.9</v>
      </c>
      <c r="AC74" s="26">
        <v>117.2</v>
      </c>
      <c r="AD74" s="26">
        <v>-1.63</v>
      </c>
      <c r="AE74" s="26">
        <v>76.0</v>
      </c>
      <c r="AF74" s="26"/>
      <c r="AG74" s="26"/>
      <c r="AH74" s="26"/>
      <c r="AI74" s="26">
        <v>44.0</v>
      </c>
      <c r="AJ74" s="26">
        <v>104.8</v>
      </c>
      <c r="AK74" s="26">
        <v>139.6</v>
      </c>
      <c r="AL74" s="26">
        <v>142.0</v>
      </c>
      <c r="AM74" s="26">
        <v>0.46</v>
      </c>
      <c r="AN74" s="26">
        <v>107.0</v>
      </c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>
        <v>45.0</v>
      </c>
      <c r="BB74" s="26">
        <v>101.1</v>
      </c>
      <c r="BC74" s="26">
        <v>100.3</v>
      </c>
      <c r="BD74" s="26">
        <v>101.9</v>
      </c>
      <c r="BE74" s="26">
        <v>-1.7</v>
      </c>
      <c r="BF74" s="26">
        <v>74.0</v>
      </c>
      <c r="BG74" s="26"/>
      <c r="BH74" s="26"/>
      <c r="BI74" s="26"/>
      <c r="BJ74" s="26"/>
      <c r="BK74" s="26"/>
      <c r="BL74" s="26"/>
    </row>
    <row r="75" ht="15.75" customHeight="1">
      <c r="A75" s="25"/>
      <c r="B75" s="26"/>
      <c r="C75" s="26">
        <v>46.0</v>
      </c>
      <c r="D75" s="26">
        <v>113.7</v>
      </c>
      <c r="E75" s="26">
        <v>112.7</v>
      </c>
      <c r="F75" s="26">
        <v>114.7</v>
      </c>
      <c r="G75" s="26">
        <v>-0.76</v>
      </c>
      <c r="H75" s="26">
        <v>89.0</v>
      </c>
      <c r="I75" s="26"/>
      <c r="J75" s="26"/>
      <c r="K75" s="26">
        <v>46.0</v>
      </c>
      <c r="L75" s="26">
        <v>116.5</v>
      </c>
      <c r="M75" s="26">
        <v>115.6</v>
      </c>
      <c r="N75" s="26">
        <v>117.3</v>
      </c>
      <c r="O75" s="26">
        <v>-1.21</v>
      </c>
      <c r="P75" s="26">
        <v>82.0</v>
      </c>
      <c r="Q75" s="26"/>
      <c r="R75" s="26">
        <v>46.0</v>
      </c>
      <c r="S75" s="26">
        <v>122.3</v>
      </c>
      <c r="T75" s="26">
        <v>120.9</v>
      </c>
      <c r="U75" s="26">
        <v>123.6</v>
      </c>
      <c r="V75" s="26">
        <v>-0.7</v>
      </c>
      <c r="W75" s="26">
        <v>90.0</v>
      </c>
      <c r="X75" s="26"/>
      <c r="Y75" s="26"/>
      <c r="Z75" s="26">
        <v>46.0</v>
      </c>
      <c r="AA75" s="26">
        <v>114.5</v>
      </c>
      <c r="AB75" s="26">
        <v>111.4</v>
      </c>
      <c r="AC75" s="26">
        <v>117.7</v>
      </c>
      <c r="AD75" s="26">
        <v>-1.6</v>
      </c>
      <c r="AE75" s="26">
        <v>76.0</v>
      </c>
      <c r="AF75" s="26"/>
      <c r="AG75" s="26"/>
      <c r="AH75" s="26"/>
      <c r="AI75" s="26">
        <v>45.0</v>
      </c>
      <c r="AJ75" s="26">
        <v>141.4</v>
      </c>
      <c r="AK75" s="26">
        <v>140.1</v>
      </c>
      <c r="AL75" s="26">
        <v>142.6</v>
      </c>
      <c r="AM75" s="26">
        <v>0.55</v>
      </c>
      <c r="AN75" s="26">
        <v>108.0</v>
      </c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>
        <v>46.0</v>
      </c>
      <c r="BB75" s="26">
        <v>101.3</v>
      </c>
      <c r="BC75" s="26">
        <v>100.6</v>
      </c>
      <c r="BD75" s="26">
        <v>102.0</v>
      </c>
      <c r="BE75" s="26">
        <v>-1.63</v>
      </c>
      <c r="BF75" s="26">
        <v>76.0</v>
      </c>
      <c r="BG75" s="26"/>
      <c r="BH75" s="26"/>
      <c r="BI75" s="26"/>
      <c r="BJ75" s="26"/>
      <c r="BK75" s="26"/>
      <c r="BL75" s="26"/>
    </row>
    <row r="76" ht="15.75" customHeight="1">
      <c r="A76" s="25"/>
      <c r="B76" s="26"/>
      <c r="C76" s="26">
        <v>47.0</v>
      </c>
      <c r="D76" s="26">
        <v>114.2</v>
      </c>
      <c r="E76" s="26">
        <v>112.9</v>
      </c>
      <c r="F76" s="26">
        <v>115.5</v>
      </c>
      <c r="G76" s="26">
        <v>-0.68</v>
      </c>
      <c r="H76" s="26">
        <v>90.0</v>
      </c>
      <c r="I76" s="26"/>
      <c r="J76" s="26"/>
      <c r="K76" s="26">
        <v>47.0</v>
      </c>
      <c r="L76" s="26">
        <v>116.7</v>
      </c>
      <c r="M76" s="26">
        <v>115.9</v>
      </c>
      <c r="N76" s="26">
        <v>117.6</v>
      </c>
      <c r="O76" s="26">
        <v>-1.16</v>
      </c>
      <c r="P76" s="26">
        <v>83.0</v>
      </c>
      <c r="Q76" s="26"/>
      <c r="R76" s="26">
        <v>47.0</v>
      </c>
      <c r="S76" s="26">
        <v>123.0</v>
      </c>
      <c r="T76" s="26">
        <v>121.6</v>
      </c>
      <c r="U76" s="26">
        <v>124.4</v>
      </c>
      <c r="V76" s="26">
        <v>-0.6</v>
      </c>
      <c r="W76" s="26">
        <v>91.0</v>
      </c>
      <c r="X76" s="26"/>
      <c r="Y76" s="26"/>
      <c r="Z76" s="26">
        <v>47.0</v>
      </c>
      <c r="AA76" s="26">
        <v>115.0</v>
      </c>
      <c r="AB76" s="26">
        <v>111.8</v>
      </c>
      <c r="AC76" s="26">
        <v>118.1</v>
      </c>
      <c r="AD76" s="26">
        <v>-1.57</v>
      </c>
      <c r="AE76" s="26">
        <v>76.0</v>
      </c>
      <c r="AF76" s="26"/>
      <c r="AG76" s="26"/>
      <c r="AH76" s="26"/>
      <c r="AI76" s="26">
        <v>46.0</v>
      </c>
      <c r="AJ76" s="26">
        <v>142.0</v>
      </c>
      <c r="AK76" s="26">
        <v>140.6</v>
      </c>
      <c r="AL76" s="26">
        <v>143.4</v>
      </c>
      <c r="AM76" s="26">
        <v>0.66</v>
      </c>
      <c r="AN76" s="26">
        <v>110.0</v>
      </c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>
        <v>47.0</v>
      </c>
      <c r="BB76" s="26">
        <v>101.6</v>
      </c>
      <c r="BC76" s="26">
        <v>100.8</v>
      </c>
      <c r="BD76" s="26">
        <v>102.3</v>
      </c>
      <c r="BE76" s="26">
        <v>-1.55</v>
      </c>
      <c r="BF76" s="26">
        <v>77.0</v>
      </c>
      <c r="BG76" s="26"/>
      <c r="BH76" s="26"/>
      <c r="BI76" s="26"/>
      <c r="BJ76" s="26"/>
      <c r="BK76" s="26"/>
      <c r="BL76" s="26"/>
    </row>
    <row r="77" ht="15.75" customHeight="1">
      <c r="A77" s="25"/>
      <c r="B77" s="26"/>
      <c r="C77" s="26">
        <v>48.0</v>
      </c>
      <c r="D77" s="26">
        <v>115.0</v>
      </c>
      <c r="E77" s="26">
        <v>113.3</v>
      </c>
      <c r="F77" s="26">
        <v>116.8</v>
      </c>
      <c r="G77" s="26">
        <v>-0.54</v>
      </c>
      <c r="H77" s="26">
        <v>92.0</v>
      </c>
      <c r="I77" s="26"/>
      <c r="J77" s="26"/>
      <c r="K77" s="26">
        <v>48.0</v>
      </c>
      <c r="L77" s="26">
        <v>117.0</v>
      </c>
      <c r="M77" s="26">
        <v>116.2</v>
      </c>
      <c r="N77" s="26">
        <v>117.8</v>
      </c>
      <c r="O77" s="26">
        <v>-1.12</v>
      </c>
      <c r="P77" s="26">
        <v>83.0</v>
      </c>
      <c r="Q77" s="26"/>
      <c r="R77" s="26">
        <v>48.0</v>
      </c>
      <c r="S77" s="26">
        <v>123.7</v>
      </c>
      <c r="T77" s="26">
        <v>122.3</v>
      </c>
      <c r="U77" s="26">
        <v>125.2</v>
      </c>
      <c r="V77" s="26">
        <v>-0.5</v>
      </c>
      <c r="W77" s="26">
        <v>93.0</v>
      </c>
      <c r="X77" s="26"/>
      <c r="Y77" s="26"/>
      <c r="Z77" s="26">
        <v>48.0</v>
      </c>
      <c r="AA77" s="26">
        <v>115.4</v>
      </c>
      <c r="AB77" s="26">
        <v>112.3</v>
      </c>
      <c r="AC77" s="26">
        <v>118.6</v>
      </c>
      <c r="AD77" s="26">
        <v>-1.54</v>
      </c>
      <c r="AE77" s="26">
        <v>77.0</v>
      </c>
      <c r="AF77" s="26"/>
      <c r="AG77" s="26"/>
      <c r="AH77" s="26"/>
      <c r="AI77" s="26">
        <v>47.0</v>
      </c>
      <c r="AJ77" s="26">
        <v>142.8</v>
      </c>
      <c r="AK77" s="26">
        <v>141.3</v>
      </c>
      <c r="AL77" s="26">
        <v>144.3</v>
      </c>
      <c r="AM77" s="26">
        <v>0.78</v>
      </c>
      <c r="AN77" s="26">
        <v>112.0</v>
      </c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>
        <v>48.0</v>
      </c>
      <c r="BB77" s="26">
        <v>101.8</v>
      </c>
      <c r="BC77" s="26">
        <v>101.0</v>
      </c>
      <c r="BD77" s="26">
        <v>102.5</v>
      </c>
      <c r="BE77" s="26">
        <v>-1.49</v>
      </c>
      <c r="BF77" s="26">
        <v>78.0</v>
      </c>
      <c r="BG77" s="26"/>
      <c r="BH77" s="26"/>
      <c r="BI77" s="26"/>
      <c r="BJ77" s="26"/>
      <c r="BK77" s="26"/>
      <c r="BL77" s="26"/>
    </row>
    <row r="78" ht="15.75" customHeight="1">
      <c r="A78" s="25"/>
      <c r="B78" s="26"/>
      <c r="C78" s="26">
        <v>49.0</v>
      </c>
      <c r="D78" s="26">
        <v>116.0</v>
      </c>
      <c r="E78" s="26">
        <v>114.5</v>
      </c>
      <c r="F78" s="26">
        <v>117.6</v>
      </c>
      <c r="G78" s="26">
        <v>-0.37</v>
      </c>
      <c r="H78" s="26">
        <v>94.0</v>
      </c>
      <c r="I78" s="26"/>
      <c r="J78" s="26"/>
      <c r="K78" s="26">
        <v>49.0</v>
      </c>
      <c r="L78" s="26">
        <v>117.3</v>
      </c>
      <c r="M78" s="26">
        <v>116.4</v>
      </c>
      <c r="N78" s="26">
        <v>118.1</v>
      </c>
      <c r="O78" s="26">
        <v>-1.07</v>
      </c>
      <c r="P78" s="26">
        <v>84.0</v>
      </c>
      <c r="Q78" s="26"/>
      <c r="R78" s="26">
        <v>49.0</v>
      </c>
      <c r="S78" s="26">
        <v>124.6</v>
      </c>
      <c r="T78" s="26">
        <v>122.9</v>
      </c>
      <c r="U78" s="26">
        <v>126.3</v>
      </c>
      <c r="V78" s="26">
        <v>-0.38</v>
      </c>
      <c r="W78" s="26">
        <v>94.0</v>
      </c>
      <c r="X78" s="26"/>
      <c r="Y78" s="26"/>
      <c r="Z78" s="26">
        <v>49.0</v>
      </c>
      <c r="AA78" s="26">
        <v>115.9</v>
      </c>
      <c r="AB78" s="26">
        <v>112.7</v>
      </c>
      <c r="AC78" s="26">
        <v>119.1</v>
      </c>
      <c r="AD78" s="26">
        <v>-1.51</v>
      </c>
      <c r="AE78" s="26">
        <v>77.0</v>
      </c>
      <c r="AF78" s="26"/>
      <c r="AG78" s="26"/>
      <c r="AH78" s="26"/>
      <c r="AI78" s="26">
        <v>48.0</v>
      </c>
      <c r="AJ78" s="26">
        <v>143.7</v>
      </c>
      <c r="AK78" s="26">
        <v>142.0</v>
      </c>
      <c r="AL78" s="26">
        <v>145.4</v>
      </c>
      <c r="AM78" s="26">
        <v>0.94</v>
      </c>
      <c r="AN78" s="26">
        <v>114.0</v>
      </c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>
        <v>49.0</v>
      </c>
      <c r="BB78" s="26">
        <v>102.0</v>
      </c>
      <c r="BC78" s="26">
        <v>101.2</v>
      </c>
      <c r="BD78" s="26">
        <v>102.7</v>
      </c>
      <c r="BE78" s="26">
        <v>-1.42</v>
      </c>
      <c r="BF78" s="26">
        <v>79.0</v>
      </c>
      <c r="BG78" s="26"/>
      <c r="BH78" s="26"/>
      <c r="BI78" s="26"/>
      <c r="BJ78" s="26"/>
      <c r="BK78" s="26"/>
      <c r="BL78" s="26"/>
    </row>
    <row r="79" ht="15.75" customHeight="1">
      <c r="A79" s="25"/>
      <c r="B79" s="26"/>
      <c r="C79" s="26">
        <v>50.0</v>
      </c>
      <c r="D79" s="26">
        <v>117.0</v>
      </c>
      <c r="E79" s="26">
        <v>115.2</v>
      </c>
      <c r="F79" s="26">
        <v>118.8</v>
      </c>
      <c r="G79" s="26">
        <v>-0.21</v>
      </c>
      <c r="H79" s="26">
        <v>97.0</v>
      </c>
      <c r="I79" s="26"/>
      <c r="J79" s="26"/>
      <c r="K79" s="26">
        <v>50.0</v>
      </c>
      <c r="L79" s="26">
        <v>117.5</v>
      </c>
      <c r="M79" s="26">
        <v>116.7</v>
      </c>
      <c r="N79" s="26">
        <v>118.3</v>
      </c>
      <c r="O79" s="26">
        <v>-1.03</v>
      </c>
      <c r="P79" s="26">
        <v>85.0</v>
      </c>
      <c r="Q79" s="26"/>
      <c r="R79" s="26">
        <v>50.0</v>
      </c>
      <c r="S79" s="26">
        <v>125.9</v>
      </c>
      <c r="T79" s="26">
        <v>123.9</v>
      </c>
      <c r="U79" s="26">
        <v>127.9</v>
      </c>
      <c r="V79" s="26">
        <v>-0.2</v>
      </c>
      <c r="W79" s="26">
        <v>97.0</v>
      </c>
      <c r="X79" s="26"/>
      <c r="Y79" s="26"/>
      <c r="Z79" s="26">
        <v>50.0</v>
      </c>
      <c r="AA79" s="26">
        <v>116.4</v>
      </c>
      <c r="AB79" s="26">
        <v>113.2</v>
      </c>
      <c r="AC79" s="26">
        <v>119.6</v>
      </c>
      <c r="AD79" s="26">
        <v>-1.48</v>
      </c>
      <c r="AE79" s="26">
        <v>78.0</v>
      </c>
      <c r="AF79" s="26"/>
      <c r="AG79" s="26"/>
      <c r="AH79" s="26"/>
      <c r="AI79" s="26">
        <v>49.0</v>
      </c>
      <c r="AJ79" s="26">
        <v>144.8</v>
      </c>
      <c r="AK79" s="26">
        <v>143.0</v>
      </c>
      <c r="AL79" s="26">
        <v>146.5</v>
      </c>
      <c r="AM79" s="26">
        <v>1.12</v>
      </c>
      <c r="AN79" s="26">
        <v>117.0</v>
      </c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>
        <v>50.0</v>
      </c>
      <c r="BB79" s="26">
        <v>102.2</v>
      </c>
      <c r="BC79" s="26">
        <v>101.4</v>
      </c>
      <c r="BD79" s="26">
        <v>102.9</v>
      </c>
      <c r="BE79" s="26">
        <v>-1.35</v>
      </c>
      <c r="BF79" s="26">
        <v>80.0</v>
      </c>
      <c r="BG79" s="26"/>
      <c r="BH79" s="26"/>
      <c r="BI79" s="26"/>
      <c r="BJ79" s="26"/>
      <c r="BK79" s="26"/>
      <c r="BL79" s="26"/>
    </row>
    <row r="80" ht="15.75" customHeight="1">
      <c r="A80" s="25"/>
      <c r="B80" s="26"/>
      <c r="C80" s="26">
        <v>51.0</v>
      </c>
      <c r="D80" s="26">
        <v>118.0</v>
      </c>
      <c r="E80" s="26">
        <v>116.6</v>
      </c>
      <c r="F80" s="26">
        <v>119.5</v>
      </c>
      <c r="G80" s="26">
        <v>-0.03</v>
      </c>
      <c r="H80" s="26">
        <v>100.0</v>
      </c>
      <c r="I80" s="26"/>
      <c r="J80" s="26"/>
      <c r="K80" s="26">
        <v>51.0</v>
      </c>
      <c r="L80" s="26">
        <v>117.7</v>
      </c>
      <c r="M80" s="26">
        <v>117.0</v>
      </c>
      <c r="N80" s="26">
        <v>118.5</v>
      </c>
      <c r="O80" s="26">
        <v>-0.99</v>
      </c>
      <c r="P80" s="26">
        <v>85.0</v>
      </c>
      <c r="Q80" s="26"/>
      <c r="R80" s="26">
        <v>51.0</v>
      </c>
      <c r="S80" s="26">
        <v>127.5</v>
      </c>
      <c r="T80" s="26">
        <v>125.5</v>
      </c>
      <c r="U80" s="26">
        <v>129.4</v>
      </c>
      <c r="V80" s="26">
        <v>0.02</v>
      </c>
      <c r="W80" s="26">
        <v>100.0</v>
      </c>
      <c r="X80" s="26"/>
      <c r="Y80" s="26"/>
      <c r="Z80" s="26">
        <v>51.0</v>
      </c>
      <c r="AA80" s="26">
        <v>116.8</v>
      </c>
      <c r="AB80" s="26">
        <v>113.6</v>
      </c>
      <c r="AC80" s="26">
        <v>120.0</v>
      </c>
      <c r="AD80" s="26">
        <v>-1.44</v>
      </c>
      <c r="AE80" s="26">
        <v>78.0</v>
      </c>
      <c r="AF80" s="26"/>
      <c r="AG80" s="26"/>
      <c r="AH80" s="26"/>
      <c r="AI80" s="26">
        <v>50.0</v>
      </c>
      <c r="AJ80" s="26">
        <v>145.9</v>
      </c>
      <c r="AK80" s="26">
        <v>144.0</v>
      </c>
      <c r="AL80" s="26">
        <v>147.8</v>
      </c>
      <c r="AM80" s="26">
        <v>1.31</v>
      </c>
      <c r="AN80" s="26">
        <v>120.0</v>
      </c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>
        <v>51.0</v>
      </c>
      <c r="BB80" s="26">
        <v>102.4</v>
      </c>
      <c r="BC80" s="26">
        <v>101.6</v>
      </c>
      <c r="BD80" s="26">
        <v>103.1</v>
      </c>
      <c r="BE80" s="26">
        <v>-1.29</v>
      </c>
      <c r="BF80" s="26">
        <v>81.0</v>
      </c>
      <c r="BG80" s="26"/>
      <c r="BH80" s="26"/>
      <c r="BI80" s="26"/>
      <c r="BJ80" s="26"/>
      <c r="BK80" s="26"/>
      <c r="BL80" s="26"/>
    </row>
    <row r="81" ht="15.75" customHeight="1">
      <c r="A81" s="25"/>
      <c r="B81" s="26"/>
      <c r="C81" s="26">
        <v>52.0</v>
      </c>
      <c r="D81" s="26">
        <v>118.8</v>
      </c>
      <c r="E81" s="26">
        <v>117.4</v>
      </c>
      <c r="F81" s="26">
        <v>120.2</v>
      </c>
      <c r="G81" s="26">
        <v>0.09</v>
      </c>
      <c r="H81" s="26">
        <v>101.0</v>
      </c>
      <c r="I81" s="26"/>
      <c r="J81" s="26"/>
      <c r="K81" s="26">
        <v>52.0</v>
      </c>
      <c r="L81" s="26">
        <v>118.0</v>
      </c>
      <c r="M81" s="26">
        <v>117.2</v>
      </c>
      <c r="N81" s="26">
        <v>118.7</v>
      </c>
      <c r="O81" s="26">
        <v>-0.95</v>
      </c>
      <c r="P81" s="26">
        <v>86.0</v>
      </c>
      <c r="Q81" s="26"/>
      <c r="R81" s="26">
        <v>52.0</v>
      </c>
      <c r="S81" s="26">
        <v>128.7</v>
      </c>
      <c r="T81" s="26">
        <v>127.0</v>
      </c>
      <c r="U81" s="26">
        <v>130.4</v>
      </c>
      <c r="V81" s="26">
        <v>0.19</v>
      </c>
      <c r="W81" s="26">
        <v>103.0</v>
      </c>
      <c r="X81" s="26"/>
      <c r="Y81" s="26"/>
      <c r="Z81" s="26">
        <v>52.0</v>
      </c>
      <c r="AA81" s="26">
        <v>117.3</v>
      </c>
      <c r="AB81" s="26">
        <v>114.1</v>
      </c>
      <c r="AC81" s="26">
        <v>120.5</v>
      </c>
      <c r="AD81" s="26">
        <v>-1.41</v>
      </c>
      <c r="AE81" s="26">
        <v>79.0</v>
      </c>
      <c r="AF81" s="26"/>
      <c r="AG81" s="26"/>
      <c r="AH81" s="26"/>
      <c r="AI81" s="26">
        <v>51.0</v>
      </c>
      <c r="AJ81" s="26">
        <v>147.6</v>
      </c>
      <c r="AK81" s="26">
        <v>145.2</v>
      </c>
      <c r="AL81" s="26">
        <v>150.0</v>
      </c>
      <c r="AM81" s="26">
        <v>1.59</v>
      </c>
      <c r="AN81" s="26">
        <v>124.0</v>
      </c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>
        <v>52.0</v>
      </c>
      <c r="BB81" s="26">
        <v>102.6</v>
      </c>
      <c r="BC81" s="26">
        <v>101.8</v>
      </c>
      <c r="BD81" s="26">
        <v>103.3</v>
      </c>
      <c r="BE81" s="26">
        <v>-1.22</v>
      </c>
      <c r="BF81" s="26">
        <v>82.0</v>
      </c>
      <c r="BG81" s="26"/>
      <c r="BH81" s="26"/>
      <c r="BI81" s="26"/>
      <c r="BJ81" s="26"/>
      <c r="BK81" s="26"/>
      <c r="BL81" s="26"/>
    </row>
    <row r="82" ht="15.75" customHeight="1">
      <c r="A82" s="25"/>
      <c r="B82" s="26"/>
      <c r="C82" s="26">
        <v>53.0</v>
      </c>
      <c r="D82" s="26">
        <v>119.6</v>
      </c>
      <c r="E82" s="26">
        <v>118.1</v>
      </c>
      <c r="F82" s="26">
        <v>121.1</v>
      </c>
      <c r="G82" s="26">
        <v>0.23</v>
      </c>
      <c r="H82" s="26">
        <v>103.0</v>
      </c>
      <c r="I82" s="26"/>
      <c r="J82" s="26"/>
      <c r="K82" s="26">
        <v>53.0</v>
      </c>
      <c r="L82" s="26">
        <v>118.2</v>
      </c>
      <c r="M82" s="26">
        <v>117.4</v>
      </c>
      <c r="N82" s="26">
        <v>118.9</v>
      </c>
      <c r="O82" s="26">
        <v>-0.92</v>
      </c>
      <c r="P82" s="26">
        <v>86.0</v>
      </c>
      <c r="Q82" s="26"/>
      <c r="R82" s="26">
        <v>53.0</v>
      </c>
      <c r="S82" s="26">
        <v>129.7</v>
      </c>
      <c r="T82" s="26">
        <v>128.1</v>
      </c>
      <c r="U82" s="26">
        <v>131.4</v>
      </c>
      <c r="V82" s="26">
        <v>0.33</v>
      </c>
      <c r="W82" s="26">
        <v>105.0</v>
      </c>
      <c r="X82" s="26"/>
      <c r="Y82" s="26"/>
      <c r="Z82" s="26">
        <v>53.0</v>
      </c>
      <c r="AA82" s="26">
        <v>117.8</v>
      </c>
      <c r="AB82" s="26">
        <v>114.5</v>
      </c>
      <c r="AC82" s="26">
        <v>121.0</v>
      </c>
      <c r="AD82" s="26">
        <v>-1.38</v>
      </c>
      <c r="AE82" s="26">
        <v>79.0</v>
      </c>
      <c r="AF82" s="26"/>
      <c r="AG82" s="26"/>
      <c r="AH82" s="26"/>
      <c r="AI82" s="26">
        <v>52.0</v>
      </c>
      <c r="AJ82" s="26">
        <v>149.6</v>
      </c>
      <c r="AK82" s="26">
        <v>147.4</v>
      </c>
      <c r="AL82" s="26">
        <v>151.9</v>
      </c>
      <c r="AM82" s="26">
        <v>1.93</v>
      </c>
      <c r="AN82" s="26">
        <v>129.0</v>
      </c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>
        <v>53.0</v>
      </c>
      <c r="BB82" s="26">
        <v>102.8</v>
      </c>
      <c r="BC82" s="26">
        <v>102.0</v>
      </c>
      <c r="BD82" s="26">
        <v>103.5</v>
      </c>
      <c r="BE82" s="26">
        <v>-1.16</v>
      </c>
      <c r="BF82" s="26">
        <v>83.0</v>
      </c>
      <c r="BG82" s="26"/>
      <c r="BH82" s="26"/>
      <c r="BI82" s="26"/>
      <c r="BJ82" s="26"/>
      <c r="BK82" s="26"/>
      <c r="BL82" s="26"/>
    </row>
    <row r="83" ht="15.75" customHeight="1">
      <c r="A83" s="25"/>
      <c r="B83" s="26"/>
      <c r="C83" s="26">
        <v>54.0</v>
      </c>
      <c r="D83" s="26">
        <v>120.3</v>
      </c>
      <c r="E83" s="26">
        <v>119.0</v>
      </c>
      <c r="F83" s="26">
        <v>121.6</v>
      </c>
      <c r="G83" s="26">
        <v>0.35</v>
      </c>
      <c r="H83" s="26">
        <v>105.0</v>
      </c>
      <c r="I83" s="26"/>
      <c r="J83" s="26"/>
      <c r="K83" s="26">
        <v>54.0</v>
      </c>
      <c r="L83" s="26">
        <v>118.4</v>
      </c>
      <c r="M83" s="26">
        <v>117.7</v>
      </c>
      <c r="N83" s="26">
        <v>119.0</v>
      </c>
      <c r="O83" s="26">
        <v>-0.88</v>
      </c>
      <c r="P83" s="26">
        <v>87.0</v>
      </c>
      <c r="Q83" s="26"/>
      <c r="R83" s="26">
        <v>54.0</v>
      </c>
      <c r="S83" s="26">
        <v>130.8</v>
      </c>
      <c r="T83" s="26">
        <v>129.0</v>
      </c>
      <c r="U83" s="26">
        <v>132.5</v>
      </c>
      <c r="V83" s="26">
        <v>0.47</v>
      </c>
      <c r="W83" s="26">
        <v>107.0</v>
      </c>
      <c r="X83" s="26"/>
      <c r="Y83" s="26"/>
      <c r="Z83" s="26">
        <v>54.0</v>
      </c>
      <c r="AA83" s="26">
        <v>118.3</v>
      </c>
      <c r="AB83" s="26">
        <v>115.0</v>
      </c>
      <c r="AC83" s="26">
        <v>121.6</v>
      </c>
      <c r="AD83" s="26">
        <v>-1.34</v>
      </c>
      <c r="AE83" s="26">
        <v>80.0</v>
      </c>
      <c r="AF83" s="26"/>
      <c r="AG83" s="26"/>
      <c r="AH83" s="26"/>
      <c r="AI83" s="26">
        <v>53.0</v>
      </c>
      <c r="AJ83" s="26">
        <v>151.6</v>
      </c>
      <c r="AK83" s="26">
        <v>149.2</v>
      </c>
      <c r="AL83" s="26">
        <v>154.0</v>
      </c>
      <c r="AM83" s="26">
        <v>2.25</v>
      </c>
      <c r="AN83" s="26">
        <v>134.0</v>
      </c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>
        <v>54.0</v>
      </c>
      <c r="BB83" s="26">
        <v>102.9</v>
      </c>
      <c r="BC83" s="26">
        <v>102.2</v>
      </c>
      <c r="BD83" s="26">
        <v>103.7</v>
      </c>
      <c r="BE83" s="26">
        <v>-1.1</v>
      </c>
      <c r="BF83" s="26">
        <v>84.0</v>
      </c>
      <c r="BG83" s="26"/>
      <c r="BH83" s="26"/>
      <c r="BI83" s="26"/>
      <c r="BJ83" s="26"/>
      <c r="BK83" s="26"/>
      <c r="BL83" s="26"/>
    </row>
    <row r="84" ht="15.75" customHeight="1">
      <c r="A84" s="25"/>
      <c r="B84" s="26"/>
      <c r="C84" s="26">
        <v>55.0</v>
      </c>
      <c r="D84" s="26">
        <v>120.9</v>
      </c>
      <c r="E84" s="26">
        <v>119.7</v>
      </c>
      <c r="F84" s="26">
        <v>122.2</v>
      </c>
      <c r="G84" s="26">
        <v>0.46</v>
      </c>
      <c r="H84" s="26">
        <v>107.0</v>
      </c>
      <c r="I84" s="26"/>
      <c r="J84" s="26"/>
      <c r="K84" s="26">
        <v>55.0</v>
      </c>
      <c r="L84" s="26">
        <v>118.5</v>
      </c>
      <c r="M84" s="26">
        <v>117.8</v>
      </c>
      <c r="N84" s="26">
        <v>119.2</v>
      </c>
      <c r="O84" s="26">
        <v>-0.85</v>
      </c>
      <c r="P84" s="26">
        <v>87.0</v>
      </c>
      <c r="Q84" s="26"/>
      <c r="R84" s="26">
        <v>55.0</v>
      </c>
      <c r="S84" s="26">
        <v>132.0</v>
      </c>
      <c r="T84" s="26">
        <v>130.0</v>
      </c>
      <c r="U84" s="26">
        <v>134.0</v>
      </c>
      <c r="V84" s="26">
        <v>0.64</v>
      </c>
      <c r="W84" s="26">
        <v>110.0</v>
      </c>
      <c r="X84" s="26"/>
      <c r="Y84" s="26"/>
      <c r="Z84" s="26">
        <v>55.0</v>
      </c>
      <c r="AA84" s="26">
        <v>118.8</v>
      </c>
      <c r="AB84" s="26">
        <v>115.5</v>
      </c>
      <c r="AC84" s="26">
        <v>122.1</v>
      </c>
      <c r="AD84" s="26">
        <v>-1.31</v>
      </c>
      <c r="AE84" s="26">
        <v>80.0</v>
      </c>
      <c r="AF84" s="26"/>
      <c r="AG84" s="26"/>
      <c r="AH84" s="26"/>
      <c r="AI84" s="26">
        <v>54.0</v>
      </c>
      <c r="AJ84" s="26">
        <v>153.4</v>
      </c>
      <c r="AK84" s="26">
        <v>150.0</v>
      </c>
      <c r="AL84" s="26">
        <v>156.8</v>
      </c>
      <c r="AM84" s="26">
        <v>2.56</v>
      </c>
      <c r="AN84" s="26">
        <v>138.0</v>
      </c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>
        <v>55.0</v>
      </c>
      <c r="BB84" s="26">
        <v>103.1</v>
      </c>
      <c r="BC84" s="26">
        <v>102.4</v>
      </c>
      <c r="BD84" s="26">
        <v>103.9</v>
      </c>
      <c r="BE84" s="26">
        <v>-1.04</v>
      </c>
      <c r="BF84" s="26">
        <v>84.0</v>
      </c>
      <c r="BG84" s="26"/>
      <c r="BH84" s="26"/>
      <c r="BI84" s="26"/>
      <c r="BJ84" s="26"/>
      <c r="BK84" s="26"/>
      <c r="BL84" s="26"/>
    </row>
    <row r="85" ht="15.75" customHeight="1">
      <c r="A85" s="25"/>
      <c r="B85" s="26"/>
      <c r="C85" s="26">
        <v>56.0</v>
      </c>
      <c r="D85" s="26">
        <v>121.5</v>
      </c>
      <c r="E85" s="26">
        <v>120.3</v>
      </c>
      <c r="F85" s="26">
        <v>122.8</v>
      </c>
      <c r="G85" s="26">
        <v>0.55</v>
      </c>
      <c r="H85" s="26">
        <v>108.0</v>
      </c>
      <c r="I85" s="26"/>
      <c r="J85" s="26"/>
      <c r="K85" s="26">
        <v>56.0</v>
      </c>
      <c r="L85" s="26">
        <v>118.7</v>
      </c>
      <c r="M85" s="26">
        <v>118.0</v>
      </c>
      <c r="N85" s="26">
        <v>119.3</v>
      </c>
      <c r="O85" s="26">
        <v>-0.82</v>
      </c>
      <c r="P85" s="26">
        <v>88.0</v>
      </c>
      <c r="Q85" s="26"/>
      <c r="R85" s="26">
        <v>56.0</v>
      </c>
      <c r="S85" s="26">
        <v>134.1</v>
      </c>
      <c r="T85" s="26">
        <v>131.3</v>
      </c>
      <c r="U85" s="26">
        <v>137.0</v>
      </c>
      <c r="V85" s="26">
        <v>0.93</v>
      </c>
      <c r="W85" s="26">
        <v>114.0</v>
      </c>
      <c r="X85" s="26"/>
      <c r="Y85" s="26"/>
      <c r="Z85" s="26">
        <v>56.0</v>
      </c>
      <c r="AA85" s="26">
        <v>119.3</v>
      </c>
      <c r="AB85" s="26">
        <v>116.0</v>
      </c>
      <c r="AC85" s="26">
        <v>122.6</v>
      </c>
      <c r="AD85" s="26">
        <v>-1.27</v>
      </c>
      <c r="AE85" s="26">
        <v>81.0</v>
      </c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>
        <v>56.0</v>
      </c>
      <c r="BB85" s="26">
        <v>103.3</v>
      </c>
      <c r="BC85" s="26">
        <v>102.6</v>
      </c>
      <c r="BD85" s="26">
        <v>104.0</v>
      </c>
      <c r="BE85" s="26">
        <v>-0.97</v>
      </c>
      <c r="BF85" s="26">
        <v>85.0</v>
      </c>
      <c r="BG85" s="26"/>
      <c r="BH85" s="26"/>
      <c r="BI85" s="26"/>
      <c r="BJ85" s="26"/>
      <c r="BK85" s="26"/>
      <c r="BL85" s="26"/>
    </row>
    <row r="86" ht="15.75" customHeight="1">
      <c r="A86" s="25"/>
      <c r="B86" s="26"/>
      <c r="C86" s="26">
        <v>57.0</v>
      </c>
      <c r="D86" s="26">
        <v>122.1</v>
      </c>
      <c r="E86" s="26">
        <v>120.8</v>
      </c>
      <c r="F86" s="26">
        <v>123.3</v>
      </c>
      <c r="G86" s="26">
        <v>0.65</v>
      </c>
      <c r="H86" s="26">
        <v>110.0</v>
      </c>
      <c r="I86" s="26"/>
      <c r="J86" s="26"/>
      <c r="K86" s="26">
        <v>57.0</v>
      </c>
      <c r="L86" s="26">
        <v>118.8</v>
      </c>
      <c r="M86" s="26">
        <v>118.2</v>
      </c>
      <c r="N86" s="26">
        <v>119.5</v>
      </c>
      <c r="O86" s="26">
        <v>-0.8</v>
      </c>
      <c r="P86" s="26">
        <v>88.0</v>
      </c>
      <c r="Q86" s="26"/>
      <c r="R86" s="26">
        <v>57.0</v>
      </c>
      <c r="S86" s="26">
        <v>137.0</v>
      </c>
      <c r="T86" s="26">
        <v>134.2</v>
      </c>
      <c r="U86" s="26">
        <v>139.9</v>
      </c>
      <c r="V86" s="26">
        <v>1.34</v>
      </c>
      <c r="W86" s="26">
        <v>120.0</v>
      </c>
      <c r="X86" s="26"/>
      <c r="Y86" s="26"/>
      <c r="Z86" s="26">
        <v>57.0</v>
      </c>
      <c r="AA86" s="26">
        <v>119.8</v>
      </c>
      <c r="AB86" s="26">
        <v>116.4</v>
      </c>
      <c r="AC86" s="26">
        <v>123.2</v>
      </c>
      <c r="AD86" s="26">
        <v>-1.24</v>
      </c>
      <c r="AE86" s="26">
        <v>81.0</v>
      </c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>
        <v>57.0</v>
      </c>
      <c r="BB86" s="26">
        <v>103.5</v>
      </c>
      <c r="BC86" s="26">
        <v>102.8</v>
      </c>
      <c r="BD86" s="26">
        <v>104.2</v>
      </c>
      <c r="BE86" s="26">
        <v>-0.91</v>
      </c>
      <c r="BF86" s="26">
        <v>86.0</v>
      </c>
      <c r="BG86" s="26"/>
      <c r="BH86" s="26"/>
      <c r="BI86" s="26"/>
      <c r="BJ86" s="26"/>
      <c r="BK86" s="26"/>
      <c r="BL86" s="26"/>
    </row>
    <row r="87" ht="15.75" customHeight="1">
      <c r="A87" s="25"/>
      <c r="B87" s="26"/>
      <c r="C87" s="26">
        <v>58.0</v>
      </c>
      <c r="D87" s="26">
        <v>122.6</v>
      </c>
      <c r="E87" s="26">
        <v>121.4</v>
      </c>
      <c r="F87" s="26">
        <v>123.9</v>
      </c>
      <c r="G87" s="26">
        <v>0.74</v>
      </c>
      <c r="H87" s="26">
        <v>111.0</v>
      </c>
      <c r="I87" s="26"/>
      <c r="J87" s="26"/>
      <c r="K87" s="26">
        <v>58.0</v>
      </c>
      <c r="L87" s="26">
        <v>119.0</v>
      </c>
      <c r="M87" s="26">
        <v>118.3</v>
      </c>
      <c r="N87" s="26">
        <v>119.6</v>
      </c>
      <c r="O87" s="26">
        <v>-0.77</v>
      </c>
      <c r="P87" s="26">
        <v>88.0</v>
      </c>
      <c r="Q87" s="26"/>
      <c r="R87" s="26">
        <v>58.0</v>
      </c>
      <c r="S87" s="26">
        <v>139.3</v>
      </c>
      <c r="T87" s="26">
        <v>135.8</v>
      </c>
      <c r="U87" s="26">
        <v>142.8</v>
      </c>
      <c r="V87" s="26">
        <v>1.65</v>
      </c>
      <c r="W87" s="26">
        <v>125.0</v>
      </c>
      <c r="X87" s="26"/>
      <c r="Y87" s="26"/>
      <c r="Z87" s="26">
        <v>58.0</v>
      </c>
      <c r="AA87" s="26">
        <v>120.3</v>
      </c>
      <c r="AB87" s="26">
        <v>116.9</v>
      </c>
      <c r="AC87" s="26">
        <v>123.7</v>
      </c>
      <c r="AD87" s="26">
        <v>-1.2</v>
      </c>
      <c r="AE87" s="26">
        <v>82.0</v>
      </c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>
        <v>58.0</v>
      </c>
      <c r="BB87" s="26">
        <v>103.7</v>
      </c>
      <c r="BC87" s="26">
        <v>103.0</v>
      </c>
      <c r="BD87" s="26">
        <v>104.5</v>
      </c>
      <c r="BE87" s="26">
        <v>-0.84</v>
      </c>
      <c r="BF87" s="26">
        <v>87.0</v>
      </c>
      <c r="BG87" s="26"/>
      <c r="BH87" s="26"/>
      <c r="BI87" s="26"/>
      <c r="BJ87" s="26"/>
      <c r="BK87" s="26"/>
      <c r="BL87" s="26"/>
    </row>
    <row r="88" ht="15.75" customHeight="1">
      <c r="A88" s="25"/>
      <c r="B88" s="26"/>
      <c r="C88" s="26">
        <v>59.0</v>
      </c>
      <c r="D88" s="26">
        <v>123.2</v>
      </c>
      <c r="E88" s="26">
        <v>121.9</v>
      </c>
      <c r="F88" s="26">
        <v>124.5</v>
      </c>
      <c r="G88" s="26">
        <v>0.84</v>
      </c>
      <c r="H88" s="26">
        <v>113.0</v>
      </c>
      <c r="I88" s="26"/>
      <c r="J88" s="26"/>
      <c r="K88" s="26">
        <v>59.0</v>
      </c>
      <c r="L88" s="26">
        <v>119.1</v>
      </c>
      <c r="M88" s="26">
        <v>118.5</v>
      </c>
      <c r="N88" s="26">
        <v>119.8</v>
      </c>
      <c r="O88" s="26">
        <v>-0.74</v>
      </c>
      <c r="P88" s="26">
        <v>89.0</v>
      </c>
      <c r="Q88" s="26"/>
      <c r="R88" s="26"/>
      <c r="S88" s="26"/>
      <c r="T88" s="26"/>
      <c r="U88" s="26"/>
      <c r="V88" s="26"/>
      <c r="W88" s="26"/>
      <c r="X88" s="26"/>
      <c r="Y88" s="26"/>
      <c r="Z88" s="26">
        <v>59.0</v>
      </c>
      <c r="AA88" s="26">
        <v>120.9</v>
      </c>
      <c r="AB88" s="26">
        <v>117.4</v>
      </c>
      <c r="AC88" s="26">
        <v>124.3</v>
      </c>
      <c r="AD88" s="26">
        <v>-1.17</v>
      </c>
      <c r="AE88" s="26">
        <v>83.0</v>
      </c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>
        <v>59.0</v>
      </c>
      <c r="BB88" s="26">
        <v>103.9</v>
      </c>
      <c r="BC88" s="26">
        <v>103.2</v>
      </c>
      <c r="BD88" s="26">
        <v>104.7</v>
      </c>
      <c r="BE88" s="26">
        <v>-0.78</v>
      </c>
      <c r="BF88" s="26">
        <v>88.0</v>
      </c>
      <c r="BG88" s="26"/>
      <c r="BH88" s="26"/>
      <c r="BI88" s="26"/>
      <c r="BJ88" s="26"/>
      <c r="BK88" s="26"/>
      <c r="BL88" s="26"/>
    </row>
    <row r="89" ht="15.75" customHeight="1">
      <c r="A89" s="25"/>
      <c r="B89" s="26"/>
      <c r="C89" s="26">
        <v>60.0</v>
      </c>
      <c r="D89" s="26">
        <v>123.9</v>
      </c>
      <c r="E89" s="26">
        <v>122.5</v>
      </c>
      <c r="F89" s="26">
        <v>125.3</v>
      </c>
      <c r="G89" s="26">
        <v>0.96</v>
      </c>
      <c r="H89" s="26">
        <v>114.0</v>
      </c>
      <c r="I89" s="26"/>
      <c r="J89" s="26"/>
      <c r="K89" s="26">
        <v>60.0</v>
      </c>
      <c r="L89" s="26">
        <v>119.3</v>
      </c>
      <c r="M89" s="26">
        <v>118.7</v>
      </c>
      <c r="N89" s="26">
        <v>119.9</v>
      </c>
      <c r="O89" s="26">
        <v>-0.72</v>
      </c>
      <c r="P89" s="26">
        <v>89.0</v>
      </c>
      <c r="Q89" s="26"/>
      <c r="R89" s="26"/>
      <c r="S89" s="26"/>
      <c r="T89" s="26"/>
      <c r="U89" s="26"/>
      <c r="V89" s="26"/>
      <c r="W89" s="26"/>
      <c r="X89" s="26"/>
      <c r="Y89" s="26"/>
      <c r="Z89" s="26">
        <v>60.0</v>
      </c>
      <c r="AA89" s="26">
        <v>121.4</v>
      </c>
      <c r="AB89" s="26">
        <v>117.9</v>
      </c>
      <c r="AC89" s="26">
        <v>124.9</v>
      </c>
      <c r="AD89" s="26">
        <v>-1.13</v>
      </c>
      <c r="AE89" s="26">
        <v>83.0</v>
      </c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>
        <v>60.0</v>
      </c>
      <c r="BB89" s="26">
        <v>104.1</v>
      </c>
      <c r="BC89" s="26">
        <v>103.4</v>
      </c>
      <c r="BD89" s="26">
        <v>104.9</v>
      </c>
      <c r="BE89" s="26">
        <v>-0.71</v>
      </c>
      <c r="BF89" s="26">
        <v>89.0</v>
      </c>
      <c r="BG89" s="26"/>
      <c r="BH89" s="26"/>
      <c r="BI89" s="26"/>
      <c r="BJ89" s="26"/>
      <c r="BK89" s="26"/>
      <c r="BL89" s="26"/>
    </row>
    <row r="90" ht="15.75" customHeight="1">
      <c r="A90" s="25"/>
      <c r="B90" s="26"/>
      <c r="C90" s="26">
        <v>61.0</v>
      </c>
      <c r="D90" s="26">
        <v>124.5</v>
      </c>
      <c r="E90" s="26">
        <v>123.3</v>
      </c>
      <c r="F90" s="26">
        <v>125.8</v>
      </c>
      <c r="G90" s="26">
        <v>1.07</v>
      </c>
      <c r="H90" s="26">
        <v>116.0</v>
      </c>
      <c r="I90" s="26"/>
      <c r="J90" s="26"/>
      <c r="K90" s="26">
        <v>61.0</v>
      </c>
      <c r="L90" s="26">
        <v>119.4</v>
      </c>
      <c r="M90" s="26">
        <v>118.8</v>
      </c>
      <c r="N90" s="26">
        <v>120.1</v>
      </c>
      <c r="O90" s="26">
        <v>-0.69</v>
      </c>
      <c r="P90" s="26">
        <v>90.0</v>
      </c>
      <c r="Q90" s="26"/>
      <c r="R90" s="26"/>
      <c r="S90" s="26"/>
      <c r="T90" s="26"/>
      <c r="U90" s="26"/>
      <c r="V90" s="26"/>
      <c r="W90" s="26"/>
      <c r="X90" s="26"/>
      <c r="Y90" s="26"/>
      <c r="Z90" s="26">
        <v>61.0</v>
      </c>
      <c r="AA90" s="26">
        <v>122.0</v>
      </c>
      <c r="AB90" s="26">
        <v>118.5</v>
      </c>
      <c r="AC90" s="26">
        <v>125.5</v>
      </c>
      <c r="AD90" s="26">
        <v>-1.09</v>
      </c>
      <c r="AE90" s="26">
        <v>84.0</v>
      </c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>
        <v>61.0</v>
      </c>
      <c r="BB90" s="26">
        <v>104.3</v>
      </c>
      <c r="BC90" s="26">
        <v>103.6</v>
      </c>
      <c r="BD90" s="26">
        <v>105.1</v>
      </c>
      <c r="BE90" s="26">
        <v>-0.64</v>
      </c>
      <c r="BF90" s="26">
        <v>90.0</v>
      </c>
      <c r="BG90" s="26"/>
      <c r="BH90" s="26"/>
      <c r="BI90" s="26"/>
      <c r="BJ90" s="26"/>
      <c r="BK90" s="26"/>
      <c r="BL90" s="26"/>
    </row>
    <row r="91" ht="15.75" customHeight="1">
      <c r="A91" s="25"/>
      <c r="B91" s="26"/>
      <c r="C91" s="26">
        <v>62.0</v>
      </c>
      <c r="D91" s="26">
        <v>125.1</v>
      </c>
      <c r="E91" s="26">
        <v>123.9</v>
      </c>
      <c r="F91" s="26">
        <v>126.3</v>
      </c>
      <c r="G91" s="26">
        <v>1.16</v>
      </c>
      <c r="H91" s="26">
        <v>117.0</v>
      </c>
      <c r="I91" s="26"/>
      <c r="J91" s="26"/>
      <c r="K91" s="26">
        <v>62.0</v>
      </c>
      <c r="L91" s="26">
        <v>119.6</v>
      </c>
      <c r="M91" s="26">
        <v>118.9</v>
      </c>
      <c r="N91" s="26">
        <v>120.2</v>
      </c>
      <c r="O91" s="26">
        <v>-0.67</v>
      </c>
      <c r="P91" s="26">
        <v>90.0</v>
      </c>
      <c r="Q91" s="26"/>
      <c r="R91" s="26"/>
      <c r="S91" s="26"/>
      <c r="T91" s="26"/>
      <c r="U91" s="26"/>
      <c r="V91" s="26"/>
      <c r="W91" s="26"/>
      <c r="X91" s="26"/>
      <c r="Y91" s="26"/>
      <c r="Z91" s="26">
        <v>62.0</v>
      </c>
      <c r="AA91" s="26">
        <v>122.6</v>
      </c>
      <c r="AB91" s="26">
        <v>119.0</v>
      </c>
      <c r="AC91" s="26">
        <v>126.2</v>
      </c>
      <c r="AD91" s="26">
        <v>-1.05</v>
      </c>
      <c r="AE91" s="26">
        <v>84.0</v>
      </c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>
        <v>62.0</v>
      </c>
      <c r="BB91" s="26">
        <v>104.5</v>
      </c>
      <c r="BC91" s="26">
        <v>103.8</v>
      </c>
      <c r="BD91" s="26">
        <v>105.3</v>
      </c>
      <c r="BE91" s="26">
        <v>-0.57</v>
      </c>
      <c r="BF91" s="26">
        <v>91.0</v>
      </c>
      <c r="BG91" s="26"/>
      <c r="BH91" s="26"/>
      <c r="BI91" s="26"/>
      <c r="BJ91" s="26"/>
      <c r="BK91" s="26"/>
      <c r="BL91" s="26"/>
    </row>
    <row r="92" ht="15.75" customHeight="1">
      <c r="A92" s="25"/>
      <c r="B92" s="26"/>
      <c r="C92" s="26">
        <v>63.0</v>
      </c>
      <c r="D92" s="26">
        <v>125.7</v>
      </c>
      <c r="E92" s="26">
        <v>124.3</v>
      </c>
      <c r="F92" s="26">
        <v>127.0</v>
      </c>
      <c r="G92" s="26">
        <v>1.26</v>
      </c>
      <c r="H92" s="26">
        <v>119.0</v>
      </c>
      <c r="I92" s="26"/>
      <c r="J92" s="26"/>
      <c r="K92" s="26">
        <v>63.0</v>
      </c>
      <c r="L92" s="26">
        <v>119.7</v>
      </c>
      <c r="M92" s="26">
        <v>119.1</v>
      </c>
      <c r="N92" s="26">
        <v>120.4</v>
      </c>
      <c r="O92" s="26">
        <v>-0.64</v>
      </c>
      <c r="P92" s="26">
        <v>90.0</v>
      </c>
      <c r="Q92" s="26"/>
      <c r="R92" s="26"/>
      <c r="S92" s="26"/>
      <c r="T92" s="26"/>
      <c r="U92" s="26"/>
      <c r="V92" s="26"/>
      <c r="W92" s="26"/>
      <c r="X92" s="26"/>
      <c r="Y92" s="26"/>
      <c r="Z92" s="26">
        <v>63.0</v>
      </c>
      <c r="AA92" s="26">
        <v>123.2</v>
      </c>
      <c r="AB92" s="26">
        <v>119.5</v>
      </c>
      <c r="AC92" s="26">
        <v>126.9</v>
      </c>
      <c r="AD92" s="26">
        <v>-1.01</v>
      </c>
      <c r="AE92" s="26">
        <v>85.0</v>
      </c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>
        <v>63.0</v>
      </c>
      <c r="BB92" s="26">
        <v>104.8</v>
      </c>
      <c r="BC92" s="26">
        <v>104.0</v>
      </c>
      <c r="BD92" s="26">
        <v>105.6</v>
      </c>
      <c r="BE92" s="26">
        <v>-0.5</v>
      </c>
      <c r="BF92" s="26">
        <v>93.0</v>
      </c>
      <c r="BG92" s="26"/>
      <c r="BH92" s="26"/>
      <c r="BI92" s="26"/>
      <c r="BJ92" s="26"/>
      <c r="BK92" s="26"/>
      <c r="BL92" s="26"/>
    </row>
    <row r="93" ht="15.75" customHeight="1">
      <c r="A93" s="25"/>
      <c r="B93" s="26"/>
      <c r="C93" s="26">
        <v>64.0</v>
      </c>
      <c r="D93" s="26">
        <v>126.5</v>
      </c>
      <c r="E93" s="26">
        <v>124.9</v>
      </c>
      <c r="F93" s="26">
        <v>128.2</v>
      </c>
      <c r="G93" s="26">
        <v>1.4</v>
      </c>
      <c r="H93" s="26">
        <v>121.0</v>
      </c>
      <c r="I93" s="26"/>
      <c r="J93" s="26"/>
      <c r="K93" s="26">
        <v>64.0</v>
      </c>
      <c r="L93" s="26">
        <v>119.9</v>
      </c>
      <c r="M93" s="26">
        <v>119.2</v>
      </c>
      <c r="N93" s="26">
        <v>120.6</v>
      </c>
      <c r="O93" s="26">
        <v>-0.61</v>
      </c>
      <c r="P93" s="26">
        <v>91.0</v>
      </c>
      <c r="Q93" s="26"/>
      <c r="R93" s="26"/>
      <c r="S93" s="26"/>
      <c r="T93" s="26"/>
      <c r="U93" s="26"/>
      <c r="V93" s="26"/>
      <c r="W93" s="26"/>
      <c r="X93" s="26"/>
      <c r="Y93" s="26"/>
      <c r="Z93" s="26">
        <v>64.0</v>
      </c>
      <c r="AA93" s="26">
        <v>123.8</v>
      </c>
      <c r="AB93" s="26">
        <v>120.1</v>
      </c>
      <c r="AC93" s="26">
        <v>127.6</v>
      </c>
      <c r="AD93" s="26">
        <v>-0.96</v>
      </c>
      <c r="AE93" s="26">
        <v>86.0</v>
      </c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>
        <v>64.0</v>
      </c>
      <c r="BB93" s="26">
        <v>105.0</v>
      </c>
      <c r="BC93" s="26">
        <v>104.2</v>
      </c>
      <c r="BD93" s="26">
        <v>105.8</v>
      </c>
      <c r="BE93" s="26">
        <v>-0.42</v>
      </c>
      <c r="BF93" s="26">
        <v>94.0</v>
      </c>
      <c r="BG93" s="26"/>
      <c r="BH93" s="26"/>
      <c r="BI93" s="26"/>
      <c r="BJ93" s="26"/>
      <c r="BK93" s="26"/>
      <c r="BL93" s="26"/>
    </row>
    <row r="94" ht="15.75" customHeight="1">
      <c r="A94" s="25"/>
      <c r="B94" s="26"/>
      <c r="C94" s="26">
        <v>65.0</v>
      </c>
      <c r="D94" s="26">
        <v>127.4</v>
      </c>
      <c r="E94" s="26">
        <v>126.1</v>
      </c>
      <c r="F94" s="26">
        <v>128.7</v>
      </c>
      <c r="G94" s="26">
        <v>1.54</v>
      </c>
      <c r="H94" s="26">
        <v>123.0</v>
      </c>
      <c r="I94" s="26"/>
      <c r="J94" s="26"/>
      <c r="K94" s="26">
        <v>65.0</v>
      </c>
      <c r="L94" s="26">
        <v>120.1</v>
      </c>
      <c r="M94" s="26">
        <v>119.4</v>
      </c>
      <c r="N94" s="26">
        <v>120.7</v>
      </c>
      <c r="O94" s="26">
        <v>-0.58</v>
      </c>
      <c r="P94" s="26">
        <v>91.0</v>
      </c>
      <c r="Q94" s="26"/>
      <c r="R94" s="26"/>
      <c r="S94" s="26"/>
      <c r="T94" s="26"/>
      <c r="U94" s="26"/>
      <c r="V94" s="26"/>
      <c r="W94" s="26"/>
      <c r="X94" s="26"/>
      <c r="Y94" s="26"/>
      <c r="Z94" s="26">
        <v>65.0</v>
      </c>
      <c r="AA94" s="26">
        <v>124.5</v>
      </c>
      <c r="AB94" s="26">
        <v>120.7</v>
      </c>
      <c r="AC94" s="26">
        <v>128.3</v>
      </c>
      <c r="AD94" s="26">
        <v>-0.92</v>
      </c>
      <c r="AE94" s="26">
        <v>86.0</v>
      </c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>
        <v>65.0</v>
      </c>
      <c r="BB94" s="26">
        <v>105.3</v>
      </c>
      <c r="BC94" s="26">
        <v>104.4</v>
      </c>
      <c r="BD94" s="26">
        <v>106.1</v>
      </c>
      <c r="BE94" s="26">
        <v>-0.34</v>
      </c>
      <c r="BF94" s="26">
        <v>95.0</v>
      </c>
      <c r="BG94" s="26"/>
      <c r="BH94" s="26"/>
      <c r="BI94" s="26"/>
      <c r="BJ94" s="26"/>
      <c r="BK94" s="26"/>
      <c r="BL94" s="26"/>
    </row>
    <row r="95" ht="15.75" customHeight="1">
      <c r="A95" s="25"/>
      <c r="B95" s="26"/>
      <c r="C95" s="26">
        <v>66.0</v>
      </c>
      <c r="D95" s="26">
        <v>127.9</v>
      </c>
      <c r="E95" s="26">
        <v>126.8</v>
      </c>
      <c r="F95" s="26">
        <v>129.0</v>
      </c>
      <c r="G95" s="26">
        <v>1.63</v>
      </c>
      <c r="H95" s="26">
        <v>124.0</v>
      </c>
      <c r="I95" s="26"/>
      <c r="J95" s="26"/>
      <c r="K95" s="26">
        <v>66.0</v>
      </c>
      <c r="L95" s="26">
        <v>120.2</v>
      </c>
      <c r="M95" s="26">
        <v>119.5</v>
      </c>
      <c r="N95" s="26">
        <v>120.9</v>
      </c>
      <c r="O95" s="26">
        <v>-0.55</v>
      </c>
      <c r="P95" s="26">
        <v>92.0</v>
      </c>
      <c r="Q95" s="26"/>
      <c r="R95" s="26"/>
      <c r="S95" s="26"/>
      <c r="T95" s="26"/>
      <c r="U95" s="26"/>
      <c r="V95" s="26"/>
      <c r="W95" s="26"/>
      <c r="X95" s="26"/>
      <c r="Y95" s="26"/>
      <c r="Z95" s="26">
        <v>66.0</v>
      </c>
      <c r="AA95" s="26">
        <v>125.2</v>
      </c>
      <c r="AB95" s="26">
        <v>121.2</v>
      </c>
      <c r="AC95" s="26">
        <v>129.1</v>
      </c>
      <c r="AD95" s="26">
        <v>-0.87</v>
      </c>
      <c r="AE95" s="26">
        <v>87.0</v>
      </c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>
        <v>66.0</v>
      </c>
      <c r="BB95" s="26">
        <v>105.5</v>
      </c>
      <c r="BC95" s="26">
        <v>104.6</v>
      </c>
      <c r="BD95" s="26">
        <v>106.4</v>
      </c>
      <c r="BE95" s="26">
        <v>-0.25</v>
      </c>
      <c r="BF95" s="26">
        <v>96.0</v>
      </c>
      <c r="BG95" s="26"/>
      <c r="BH95" s="26"/>
      <c r="BI95" s="26"/>
      <c r="BJ95" s="26"/>
      <c r="BK95" s="26"/>
      <c r="BL95" s="26"/>
    </row>
    <row r="96" ht="15.75" customHeight="1">
      <c r="A96" s="25"/>
      <c r="B96" s="26"/>
      <c r="C96" s="26">
        <v>67.0</v>
      </c>
      <c r="D96" s="26">
        <v>128.3</v>
      </c>
      <c r="E96" s="26">
        <v>127.2</v>
      </c>
      <c r="F96" s="26">
        <v>129.5</v>
      </c>
      <c r="G96" s="26">
        <v>1.71</v>
      </c>
      <c r="H96" s="26">
        <v>126.0</v>
      </c>
      <c r="I96" s="26"/>
      <c r="J96" s="26"/>
      <c r="K96" s="26">
        <v>67.0</v>
      </c>
      <c r="L96" s="26">
        <v>120.4</v>
      </c>
      <c r="M96" s="26">
        <v>119.7</v>
      </c>
      <c r="N96" s="26">
        <v>121.1</v>
      </c>
      <c r="O96" s="26">
        <v>-0.52</v>
      </c>
      <c r="P96" s="26">
        <v>92.0</v>
      </c>
      <c r="Q96" s="26"/>
      <c r="R96" s="26"/>
      <c r="S96" s="26"/>
      <c r="T96" s="26"/>
      <c r="U96" s="26"/>
      <c r="V96" s="26"/>
      <c r="W96" s="26"/>
      <c r="X96" s="26"/>
      <c r="Y96" s="26"/>
      <c r="Z96" s="26">
        <v>67.0</v>
      </c>
      <c r="AA96" s="26">
        <v>125.9</v>
      </c>
      <c r="AB96" s="26">
        <v>121.9</v>
      </c>
      <c r="AC96" s="26">
        <v>129.9</v>
      </c>
      <c r="AD96" s="26">
        <v>-0.82</v>
      </c>
      <c r="AE96" s="26">
        <v>88.0</v>
      </c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>
        <v>67.0</v>
      </c>
      <c r="BB96" s="26">
        <v>105.9</v>
      </c>
      <c r="BC96" s="26">
        <v>104.9</v>
      </c>
      <c r="BD96" s="26">
        <v>106.8</v>
      </c>
      <c r="BE96" s="26">
        <v>-0.14</v>
      </c>
      <c r="BF96" s="26">
        <v>98.0</v>
      </c>
      <c r="BG96" s="26"/>
      <c r="BH96" s="26"/>
      <c r="BI96" s="26"/>
      <c r="BJ96" s="26"/>
      <c r="BK96" s="26"/>
      <c r="BL96" s="26"/>
    </row>
    <row r="97" ht="15.75" customHeight="1">
      <c r="A97" s="25"/>
      <c r="B97" s="26"/>
      <c r="C97" s="26">
        <v>68.0</v>
      </c>
      <c r="D97" s="26">
        <v>128.9</v>
      </c>
      <c r="E97" s="26">
        <v>127.4</v>
      </c>
      <c r="F97" s="26">
        <v>130.4</v>
      </c>
      <c r="G97" s="26">
        <v>1.81</v>
      </c>
      <c r="H97" s="26">
        <v>127.0</v>
      </c>
      <c r="I97" s="26"/>
      <c r="J97" s="26"/>
      <c r="K97" s="26">
        <v>68.0</v>
      </c>
      <c r="L97" s="26">
        <v>120.6</v>
      </c>
      <c r="M97" s="26">
        <v>119.9</v>
      </c>
      <c r="N97" s="26">
        <v>121.4</v>
      </c>
      <c r="O97" s="26">
        <v>-0.49</v>
      </c>
      <c r="P97" s="26">
        <v>93.0</v>
      </c>
      <c r="Q97" s="26"/>
      <c r="R97" s="26"/>
      <c r="S97" s="26"/>
      <c r="T97" s="26"/>
      <c r="U97" s="26"/>
      <c r="V97" s="26"/>
      <c r="W97" s="26"/>
      <c r="X97" s="26"/>
      <c r="Y97" s="26"/>
      <c r="Z97" s="26">
        <v>68.0</v>
      </c>
      <c r="AA97" s="26">
        <v>126.7</v>
      </c>
      <c r="AB97" s="26">
        <v>122.5</v>
      </c>
      <c r="AC97" s="26">
        <v>130.8</v>
      </c>
      <c r="AD97" s="26">
        <v>-0.77</v>
      </c>
      <c r="AE97" s="26">
        <v>88.0</v>
      </c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>
        <v>68.0</v>
      </c>
      <c r="BB97" s="26">
        <v>106.2</v>
      </c>
      <c r="BC97" s="26">
        <v>105.2</v>
      </c>
      <c r="BD97" s="26">
        <v>107.2</v>
      </c>
      <c r="BE97" s="26">
        <v>-0.03</v>
      </c>
      <c r="BF97" s="26">
        <v>100.0</v>
      </c>
      <c r="BG97" s="26"/>
      <c r="BH97" s="26"/>
      <c r="BI97" s="26"/>
      <c r="BJ97" s="26"/>
      <c r="BK97" s="26"/>
      <c r="BL97" s="26"/>
    </row>
    <row r="98" ht="15.75" customHeight="1">
      <c r="A98" s="25"/>
      <c r="B98" s="26"/>
      <c r="C98" s="26">
        <v>69.0</v>
      </c>
      <c r="D98" s="26">
        <v>132.2</v>
      </c>
      <c r="E98" s="26">
        <v>125.3</v>
      </c>
      <c r="F98" s="26">
        <v>139.1</v>
      </c>
      <c r="G98" s="26">
        <v>2.36</v>
      </c>
      <c r="H98" s="26">
        <v>135.0</v>
      </c>
      <c r="I98" s="26"/>
      <c r="J98" s="26"/>
      <c r="K98" s="26">
        <v>69.0</v>
      </c>
      <c r="L98" s="26">
        <v>120.8</v>
      </c>
      <c r="M98" s="26">
        <v>120.1</v>
      </c>
      <c r="N98" s="26">
        <v>121.6</v>
      </c>
      <c r="O98" s="26">
        <v>-0.45</v>
      </c>
      <c r="P98" s="26">
        <v>93.0</v>
      </c>
      <c r="Q98" s="26"/>
      <c r="R98" s="26"/>
      <c r="S98" s="26"/>
      <c r="T98" s="26"/>
      <c r="U98" s="26"/>
      <c r="V98" s="26"/>
      <c r="W98" s="26"/>
      <c r="X98" s="26"/>
      <c r="Y98" s="26"/>
      <c r="Z98" s="26">
        <v>69.0</v>
      </c>
      <c r="AA98" s="26">
        <v>127.5</v>
      </c>
      <c r="AB98" s="26">
        <v>123.2</v>
      </c>
      <c r="AC98" s="26">
        <v>131.8</v>
      </c>
      <c r="AD98" s="26">
        <v>-0.71</v>
      </c>
      <c r="AE98" s="26">
        <v>89.0</v>
      </c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>
        <v>69.0</v>
      </c>
      <c r="BB98" s="26">
        <v>106.5</v>
      </c>
      <c r="BC98" s="26">
        <v>105.6</v>
      </c>
      <c r="BD98" s="26">
        <v>107.5</v>
      </c>
      <c r="BE98" s="26">
        <v>0.09</v>
      </c>
      <c r="BF98" s="26">
        <v>101.0</v>
      </c>
      <c r="BG98" s="26"/>
      <c r="BH98" s="26"/>
      <c r="BI98" s="26"/>
      <c r="BJ98" s="26"/>
      <c r="BK98" s="26"/>
      <c r="BL98" s="26"/>
    </row>
    <row r="99" ht="15.75" customHeight="1">
      <c r="A99" s="25"/>
      <c r="B99" s="26"/>
      <c r="C99" s="26">
        <v>70.0</v>
      </c>
      <c r="D99" s="26">
        <v>136.2</v>
      </c>
      <c r="E99" s="26">
        <v>134.4</v>
      </c>
      <c r="F99" s="26">
        <v>138.0</v>
      </c>
      <c r="G99" s="26">
        <v>3.03</v>
      </c>
      <c r="H99" s="26">
        <v>145.0</v>
      </c>
      <c r="I99" s="26"/>
      <c r="J99" s="26"/>
      <c r="K99" s="26">
        <v>70.0</v>
      </c>
      <c r="L99" s="26">
        <v>121.1</v>
      </c>
      <c r="M99" s="26">
        <v>120.3</v>
      </c>
      <c r="N99" s="26">
        <v>121.9</v>
      </c>
      <c r="O99" s="26">
        <v>-0.41</v>
      </c>
      <c r="P99" s="26">
        <v>94.0</v>
      </c>
      <c r="Q99" s="26"/>
      <c r="R99" s="26"/>
      <c r="S99" s="26"/>
      <c r="T99" s="26"/>
      <c r="U99" s="26"/>
      <c r="V99" s="26"/>
      <c r="W99" s="26"/>
      <c r="X99" s="26"/>
      <c r="Y99" s="26"/>
      <c r="Z99" s="26">
        <v>70.0</v>
      </c>
      <c r="AA99" s="26">
        <v>128.4</v>
      </c>
      <c r="AB99" s="26">
        <v>123.9</v>
      </c>
      <c r="AC99" s="26">
        <v>132.9</v>
      </c>
      <c r="AD99" s="26">
        <v>-0.65</v>
      </c>
      <c r="AE99" s="26">
        <v>90.0</v>
      </c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>
        <v>70.0</v>
      </c>
      <c r="BB99" s="26">
        <v>106.8</v>
      </c>
      <c r="BC99" s="26">
        <v>106.0</v>
      </c>
      <c r="BD99" s="26">
        <v>107.7</v>
      </c>
      <c r="BE99" s="26">
        <v>0.18</v>
      </c>
      <c r="BF99" s="26">
        <v>103.0</v>
      </c>
      <c r="BG99" s="26"/>
      <c r="BH99" s="26"/>
      <c r="BI99" s="26"/>
      <c r="BJ99" s="26"/>
      <c r="BK99" s="26"/>
      <c r="BL99" s="26"/>
    </row>
    <row r="100" ht="15.75" customHeight="1">
      <c r="A100" s="25"/>
      <c r="B100" s="26"/>
      <c r="C100" s="26">
        <v>71.0</v>
      </c>
      <c r="D100" s="26">
        <v>137.0</v>
      </c>
      <c r="E100" s="26">
        <v>135.7</v>
      </c>
      <c r="F100" s="26">
        <v>138.3</v>
      </c>
      <c r="G100" s="26">
        <v>3.17</v>
      </c>
      <c r="H100" s="26">
        <v>148.0</v>
      </c>
      <c r="I100" s="26"/>
      <c r="J100" s="26"/>
      <c r="K100" s="26">
        <v>71.0</v>
      </c>
      <c r="L100" s="26">
        <v>121.3</v>
      </c>
      <c r="M100" s="26">
        <v>120.5</v>
      </c>
      <c r="N100" s="26">
        <v>122.1</v>
      </c>
      <c r="O100" s="26">
        <v>-0.37</v>
      </c>
      <c r="P100" s="26">
        <v>95.0</v>
      </c>
      <c r="Q100" s="26"/>
      <c r="R100" s="26"/>
      <c r="S100" s="26"/>
      <c r="T100" s="26"/>
      <c r="U100" s="26"/>
      <c r="V100" s="26"/>
      <c r="W100" s="26"/>
      <c r="X100" s="26"/>
      <c r="Y100" s="26"/>
      <c r="Z100" s="26">
        <v>71.0</v>
      </c>
      <c r="AA100" s="26">
        <v>129.4</v>
      </c>
      <c r="AB100" s="26">
        <v>124.6</v>
      </c>
      <c r="AC100" s="26">
        <v>134.1</v>
      </c>
      <c r="AD100" s="26">
        <v>-0.58</v>
      </c>
      <c r="AE100" s="26">
        <v>91.0</v>
      </c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>
        <v>71.0</v>
      </c>
      <c r="BB100" s="26">
        <v>107.1</v>
      </c>
      <c r="BC100" s="26">
        <v>106.3</v>
      </c>
      <c r="BD100" s="26">
        <v>108.0</v>
      </c>
      <c r="BE100" s="26">
        <v>0.27</v>
      </c>
      <c r="BF100" s="26">
        <v>104.0</v>
      </c>
      <c r="BG100" s="26"/>
      <c r="BH100" s="26"/>
      <c r="BI100" s="26"/>
      <c r="BJ100" s="26"/>
      <c r="BK100" s="26"/>
      <c r="BL100" s="26"/>
    </row>
    <row r="101" ht="15.75" customHeight="1">
      <c r="A101" s="25"/>
      <c r="B101" s="26"/>
      <c r="C101" s="26">
        <v>72.0</v>
      </c>
      <c r="D101" s="26">
        <v>137.6</v>
      </c>
      <c r="E101" s="26">
        <v>136.3</v>
      </c>
      <c r="F101" s="26">
        <v>138.8</v>
      </c>
      <c r="G101" s="26">
        <v>3.27</v>
      </c>
      <c r="H101" s="26">
        <v>149.0</v>
      </c>
      <c r="I101" s="26"/>
      <c r="J101" s="26"/>
      <c r="K101" s="26">
        <v>72.0</v>
      </c>
      <c r="L101" s="26">
        <v>121.6</v>
      </c>
      <c r="M101" s="26">
        <v>120.7</v>
      </c>
      <c r="N101" s="26">
        <v>122.4</v>
      </c>
      <c r="O101" s="26">
        <v>-0.32</v>
      </c>
      <c r="P101" s="26">
        <v>95.0</v>
      </c>
      <c r="Q101" s="26"/>
      <c r="R101" s="26"/>
      <c r="S101" s="26"/>
      <c r="T101" s="26"/>
      <c r="U101" s="26"/>
      <c r="V101" s="26"/>
      <c r="W101" s="26"/>
      <c r="X101" s="26"/>
      <c r="Y101" s="26"/>
      <c r="Z101" s="26">
        <v>72.0</v>
      </c>
      <c r="AA101" s="26">
        <v>130.4</v>
      </c>
      <c r="AB101" s="26">
        <v>125.5</v>
      </c>
      <c r="AC101" s="26">
        <v>135.4</v>
      </c>
      <c r="AD101" s="26">
        <v>-0.51</v>
      </c>
      <c r="AE101" s="26">
        <v>92.0</v>
      </c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>
        <v>72.0</v>
      </c>
      <c r="BB101" s="26">
        <v>107.4</v>
      </c>
      <c r="BC101" s="26">
        <v>106.5</v>
      </c>
      <c r="BD101" s="26">
        <v>108.2</v>
      </c>
      <c r="BE101" s="26">
        <v>0.36</v>
      </c>
      <c r="BF101" s="26">
        <v>105.0</v>
      </c>
      <c r="BG101" s="26"/>
      <c r="BH101" s="26"/>
      <c r="BI101" s="26"/>
      <c r="BJ101" s="26"/>
      <c r="BK101" s="26"/>
      <c r="BL101" s="26"/>
    </row>
    <row r="102" ht="15.75" customHeight="1">
      <c r="A102" s="25"/>
      <c r="B102" s="26"/>
      <c r="C102" s="26">
        <v>73.0</v>
      </c>
      <c r="D102" s="26">
        <v>138.3</v>
      </c>
      <c r="E102" s="26">
        <v>136.7</v>
      </c>
      <c r="F102" s="26">
        <v>139.8</v>
      </c>
      <c r="G102" s="26">
        <v>3.38</v>
      </c>
      <c r="H102" s="26">
        <v>151.0</v>
      </c>
      <c r="I102" s="26"/>
      <c r="J102" s="26"/>
      <c r="K102" s="26">
        <v>73.0</v>
      </c>
      <c r="L102" s="26">
        <v>121.8</v>
      </c>
      <c r="M102" s="26">
        <v>121.0</v>
      </c>
      <c r="N102" s="26">
        <v>122.6</v>
      </c>
      <c r="O102" s="26">
        <v>-0.28</v>
      </c>
      <c r="P102" s="26">
        <v>96.0</v>
      </c>
      <c r="Q102" s="26"/>
      <c r="R102" s="26"/>
      <c r="S102" s="26"/>
      <c r="T102" s="26"/>
      <c r="U102" s="26"/>
      <c r="V102" s="26"/>
      <c r="W102" s="26"/>
      <c r="X102" s="26"/>
      <c r="Y102" s="26"/>
      <c r="Z102" s="26">
        <v>73.0</v>
      </c>
      <c r="AA102" s="26">
        <v>131.6</v>
      </c>
      <c r="AB102" s="26">
        <v>126.3</v>
      </c>
      <c r="AC102" s="26">
        <v>136.9</v>
      </c>
      <c r="AD102" s="26">
        <v>-0.43</v>
      </c>
      <c r="AE102" s="26">
        <v>94.0</v>
      </c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>
        <v>73.0</v>
      </c>
      <c r="BB102" s="26">
        <v>107.6</v>
      </c>
      <c r="BC102" s="26">
        <v>106.8</v>
      </c>
      <c r="BD102" s="26">
        <v>108.4</v>
      </c>
      <c r="BE102" s="26">
        <v>0.44</v>
      </c>
      <c r="BF102" s="26">
        <v>107.0</v>
      </c>
      <c r="BG102" s="26"/>
      <c r="BH102" s="26"/>
      <c r="BI102" s="26"/>
      <c r="BJ102" s="26"/>
      <c r="BK102" s="26"/>
      <c r="BL102" s="26"/>
    </row>
    <row r="103" ht="15.75" customHeight="1">
      <c r="A103" s="25"/>
      <c r="B103" s="26"/>
      <c r="C103" s="26">
        <v>74.0</v>
      </c>
      <c r="D103" s="26">
        <v>139.3</v>
      </c>
      <c r="E103" s="26">
        <v>136.5</v>
      </c>
      <c r="F103" s="26">
        <v>142.0</v>
      </c>
      <c r="G103" s="26">
        <v>3.56</v>
      </c>
      <c r="H103" s="26">
        <v>153.0</v>
      </c>
      <c r="I103" s="26"/>
      <c r="J103" s="26"/>
      <c r="K103" s="26">
        <v>74.0</v>
      </c>
      <c r="L103" s="26">
        <v>122.0</v>
      </c>
      <c r="M103" s="26">
        <v>121.2</v>
      </c>
      <c r="N103" s="26">
        <v>122.8</v>
      </c>
      <c r="O103" s="26">
        <v>-0.24</v>
      </c>
      <c r="P103" s="26">
        <v>96.0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>
        <v>74.0</v>
      </c>
      <c r="AA103" s="26">
        <v>133.0</v>
      </c>
      <c r="AB103" s="26">
        <v>127.3</v>
      </c>
      <c r="AC103" s="26">
        <v>138.6</v>
      </c>
      <c r="AD103" s="26">
        <v>-0.33</v>
      </c>
      <c r="AE103" s="26">
        <v>95.0</v>
      </c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>
        <v>74.0</v>
      </c>
      <c r="BB103" s="26">
        <v>107.9</v>
      </c>
      <c r="BC103" s="26">
        <v>107.0</v>
      </c>
      <c r="BD103" s="26">
        <v>108.7</v>
      </c>
      <c r="BE103" s="26">
        <v>0.52</v>
      </c>
      <c r="BF103" s="26">
        <v>108.0</v>
      </c>
      <c r="BG103" s="26"/>
      <c r="BH103" s="26"/>
      <c r="BI103" s="26"/>
      <c r="BJ103" s="26"/>
      <c r="BK103" s="26"/>
      <c r="BL103" s="26"/>
    </row>
    <row r="104" ht="15.75" customHeight="1">
      <c r="A104" s="25"/>
      <c r="B104" s="26"/>
      <c r="C104" s="26"/>
      <c r="D104" s="26"/>
      <c r="E104" s="26"/>
      <c r="F104" s="26"/>
      <c r="G104" s="26"/>
      <c r="H104" s="26"/>
      <c r="I104" s="26"/>
      <c r="J104" s="26"/>
      <c r="K104" s="26">
        <v>75.0</v>
      </c>
      <c r="L104" s="26">
        <v>122.3</v>
      </c>
      <c r="M104" s="26">
        <v>121.5</v>
      </c>
      <c r="N104" s="26">
        <v>123.1</v>
      </c>
      <c r="O104" s="26">
        <v>-0.19</v>
      </c>
      <c r="P104" s="26">
        <v>97.0</v>
      </c>
      <c r="Q104" s="26"/>
      <c r="R104" s="26"/>
      <c r="S104" s="26"/>
      <c r="T104" s="26"/>
      <c r="U104" s="26"/>
      <c r="V104" s="26"/>
      <c r="W104" s="26"/>
      <c r="X104" s="26"/>
      <c r="Y104" s="26"/>
      <c r="Z104" s="26">
        <v>75.0</v>
      </c>
      <c r="AA104" s="26">
        <v>134.6</v>
      </c>
      <c r="AB104" s="26">
        <v>128.4</v>
      </c>
      <c r="AC104" s="26">
        <v>140.8</v>
      </c>
      <c r="AD104" s="26">
        <v>-0.22</v>
      </c>
      <c r="AE104" s="26">
        <v>97.0</v>
      </c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>
        <v>75.0</v>
      </c>
      <c r="BB104" s="26">
        <v>108.1</v>
      </c>
      <c r="BC104" s="26">
        <v>107.3</v>
      </c>
      <c r="BD104" s="26">
        <v>109.0</v>
      </c>
      <c r="BE104" s="26">
        <v>0.61</v>
      </c>
      <c r="BF104" s="26">
        <v>109.0</v>
      </c>
      <c r="BG104" s="26"/>
      <c r="BH104" s="26"/>
      <c r="BI104" s="26"/>
      <c r="BJ104" s="26"/>
      <c r="BK104" s="26"/>
      <c r="BL104" s="26"/>
    </row>
    <row r="105" ht="15.75" customHeight="1">
      <c r="A105" s="25"/>
      <c r="B105" s="26"/>
      <c r="C105" s="26"/>
      <c r="D105" s="26"/>
      <c r="E105" s="26"/>
      <c r="F105" s="26"/>
      <c r="G105" s="26"/>
      <c r="H105" s="26"/>
      <c r="I105" s="26"/>
      <c r="J105" s="26"/>
      <c r="K105" s="26">
        <v>76.0</v>
      </c>
      <c r="L105" s="26">
        <v>122.5</v>
      </c>
      <c r="M105" s="26">
        <v>121.7</v>
      </c>
      <c r="N105" s="26">
        <v>123.3</v>
      </c>
      <c r="O105" s="26">
        <v>-0.15</v>
      </c>
      <c r="P105" s="26">
        <v>98.0</v>
      </c>
      <c r="Q105" s="26"/>
      <c r="R105" s="26"/>
      <c r="S105" s="26"/>
      <c r="T105" s="26"/>
      <c r="U105" s="26"/>
      <c r="V105" s="26"/>
      <c r="W105" s="26"/>
      <c r="X105" s="26"/>
      <c r="Y105" s="26"/>
      <c r="Z105" s="26">
        <v>76.0</v>
      </c>
      <c r="AA105" s="26">
        <v>136.5</v>
      </c>
      <c r="AB105" s="26">
        <v>129.7</v>
      </c>
      <c r="AC105" s="26">
        <v>143.4</v>
      </c>
      <c r="AD105" s="26">
        <v>-0.09</v>
      </c>
      <c r="AE105" s="26">
        <v>99.0</v>
      </c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>
        <v>76.0</v>
      </c>
      <c r="BB105" s="26">
        <v>108.4</v>
      </c>
      <c r="BC105" s="26">
        <v>107.5</v>
      </c>
      <c r="BD105" s="26">
        <v>109.4</v>
      </c>
      <c r="BE105" s="26">
        <v>0.71</v>
      </c>
      <c r="BF105" s="26">
        <v>111.0</v>
      </c>
      <c r="BG105" s="26"/>
      <c r="BH105" s="26"/>
      <c r="BI105" s="26"/>
      <c r="BJ105" s="26"/>
      <c r="BK105" s="26"/>
      <c r="BL105" s="26"/>
    </row>
    <row r="106" ht="15.75" customHeight="1">
      <c r="A106" s="25"/>
      <c r="B106" s="26"/>
      <c r="C106" s="26"/>
      <c r="D106" s="26"/>
      <c r="E106" s="26"/>
      <c r="F106" s="26"/>
      <c r="G106" s="26"/>
      <c r="H106" s="26"/>
      <c r="I106" s="26"/>
      <c r="J106" s="26"/>
      <c r="K106" s="26">
        <v>77.0</v>
      </c>
      <c r="L106" s="26">
        <v>122.8</v>
      </c>
      <c r="M106" s="26">
        <v>121.9</v>
      </c>
      <c r="N106" s="26">
        <v>123.6</v>
      </c>
      <c r="O106" s="26">
        <v>-0.11</v>
      </c>
      <c r="P106" s="26">
        <v>98.0</v>
      </c>
      <c r="Q106" s="26"/>
      <c r="R106" s="26"/>
      <c r="S106" s="26"/>
      <c r="T106" s="26"/>
      <c r="U106" s="26"/>
      <c r="V106" s="26"/>
      <c r="W106" s="26"/>
      <c r="X106" s="26"/>
      <c r="Y106" s="26"/>
      <c r="Z106" s="26">
        <v>77.0</v>
      </c>
      <c r="AA106" s="26">
        <v>139.0</v>
      </c>
      <c r="AB106" s="26">
        <v>131.1</v>
      </c>
      <c r="AC106" s="26">
        <v>146.9</v>
      </c>
      <c r="AD106" s="26">
        <v>0.08</v>
      </c>
      <c r="AE106" s="26">
        <v>101.0</v>
      </c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>
        <v>77.0</v>
      </c>
      <c r="BB106" s="26">
        <v>108.8</v>
      </c>
      <c r="BC106" s="26">
        <v>107.7</v>
      </c>
      <c r="BD106" s="26">
        <v>109.9</v>
      </c>
      <c r="BE106" s="26">
        <v>0.84</v>
      </c>
      <c r="BF106" s="26">
        <v>113.0</v>
      </c>
      <c r="BG106" s="26"/>
      <c r="BH106" s="26"/>
      <c r="BI106" s="26"/>
      <c r="BJ106" s="26"/>
      <c r="BK106" s="26"/>
      <c r="BL106" s="26"/>
    </row>
    <row r="107" ht="15.75" customHeight="1">
      <c r="A107" s="25"/>
      <c r="B107" s="26"/>
      <c r="C107" s="26"/>
      <c r="D107" s="26"/>
      <c r="E107" s="26"/>
      <c r="F107" s="26"/>
      <c r="G107" s="26"/>
      <c r="H107" s="26"/>
      <c r="I107" s="26"/>
      <c r="J107" s="26"/>
      <c r="K107" s="26">
        <v>78.0</v>
      </c>
      <c r="L107" s="26">
        <v>123.0</v>
      </c>
      <c r="M107" s="26">
        <v>122.2</v>
      </c>
      <c r="N107" s="26">
        <v>123.9</v>
      </c>
      <c r="O107" s="26">
        <v>-0.07</v>
      </c>
      <c r="P107" s="26">
        <v>99.0</v>
      </c>
      <c r="Q107" s="26"/>
      <c r="R107" s="26"/>
      <c r="S107" s="26"/>
      <c r="T107" s="26"/>
      <c r="U107" s="26"/>
      <c r="V107" s="26"/>
      <c r="W107" s="26"/>
      <c r="X107" s="26"/>
      <c r="Y107" s="26"/>
      <c r="Z107" s="26">
        <v>78.0</v>
      </c>
      <c r="AA107" s="26">
        <v>142.4</v>
      </c>
      <c r="AB107" s="26">
        <v>132.9</v>
      </c>
      <c r="AC107" s="26">
        <v>152.0</v>
      </c>
      <c r="AD107" s="26">
        <v>0.32</v>
      </c>
      <c r="AE107" s="26">
        <v>105.0</v>
      </c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>
        <v>78.0</v>
      </c>
      <c r="BB107" s="26">
        <v>109.3</v>
      </c>
      <c r="BC107" s="26">
        <v>108.0</v>
      </c>
      <c r="BD107" s="26">
        <v>110.6</v>
      </c>
      <c r="BE107" s="26">
        <v>1.01</v>
      </c>
      <c r="BF107" s="26">
        <v>115.0</v>
      </c>
      <c r="BG107" s="26"/>
      <c r="BH107" s="26"/>
      <c r="BI107" s="26"/>
      <c r="BJ107" s="26"/>
      <c r="BK107" s="26"/>
      <c r="BL107" s="26"/>
    </row>
    <row r="108" ht="15.75" customHeight="1">
      <c r="A108" s="25"/>
      <c r="B108" s="26"/>
      <c r="C108" s="26"/>
      <c r="D108" s="26"/>
      <c r="E108" s="26"/>
      <c r="F108" s="26"/>
      <c r="G108" s="26"/>
      <c r="H108" s="26"/>
      <c r="I108" s="26"/>
      <c r="J108" s="26"/>
      <c r="K108" s="26">
        <v>79.0</v>
      </c>
      <c r="L108" s="26">
        <v>123.3</v>
      </c>
      <c r="M108" s="26">
        <v>122.4</v>
      </c>
      <c r="N108" s="26">
        <v>124.2</v>
      </c>
      <c r="O108" s="26">
        <v>-0.02</v>
      </c>
      <c r="P108" s="26">
        <v>100.0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>
        <v>79.0</v>
      </c>
      <c r="AA108" s="26">
        <v>148.2</v>
      </c>
      <c r="AB108" s="26">
        <v>134.8</v>
      </c>
      <c r="AC108" s="26">
        <v>161.7</v>
      </c>
      <c r="AD108" s="26">
        <v>0.72</v>
      </c>
      <c r="AE108" s="26">
        <v>111.0</v>
      </c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>
        <v>79.0</v>
      </c>
      <c r="BB108" s="26">
        <v>110.0</v>
      </c>
      <c r="BC108" s="26">
        <v>108.7</v>
      </c>
      <c r="BD108" s="26">
        <v>111.4</v>
      </c>
      <c r="BE108" s="26">
        <v>1.23</v>
      </c>
      <c r="BF108" s="26">
        <v>118.0</v>
      </c>
      <c r="BG108" s="26"/>
      <c r="BH108" s="26"/>
      <c r="BI108" s="26"/>
      <c r="BJ108" s="26"/>
      <c r="BK108" s="26"/>
      <c r="BL108" s="26"/>
    </row>
    <row r="109" ht="15.75" customHeight="1">
      <c r="A109" s="25"/>
      <c r="B109" s="26"/>
      <c r="C109" s="26"/>
      <c r="D109" s="26"/>
      <c r="E109" s="26"/>
      <c r="F109" s="26"/>
      <c r="G109" s="26"/>
      <c r="H109" s="26"/>
      <c r="I109" s="26"/>
      <c r="J109" s="26"/>
      <c r="K109" s="26">
        <v>80.0</v>
      </c>
      <c r="L109" s="26">
        <v>123.6</v>
      </c>
      <c r="M109" s="26">
        <v>122.6</v>
      </c>
      <c r="N109" s="26">
        <v>124.6</v>
      </c>
      <c r="O109" s="26">
        <v>0.04</v>
      </c>
      <c r="P109" s="26">
        <v>101.0</v>
      </c>
      <c r="Q109" s="26"/>
      <c r="R109" s="26"/>
      <c r="S109" s="26"/>
      <c r="T109" s="26"/>
      <c r="U109" s="26"/>
      <c r="V109" s="26"/>
      <c r="W109" s="26"/>
      <c r="X109" s="26"/>
      <c r="Y109" s="26"/>
      <c r="Z109" s="26">
        <v>80.0</v>
      </c>
      <c r="AA109" s="26">
        <v>158.1</v>
      </c>
      <c r="AB109" s="26">
        <v>133.8</v>
      </c>
      <c r="AC109" s="26">
        <v>182.3</v>
      </c>
      <c r="AD109" s="26">
        <v>1.39</v>
      </c>
      <c r="AE109" s="26">
        <v>121.0</v>
      </c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>
        <v>80.0</v>
      </c>
      <c r="BB109" s="26">
        <v>110.6</v>
      </c>
      <c r="BC109" s="26">
        <v>109.4</v>
      </c>
      <c r="BD109" s="26">
        <v>111.8</v>
      </c>
      <c r="BE109" s="26">
        <v>1.42</v>
      </c>
      <c r="BF109" s="26">
        <v>121.0</v>
      </c>
      <c r="BG109" s="26"/>
      <c r="BH109" s="26"/>
      <c r="BI109" s="26"/>
      <c r="BJ109" s="26"/>
      <c r="BK109" s="26"/>
      <c r="BL109" s="26"/>
    </row>
    <row r="110" ht="15.75" customHeight="1">
      <c r="A110" s="25"/>
      <c r="B110" s="26"/>
      <c r="C110" s="26"/>
      <c r="D110" s="26"/>
      <c r="E110" s="26"/>
      <c r="F110" s="26"/>
      <c r="G110" s="26"/>
      <c r="H110" s="26"/>
      <c r="I110" s="26"/>
      <c r="J110" s="26"/>
      <c r="K110" s="26">
        <v>81.0</v>
      </c>
      <c r="L110" s="26">
        <v>124.0</v>
      </c>
      <c r="M110" s="26">
        <v>122.9</v>
      </c>
      <c r="N110" s="26">
        <v>125.0</v>
      </c>
      <c r="O110" s="26">
        <v>0.1</v>
      </c>
      <c r="P110" s="26">
        <v>101.0</v>
      </c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>
        <v>81.0</v>
      </c>
      <c r="BB110" s="26">
        <v>111.1</v>
      </c>
      <c r="BC110" s="26">
        <v>110.0</v>
      </c>
      <c r="BD110" s="26">
        <v>112.2</v>
      </c>
      <c r="BE110" s="26">
        <v>1.58</v>
      </c>
      <c r="BF110" s="26">
        <v>124.0</v>
      </c>
      <c r="BG110" s="26"/>
      <c r="BH110" s="26"/>
      <c r="BI110" s="26"/>
      <c r="BJ110" s="26"/>
      <c r="BK110" s="26"/>
      <c r="BL110" s="26"/>
    </row>
    <row r="111" ht="15.75" customHeight="1">
      <c r="A111" s="25"/>
      <c r="B111" s="26"/>
      <c r="C111" s="26"/>
      <c r="D111" s="26"/>
      <c r="E111" s="26"/>
      <c r="F111" s="26"/>
      <c r="G111" s="26"/>
      <c r="H111" s="26"/>
      <c r="I111" s="26"/>
      <c r="J111" s="26"/>
      <c r="K111" s="26">
        <v>82.0</v>
      </c>
      <c r="L111" s="26">
        <v>124.4</v>
      </c>
      <c r="M111" s="26">
        <v>123.3</v>
      </c>
      <c r="N111" s="26">
        <v>125.4</v>
      </c>
      <c r="O111" s="26">
        <v>0.17</v>
      </c>
      <c r="P111" s="26">
        <v>103.0</v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>
        <v>82.0</v>
      </c>
      <c r="BB111" s="26">
        <v>111.5</v>
      </c>
      <c r="BC111" s="26">
        <v>110.4</v>
      </c>
      <c r="BD111" s="26">
        <v>112.6</v>
      </c>
      <c r="BE111" s="26">
        <v>1.72</v>
      </c>
      <c r="BF111" s="26">
        <v>126.0</v>
      </c>
      <c r="BG111" s="26"/>
      <c r="BH111" s="26"/>
      <c r="BI111" s="26"/>
      <c r="BJ111" s="26"/>
      <c r="BK111" s="26"/>
      <c r="BL111" s="26"/>
    </row>
    <row r="112" ht="15.75" customHeight="1">
      <c r="A112" s="25"/>
      <c r="B112" s="26"/>
      <c r="C112" s="26"/>
      <c r="D112" s="26"/>
      <c r="E112" s="26"/>
      <c r="F112" s="26"/>
      <c r="G112" s="26"/>
      <c r="H112" s="26"/>
      <c r="I112" s="26"/>
      <c r="J112" s="26"/>
      <c r="K112" s="26">
        <v>83.0</v>
      </c>
      <c r="L112" s="26">
        <v>124.8</v>
      </c>
      <c r="M112" s="26">
        <v>123.7</v>
      </c>
      <c r="N112" s="26">
        <v>125.9</v>
      </c>
      <c r="O112" s="26">
        <v>0.25</v>
      </c>
      <c r="P112" s="26">
        <v>104.0</v>
      </c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>
        <v>83.0</v>
      </c>
      <c r="BB112" s="26">
        <v>112.1</v>
      </c>
      <c r="BC112" s="26">
        <v>110.7</v>
      </c>
      <c r="BD112" s="26">
        <v>113.5</v>
      </c>
      <c r="BE112" s="26">
        <v>1.9</v>
      </c>
      <c r="BF112" s="26">
        <v>129.0</v>
      </c>
      <c r="BG112" s="26"/>
      <c r="BH112" s="26"/>
      <c r="BI112" s="26"/>
      <c r="BJ112" s="26"/>
      <c r="BK112" s="26"/>
      <c r="BL112" s="26"/>
    </row>
    <row r="113" ht="15.75" customHeight="1">
      <c r="A113" s="25"/>
      <c r="B113" s="26"/>
      <c r="C113" s="26"/>
      <c r="D113" s="26"/>
      <c r="E113" s="26"/>
      <c r="F113" s="26"/>
      <c r="G113" s="26"/>
      <c r="H113" s="26"/>
      <c r="I113" s="26"/>
      <c r="J113" s="26"/>
      <c r="K113" s="26">
        <v>84.0</v>
      </c>
      <c r="L113" s="26">
        <v>125.3</v>
      </c>
      <c r="M113" s="26">
        <v>124.1</v>
      </c>
      <c r="N113" s="26">
        <v>126.5</v>
      </c>
      <c r="O113" s="26">
        <v>0.33</v>
      </c>
      <c r="P113" s="26">
        <v>105.0</v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>
        <v>84.0</v>
      </c>
      <c r="BB113" s="26">
        <v>113.6</v>
      </c>
      <c r="BC113" s="26">
        <v>110.4</v>
      </c>
      <c r="BD113" s="26">
        <v>116.7</v>
      </c>
      <c r="BE113" s="26">
        <v>2.39</v>
      </c>
      <c r="BF113" s="26">
        <v>136.0</v>
      </c>
      <c r="BG113" s="26"/>
      <c r="BH113" s="26"/>
      <c r="BI113" s="26"/>
      <c r="BJ113" s="26"/>
      <c r="BK113" s="26"/>
      <c r="BL113" s="26"/>
    </row>
    <row r="114" ht="15.75" customHeight="1">
      <c r="A114" s="25"/>
      <c r="B114" s="26"/>
      <c r="C114" s="26"/>
      <c r="D114" s="26"/>
      <c r="E114" s="26"/>
      <c r="F114" s="26"/>
      <c r="G114" s="26"/>
      <c r="H114" s="26"/>
      <c r="I114" s="26"/>
      <c r="J114" s="26"/>
      <c r="K114" s="26">
        <v>85.0</v>
      </c>
      <c r="L114" s="26">
        <v>125.8</v>
      </c>
      <c r="M114" s="26">
        <v>124.6</v>
      </c>
      <c r="N114" s="26">
        <v>127.0</v>
      </c>
      <c r="O114" s="26">
        <v>0.42</v>
      </c>
      <c r="P114" s="26">
        <v>106.0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>
        <v>85.0</v>
      </c>
      <c r="BB114" s="26">
        <v>117.4</v>
      </c>
      <c r="BC114" s="26">
        <v>114.0</v>
      </c>
      <c r="BD114" s="26">
        <v>120.7</v>
      </c>
      <c r="BE114" s="26">
        <v>3.64</v>
      </c>
      <c r="BF114" s="26">
        <v>155.0</v>
      </c>
      <c r="BG114" s="26"/>
      <c r="BH114" s="26"/>
      <c r="BI114" s="26"/>
      <c r="BJ114" s="26"/>
      <c r="BK114" s="26"/>
      <c r="BL114" s="26"/>
    </row>
    <row r="115" ht="15.75" customHeight="1">
      <c r="A115" s="25"/>
      <c r="B115" s="26"/>
      <c r="C115" s="26"/>
      <c r="D115" s="26"/>
      <c r="E115" s="26"/>
      <c r="F115" s="26"/>
      <c r="G115" s="26"/>
      <c r="H115" s="26"/>
      <c r="I115" s="26"/>
      <c r="J115" s="26"/>
      <c r="K115" s="26">
        <v>86.0</v>
      </c>
      <c r="L115" s="26">
        <v>126.4</v>
      </c>
      <c r="M115" s="26">
        <v>125.1</v>
      </c>
      <c r="N115" s="26">
        <v>127.7</v>
      </c>
      <c r="O115" s="26">
        <v>0.52</v>
      </c>
      <c r="P115" s="26">
        <v>108.0</v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>
        <v>86.0</v>
      </c>
      <c r="BB115" s="26">
        <v>120.1</v>
      </c>
      <c r="BC115" s="26">
        <v>116.5</v>
      </c>
      <c r="BD115" s="26">
        <v>123.6</v>
      </c>
      <c r="BE115" s="26">
        <v>4.53</v>
      </c>
      <c r="BF115" s="26">
        <v>168.0</v>
      </c>
      <c r="BG115" s="26"/>
      <c r="BH115" s="26"/>
      <c r="BI115" s="26"/>
      <c r="BJ115" s="26"/>
      <c r="BK115" s="26"/>
      <c r="BL115" s="26"/>
    </row>
    <row r="116" ht="15.75" customHeight="1">
      <c r="A116" s="25"/>
      <c r="B116" s="26"/>
      <c r="C116" s="26"/>
      <c r="D116" s="26"/>
      <c r="E116" s="26"/>
      <c r="F116" s="26"/>
      <c r="G116" s="26"/>
      <c r="H116" s="26"/>
      <c r="I116" s="26"/>
      <c r="J116" s="26"/>
      <c r="K116" s="26">
        <v>87.0</v>
      </c>
      <c r="L116" s="26">
        <v>127.0</v>
      </c>
      <c r="M116" s="26">
        <v>125.6</v>
      </c>
      <c r="N116" s="26">
        <v>128.5</v>
      </c>
      <c r="O116" s="26">
        <v>0.64</v>
      </c>
      <c r="P116" s="26">
        <v>110.0</v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</row>
    <row r="117" ht="15.75" customHeight="1">
      <c r="A117" s="25"/>
      <c r="B117" s="26"/>
      <c r="C117" s="26"/>
      <c r="D117" s="26"/>
      <c r="E117" s="26"/>
      <c r="F117" s="26"/>
      <c r="G117" s="26"/>
      <c r="H117" s="26"/>
      <c r="I117" s="26"/>
      <c r="J117" s="26"/>
      <c r="K117" s="26">
        <v>88.0</v>
      </c>
      <c r="L117" s="26">
        <v>128.0</v>
      </c>
      <c r="M117" s="26">
        <v>126.2</v>
      </c>
      <c r="N117" s="26">
        <v>129.7</v>
      </c>
      <c r="O117" s="26">
        <v>0.8</v>
      </c>
      <c r="P117" s="26">
        <v>112.0</v>
      </c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</row>
    <row r="118" ht="15.75" customHeight="1">
      <c r="A118" s="25"/>
      <c r="B118" s="26"/>
      <c r="C118" s="26"/>
      <c r="D118" s="26"/>
      <c r="E118" s="26"/>
      <c r="F118" s="26"/>
      <c r="G118" s="26"/>
      <c r="H118" s="26"/>
      <c r="I118" s="26"/>
      <c r="J118" s="26"/>
      <c r="K118" s="26">
        <v>89.0</v>
      </c>
      <c r="L118" s="26">
        <v>130.3</v>
      </c>
      <c r="M118" s="26">
        <v>126.8</v>
      </c>
      <c r="N118" s="26">
        <v>133.8</v>
      </c>
      <c r="O118" s="26">
        <v>1.2</v>
      </c>
      <c r="P118" s="26">
        <v>118.0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</row>
    <row r="119" ht="15.75" customHeight="1">
      <c r="A119" s="25"/>
      <c r="B119" s="26"/>
      <c r="C119" s="26"/>
      <c r="D119" s="26"/>
      <c r="E119" s="26"/>
      <c r="F119" s="26"/>
      <c r="G119" s="26"/>
      <c r="H119" s="26"/>
      <c r="I119" s="26"/>
      <c r="J119" s="26"/>
      <c r="K119" s="26">
        <v>90.0</v>
      </c>
      <c r="L119" s="26">
        <v>134.1</v>
      </c>
      <c r="M119" s="26">
        <v>130.8</v>
      </c>
      <c r="N119" s="26">
        <v>137.3</v>
      </c>
      <c r="O119" s="26">
        <v>1.87</v>
      </c>
      <c r="P119" s="26">
        <v>128.0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</row>
    <row r="120" ht="15.75" customHeight="1">
      <c r="A120" s="25"/>
      <c r="B120" s="26"/>
      <c r="C120" s="26"/>
      <c r="D120" s="26"/>
      <c r="E120" s="26"/>
      <c r="F120" s="26"/>
      <c r="G120" s="26"/>
      <c r="H120" s="26"/>
      <c r="I120" s="26"/>
      <c r="J120" s="26"/>
      <c r="K120" s="26">
        <v>91.0</v>
      </c>
      <c r="L120" s="26">
        <v>136.7</v>
      </c>
      <c r="M120" s="26">
        <v>134.3</v>
      </c>
      <c r="N120" s="26">
        <v>139.0</v>
      </c>
      <c r="O120" s="26">
        <v>2.33</v>
      </c>
      <c r="P120" s="26">
        <v>135.0</v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</row>
    <row r="121" ht="15.75" customHeight="1">
      <c r="A121" s="25"/>
      <c r="B121" s="26"/>
      <c r="C121" s="26"/>
      <c r="D121" s="26"/>
      <c r="E121" s="26"/>
      <c r="F121" s="26"/>
      <c r="G121" s="26"/>
      <c r="H121" s="26"/>
      <c r="I121" s="26"/>
      <c r="J121" s="26"/>
      <c r="K121" s="26">
        <v>92.0</v>
      </c>
      <c r="L121" s="26">
        <v>138.9</v>
      </c>
      <c r="M121" s="26">
        <v>136.3</v>
      </c>
      <c r="N121" s="26">
        <v>141.6</v>
      </c>
      <c r="O121" s="26">
        <v>2.72</v>
      </c>
      <c r="P121" s="26">
        <v>141.0</v>
      </c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</row>
    <row r="122" ht="15.75" customHeight="1">
      <c r="A122" s="25"/>
      <c r="B122" s="26"/>
      <c r="C122" s="26"/>
      <c r="D122" s="26"/>
      <c r="E122" s="26"/>
      <c r="F122" s="26"/>
      <c r="G122" s="26"/>
      <c r="H122" s="26"/>
      <c r="I122" s="26"/>
      <c r="J122" s="26"/>
      <c r="K122" s="26">
        <v>93.0</v>
      </c>
      <c r="L122" s="26">
        <v>141.4</v>
      </c>
      <c r="M122" s="26">
        <v>138.9</v>
      </c>
      <c r="N122" s="26">
        <v>143.9</v>
      </c>
      <c r="O122" s="26">
        <v>3.15</v>
      </c>
      <c r="P122" s="26">
        <v>147.0</v>
      </c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</row>
    <row r="123" ht="15.75" customHeight="1">
      <c r="B123" s="26"/>
      <c r="C123" s="26"/>
      <c r="D123" s="26"/>
      <c r="E123" s="26"/>
      <c r="F123" s="26"/>
      <c r="G123" s="26"/>
      <c r="H123" s="26"/>
      <c r="I123" s="26"/>
      <c r="J123" s="26"/>
      <c r="K123" s="26">
        <v>94.0</v>
      </c>
      <c r="L123" s="26">
        <v>143.3</v>
      </c>
      <c r="M123" s="26">
        <v>139.9</v>
      </c>
      <c r="N123" s="26">
        <v>146.7</v>
      </c>
      <c r="O123" s="26">
        <v>3.49</v>
      </c>
      <c r="P123" s="26">
        <v>152.0</v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</row>
    <row r="124" ht="15.75" customHeight="1"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</row>
    <row r="125" ht="15.75" customHeight="1"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</row>
    <row r="126" ht="15.75" customHeight="1"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</row>
    <row r="127" ht="15.75" customHeight="1"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</row>
    <row r="128" ht="15.75" customHeight="1"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</row>
    <row r="129" ht="15.75" customHeight="1"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</row>
    <row r="130" ht="15.75" customHeight="1"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</row>
    <row r="131" ht="15.75" customHeight="1"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</row>
    <row r="132" ht="15.75" customHeight="1"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</row>
    <row r="133" ht="15.75" customHeight="1">
      <c r="K133" s="25"/>
      <c r="L133" s="25"/>
      <c r="M133" s="25"/>
      <c r="N133" s="25"/>
      <c r="O133" s="25"/>
      <c r="P133" s="25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2"/>
    <mergeCell ref="C5:C6"/>
    <mergeCell ref="C8:E8"/>
    <mergeCell ref="C9:D9"/>
    <mergeCell ref="I11:J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patricia cardoso</dc:creator>
</cp:coreProperties>
</file>