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01 JESUS\00 Ps Jesus Luis\Test\0 Poder Judicial\001 MILLON IV\"/>
    </mc:Choice>
  </mc:AlternateContent>
  <workbookProtection workbookPassword="DCB1" lockStructure="1"/>
  <bookViews>
    <workbookView xWindow="0" yWindow="0" windowWidth="17970" windowHeight="6135" firstSheet="1" activeTab="1"/>
  </bookViews>
  <sheets>
    <sheet name="APLICACION" sheetId="1" r:id="rId1"/>
    <sheet name="RESULTADOS " sheetId="12" r:id="rId2"/>
    <sheet name="FACETAS GROSSMAN Y RESPUESTAS S" sheetId="7" r:id="rId3"/>
    <sheet name="CORRECCION" sheetId="3" state="veryHidden" r:id="rId4"/>
    <sheet name="RPTA SIGNIFICATIVAS" sheetId="8" state="veryHidden" r:id="rId5"/>
    <sheet name="Interpretacion" sheetId="13" r:id="rId6"/>
    <sheet name="Interpretacion " sheetId="11" state="veryHidden" r:id="rId7"/>
    <sheet name="Sheet1" sheetId="10" state="veryHidden" r:id="rId8"/>
    <sheet name="RESULTADOS" sheetId="2" state="veryHidden" r:id="rId9"/>
    <sheet name="PUNT-DIRECTA" sheetId="4" state="veryHidden" r:id="rId10"/>
    <sheet name="PERCENTIL" sheetId="5" state="veryHidden" r:id="rId11"/>
    <sheet name="PERCENTIL2" sheetId="6" state="veryHidden" r:id="rId12"/>
    <sheet name="PERCENTIL GROSSMAN" sheetId="9" state="veryHidden" r:id="rId13"/>
  </sheets>
  <definedNames>
    <definedName name="_xlnm.Print_Area" localSheetId="5">Interpretacion!$A$1:$G$48</definedName>
    <definedName name="_xlnm.Print_Area" localSheetId="1">'RESULTADOS '!$A$1:$U$45</definedName>
    <definedName name="TABLAPD">'PUNT-DIRECTA'!$B$3:$AB$33</definedName>
    <definedName name="TABLAPER">PERCENTIL2!$A$3:$Z$119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5" i="12" l="1"/>
  <c r="E6" i="13"/>
  <c r="F17" i="1" l="1"/>
  <c r="F18" i="1"/>
  <c r="F19" i="1"/>
  <c r="F20" i="1"/>
  <c r="F21" i="1"/>
  <c r="F22" i="1"/>
  <c r="F23" i="1"/>
  <c r="F24" i="1"/>
  <c r="F25" i="1"/>
  <c r="F26" i="1"/>
  <c r="F27" i="1"/>
  <c r="F28" i="1"/>
  <c r="F29" i="1"/>
  <c r="F30" i="1"/>
  <c r="F31" i="1"/>
  <c r="F35" i="1"/>
  <c r="F36" i="1"/>
  <c r="F37" i="1"/>
  <c r="F38" i="1"/>
  <c r="F39" i="1"/>
  <c r="F40" i="1"/>
  <c r="F41" i="1"/>
  <c r="F42" i="1"/>
  <c r="F43" i="1"/>
  <c r="F44" i="1"/>
  <c r="F46" i="1"/>
  <c r="F49" i="1"/>
  <c r="F50" i="1" s="1"/>
  <c r="G49" i="1"/>
  <c r="G50" i="1" s="1"/>
  <c r="H49" i="1"/>
  <c r="I49" i="1"/>
  <c r="J49" i="1"/>
  <c r="J50" i="1" s="1"/>
  <c r="K49" i="1"/>
  <c r="K50" i="1" s="1"/>
  <c r="L49" i="1"/>
  <c r="L50" i="1" s="1"/>
  <c r="M49" i="1"/>
  <c r="M50" i="1" s="1"/>
  <c r="N49" i="1"/>
  <c r="N50" i="1" s="1"/>
  <c r="O49" i="1"/>
  <c r="O50" i="1" s="1"/>
  <c r="P49" i="1"/>
  <c r="P50" i="1" s="1"/>
  <c r="Q49" i="1"/>
  <c r="Q50" i="1" s="1"/>
  <c r="R49" i="1"/>
  <c r="R50" i="1" s="1"/>
  <c r="S49" i="1"/>
  <c r="S50" i="1" s="1"/>
  <c r="T49" i="1"/>
  <c r="T50" i="1" s="1"/>
  <c r="U49" i="1"/>
  <c r="U50" i="1" s="1"/>
  <c r="V49" i="1"/>
  <c r="V50" i="1" s="1"/>
  <c r="W49" i="1"/>
  <c r="W50" i="1" s="1"/>
  <c r="H50" i="1"/>
  <c r="I50" i="1"/>
  <c r="F53" i="1"/>
  <c r="F54" i="1" s="1"/>
  <c r="G53" i="1"/>
  <c r="G54" i="1" s="1"/>
  <c r="H53" i="1"/>
  <c r="H54" i="1" s="1"/>
  <c r="I53" i="1"/>
  <c r="I54" i="1" s="1"/>
  <c r="J53" i="1"/>
  <c r="J54" i="1" s="1"/>
  <c r="K53" i="1"/>
  <c r="K54" i="1" s="1"/>
  <c r="L53" i="1"/>
  <c r="L54" i="1" s="1"/>
  <c r="M53" i="1"/>
  <c r="M54" i="1" s="1"/>
  <c r="N53" i="1"/>
  <c r="N54" i="1" s="1"/>
  <c r="O53" i="1"/>
  <c r="O54" i="1" s="1"/>
  <c r="P53" i="1"/>
  <c r="P54" i="1" s="1"/>
  <c r="Q53" i="1"/>
  <c r="Q54" i="1" s="1"/>
  <c r="R53" i="1"/>
  <c r="R54" i="1" s="1"/>
  <c r="S53" i="1"/>
  <c r="S54" i="1" s="1"/>
  <c r="T53" i="1"/>
  <c r="T54" i="1" s="1"/>
  <c r="U53" i="1"/>
  <c r="U54" i="1" s="1"/>
  <c r="V53" i="1"/>
  <c r="V54" i="1" s="1"/>
  <c r="W53" i="1"/>
  <c r="W54" i="1" s="1"/>
  <c r="F57" i="1"/>
  <c r="F58" i="1" s="1"/>
  <c r="G57" i="1"/>
  <c r="G58" i="1" s="1"/>
  <c r="H57" i="1"/>
  <c r="H58" i="1" s="1"/>
  <c r="I57" i="1"/>
  <c r="I58" i="1" s="1"/>
  <c r="J57" i="1"/>
  <c r="J58" i="1" s="1"/>
  <c r="K57" i="1"/>
  <c r="L57" i="1"/>
  <c r="L58" i="1" s="1"/>
  <c r="M57" i="1"/>
  <c r="M58" i="1" s="1"/>
  <c r="N57" i="1"/>
  <c r="N58" i="1" s="1"/>
  <c r="O57" i="1"/>
  <c r="O58" i="1" s="1"/>
  <c r="P57" i="1"/>
  <c r="P58" i="1" s="1"/>
  <c r="Q57" i="1"/>
  <c r="Q58" i="1" s="1"/>
  <c r="R57" i="1"/>
  <c r="R58" i="1" s="1"/>
  <c r="S57" i="1"/>
  <c r="S58" i="1" s="1"/>
  <c r="K58" i="1"/>
  <c r="G63" i="1"/>
  <c r="G64" i="1"/>
  <c r="G65" i="1"/>
  <c r="I67" i="1"/>
  <c r="I68" i="1"/>
  <c r="I69" i="1"/>
  <c r="A19" i="13"/>
  <c r="A32" i="13"/>
  <c r="A36" i="13"/>
  <c r="A37" i="13"/>
  <c r="A15" i="13"/>
  <c r="A16" i="13"/>
  <c r="O13" i="3"/>
  <c r="O14" i="3"/>
  <c r="D29" i="12"/>
  <c r="D33" i="12"/>
  <c r="D34" i="12"/>
  <c r="O14" i="12"/>
  <c r="O13" i="12"/>
  <c r="L55" i="1" l="1"/>
  <c r="H51" i="1"/>
  <c r="J59" i="1"/>
  <c r="R55" i="1"/>
  <c r="H55" i="1"/>
  <c r="P51" i="1"/>
  <c r="V51" i="1"/>
  <c r="F51" i="1"/>
  <c r="L51" i="1"/>
  <c r="P55" i="1"/>
  <c r="N51" i="1"/>
  <c r="V55" i="1"/>
  <c r="N55" i="1"/>
  <c r="F55" i="1"/>
  <c r="T51" i="1"/>
  <c r="R59" i="1"/>
  <c r="J55" i="1"/>
  <c r="P59" i="1"/>
  <c r="H59" i="1"/>
  <c r="N59" i="1"/>
  <c r="F59" i="1"/>
  <c r="R51" i="1"/>
  <c r="J51" i="1"/>
  <c r="L59" i="1"/>
  <c r="T55" i="1"/>
  <c r="R12" i="11"/>
  <c r="R11" i="11"/>
  <c r="Q11" i="11"/>
  <c r="K60" i="1" l="1"/>
  <c r="R27" i="11"/>
  <c r="R31" i="11"/>
  <c r="R32" i="11"/>
  <c r="A37" i="11"/>
  <c r="A32" i="11"/>
  <c r="A19" i="11"/>
  <c r="I31" i="11"/>
  <c r="A36" i="11" s="1"/>
  <c r="J27" i="11"/>
  <c r="O29" i="3"/>
  <c r="O33" i="3"/>
  <c r="O33" i="12" s="1"/>
  <c r="O34" i="3"/>
  <c r="A15" i="11" l="1"/>
  <c r="Q12" i="11"/>
  <c r="A16" i="11" l="1"/>
  <c r="C4" i="3"/>
  <c r="E69" i="7"/>
  <c r="A7" i="11" l="1"/>
  <c r="C9" i="8"/>
  <c r="I9" i="7" s="1"/>
  <c r="C21" i="8"/>
  <c r="C20" i="8"/>
  <c r="C19" i="8"/>
  <c r="I19" i="7" s="1"/>
  <c r="C18" i="8"/>
  <c r="C17" i="8"/>
  <c r="C16" i="8"/>
  <c r="C15" i="8"/>
  <c r="C14" i="8"/>
  <c r="C13" i="8"/>
  <c r="C12" i="8"/>
  <c r="C11" i="8"/>
  <c r="C10" i="8"/>
  <c r="C68" i="7"/>
  <c r="D68" i="7" s="1"/>
  <c r="E68" i="7" s="1"/>
  <c r="C67" i="7"/>
  <c r="D67" i="7" s="1"/>
  <c r="E67" i="7" s="1"/>
  <c r="C66" i="7"/>
  <c r="D66" i="7" s="1"/>
  <c r="E66" i="7" s="1"/>
  <c r="C64" i="7"/>
  <c r="D64" i="7" s="1"/>
  <c r="E64" i="7" s="1"/>
  <c r="C63" i="7"/>
  <c r="D63" i="7" s="1"/>
  <c r="E63" i="7" s="1"/>
  <c r="C62" i="7"/>
  <c r="D62" i="7" s="1"/>
  <c r="E62" i="7" s="1"/>
  <c r="C60" i="7"/>
  <c r="D60" i="7" s="1"/>
  <c r="E60" i="7" s="1"/>
  <c r="C59" i="7"/>
  <c r="D59" i="7" s="1"/>
  <c r="E59" i="7" s="1"/>
  <c r="C58" i="7"/>
  <c r="D58" i="7" s="1"/>
  <c r="E58" i="7" s="1"/>
  <c r="C56" i="7"/>
  <c r="D56" i="7" s="1"/>
  <c r="E56" i="7" s="1"/>
  <c r="C55" i="7"/>
  <c r="D55" i="7" s="1"/>
  <c r="E55" i="7" s="1"/>
  <c r="C54" i="7"/>
  <c r="D54" i="7" s="1"/>
  <c r="E54" i="7" s="1"/>
  <c r="C52" i="7"/>
  <c r="D52" i="7" s="1"/>
  <c r="E52" i="7" s="1"/>
  <c r="C51" i="7"/>
  <c r="D51" i="7" s="1"/>
  <c r="E51" i="7" s="1"/>
  <c r="C50" i="7"/>
  <c r="D50" i="7" s="1"/>
  <c r="E50" i="7" s="1"/>
  <c r="C48" i="7"/>
  <c r="D48" i="7" s="1"/>
  <c r="E48" i="7" s="1"/>
  <c r="C47" i="7"/>
  <c r="D47" i="7" s="1"/>
  <c r="E47" i="7" s="1"/>
  <c r="C46" i="7"/>
  <c r="D46" i="7" s="1"/>
  <c r="E46" i="7" s="1"/>
  <c r="C44" i="7"/>
  <c r="D44" i="7" s="1"/>
  <c r="E44" i="7" s="1"/>
  <c r="C43" i="7"/>
  <c r="D43" i="7" s="1"/>
  <c r="E43" i="7" s="1"/>
  <c r="C42" i="7"/>
  <c r="D42" i="7" s="1"/>
  <c r="E42" i="7" s="1"/>
  <c r="C40" i="7"/>
  <c r="D40" i="7" s="1"/>
  <c r="E40" i="7" s="1"/>
  <c r="C39" i="7"/>
  <c r="D39" i="7" s="1"/>
  <c r="E39" i="7" s="1"/>
  <c r="C38" i="7"/>
  <c r="D38" i="7" s="1"/>
  <c r="E38" i="7" s="1"/>
  <c r="C36" i="7"/>
  <c r="D36" i="7" s="1"/>
  <c r="E36" i="7" s="1"/>
  <c r="C35" i="7"/>
  <c r="D35" i="7" s="1"/>
  <c r="E35" i="7" s="1"/>
  <c r="C34" i="7"/>
  <c r="D34" i="7" s="1"/>
  <c r="E34" i="7" s="1"/>
  <c r="C32" i="7"/>
  <c r="D32" i="7" s="1"/>
  <c r="E32" i="7" s="1"/>
  <c r="C31" i="7"/>
  <c r="D31" i="7" s="1"/>
  <c r="E31" i="7" s="1"/>
  <c r="C30" i="7"/>
  <c r="D30" i="7" s="1"/>
  <c r="E30" i="7" s="1"/>
  <c r="C28" i="7"/>
  <c r="D28" i="7" s="1"/>
  <c r="E28" i="7" s="1"/>
  <c r="C27" i="7"/>
  <c r="D27" i="7" s="1"/>
  <c r="E27" i="7" s="1"/>
  <c r="C26" i="7"/>
  <c r="D26" i="7" s="1"/>
  <c r="E26" i="7" s="1"/>
  <c r="C24" i="7"/>
  <c r="D24" i="7" s="1"/>
  <c r="E24" i="7" s="1"/>
  <c r="C23" i="7"/>
  <c r="D23" i="7" s="1"/>
  <c r="E23" i="7" s="1"/>
  <c r="C22" i="7"/>
  <c r="D22" i="7" s="1"/>
  <c r="E22" i="7" s="1"/>
  <c r="C20" i="7"/>
  <c r="D20" i="7" s="1"/>
  <c r="E20" i="7" s="1"/>
  <c r="C19" i="7"/>
  <c r="D19" i="7" s="1"/>
  <c r="E19" i="7" s="1"/>
  <c r="C18" i="7"/>
  <c r="D18" i="7" s="1"/>
  <c r="E18" i="7" s="1"/>
  <c r="C16" i="7"/>
  <c r="D16" i="7" s="1"/>
  <c r="E16" i="7" s="1"/>
  <c r="C15" i="7"/>
  <c r="D15" i="7" s="1"/>
  <c r="E15" i="7" s="1"/>
  <c r="C14" i="7"/>
  <c r="D14" i="7" s="1"/>
  <c r="E14" i="7" s="1"/>
  <c r="C12" i="7"/>
  <c r="D12" i="7" s="1"/>
  <c r="E12" i="7" s="1"/>
  <c r="C11" i="7"/>
  <c r="D11" i="7" s="1"/>
  <c r="E11" i="7" s="1"/>
  <c r="C10" i="7"/>
  <c r="D10" i="7" s="1"/>
  <c r="E10" i="7" s="1"/>
  <c r="K14" i="12"/>
  <c r="D14" i="12" s="1"/>
  <c r="D14" i="3" s="1"/>
  <c r="D10" i="12"/>
  <c r="D10" i="3" s="1"/>
  <c r="P8" i="11" s="1"/>
  <c r="L42" i="12"/>
  <c r="L38" i="12"/>
  <c r="L30" i="12"/>
  <c r="L28" i="12"/>
  <c r="L27" i="12"/>
  <c r="L24" i="12"/>
  <c r="L17" i="12"/>
  <c r="L30" i="3" l="1"/>
  <c r="D30" i="3" s="1"/>
  <c r="D30" i="12" s="1"/>
  <c r="H30" i="12" s="1"/>
  <c r="D17" i="8"/>
  <c r="J17" i="7" s="1"/>
  <c r="I35" i="7" s="1"/>
  <c r="I17" i="7"/>
  <c r="D10" i="8"/>
  <c r="J10" i="7" s="1"/>
  <c r="I28" i="7" s="1"/>
  <c r="I10" i="7"/>
  <c r="L38" i="3"/>
  <c r="D38" i="3" s="1"/>
  <c r="H38" i="3" s="1"/>
  <c r="D12" i="8"/>
  <c r="J12" i="7" s="1"/>
  <c r="I30" i="7" s="1"/>
  <c r="I12" i="7"/>
  <c r="D9" i="8"/>
  <c r="J9" i="7" s="1"/>
  <c r="I27" i="7" s="1"/>
  <c r="L42" i="3"/>
  <c r="D42" i="3" s="1"/>
  <c r="O42" i="3" s="1"/>
  <c r="O42" i="12" s="1"/>
  <c r="L18" i="3"/>
  <c r="D18" i="3" s="1"/>
  <c r="D18" i="12" s="1"/>
  <c r="H18" i="12" s="1"/>
  <c r="L18" i="12"/>
  <c r="L17" i="3"/>
  <c r="D17" i="3" s="1"/>
  <c r="D19" i="8"/>
  <c r="J19" i="7" s="1"/>
  <c r="I37" i="7" s="1"/>
  <c r="L20" i="3"/>
  <c r="D20" i="3" s="1"/>
  <c r="P18" i="11" s="1"/>
  <c r="L20" i="12"/>
  <c r="L39" i="3"/>
  <c r="D39" i="3" s="1"/>
  <c r="H39" i="3" s="1"/>
  <c r="L39" i="12"/>
  <c r="L24" i="3"/>
  <c r="D24" i="3" s="1"/>
  <c r="O24" i="3" s="1"/>
  <c r="O24" i="12" s="1"/>
  <c r="D13" i="8"/>
  <c r="J13" i="7" s="1"/>
  <c r="I31" i="7" s="1"/>
  <c r="I13" i="7"/>
  <c r="D20" i="8"/>
  <c r="J20" i="7" s="1"/>
  <c r="I38" i="7" s="1"/>
  <c r="I20" i="7"/>
  <c r="L32" i="3"/>
  <c r="D32" i="3" s="1"/>
  <c r="H32" i="3" s="1"/>
  <c r="L32" i="12"/>
  <c r="D16" i="8"/>
  <c r="J16" i="7" s="1"/>
  <c r="I34" i="7" s="1"/>
  <c r="I16" i="7"/>
  <c r="L35" i="3"/>
  <c r="D35" i="3" s="1"/>
  <c r="O35" i="3" s="1"/>
  <c r="O35" i="12" s="1"/>
  <c r="L35" i="12"/>
  <c r="L25" i="3"/>
  <c r="D25" i="3" s="1"/>
  <c r="D41" i="7" s="1"/>
  <c r="E41" i="7" s="1"/>
  <c r="L25" i="12"/>
  <c r="L26" i="3"/>
  <c r="D26" i="3" s="1"/>
  <c r="H26" i="3" s="1"/>
  <c r="L26" i="12"/>
  <c r="D11" i="8"/>
  <c r="J11" i="7" s="1"/>
  <c r="I29" i="7" s="1"/>
  <c r="I11" i="7"/>
  <c r="L40" i="3"/>
  <c r="D40" i="3" s="1"/>
  <c r="O40" i="3" s="1"/>
  <c r="O40" i="12" s="1"/>
  <c r="L40" i="12"/>
  <c r="K13" i="3"/>
  <c r="K13" i="12"/>
  <c r="D13" i="12" s="1"/>
  <c r="D13" i="3" s="1"/>
  <c r="D14" i="8"/>
  <c r="J14" i="7" s="1"/>
  <c r="I32" i="7" s="1"/>
  <c r="I14" i="7"/>
  <c r="D21" i="8"/>
  <c r="J21" i="7" s="1"/>
  <c r="I39" i="7" s="1"/>
  <c r="I21" i="7"/>
  <c r="L23" i="3"/>
  <c r="D23" i="3" s="1"/>
  <c r="O23" i="3" s="1"/>
  <c r="O23" i="12" s="1"/>
  <c r="L23" i="12"/>
  <c r="L44" i="3"/>
  <c r="D44" i="3" s="1"/>
  <c r="H44" i="3" s="1"/>
  <c r="L44" i="12"/>
  <c r="D18" i="8"/>
  <c r="J18" i="7" s="1"/>
  <c r="I36" i="7" s="1"/>
  <c r="I18" i="7"/>
  <c r="L37" i="3"/>
  <c r="D37" i="3" s="1"/>
  <c r="D37" i="12" s="1"/>
  <c r="H37" i="12" s="1"/>
  <c r="L37" i="12"/>
  <c r="L19" i="3"/>
  <c r="D19" i="3" s="1"/>
  <c r="D19" i="12" s="1"/>
  <c r="H19" i="12" s="1"/>
  <c r="L19" i="12"/>
  <c r="L27" i="3"/>
  <c r="D27" i="3" s="1"/>
  <c r="D49" i="7" s="1"/>
  <c r="E49" i="7" s="1"/>
  <c r="L22" i="3"/>
  <c r="D22" i="3" s="1"/>
  <c r="D29" i="7" s="1"/>
  <c r="E29" i="7" s="1"/>
  <c r="L22" i="12"/>
  <c r="L31" i="3"/>
  <c r="D31" i="3" s="1"/>
  <c r="O31" i="3" s="1"/>
  <c r="O31" i="12" s="1"/>
  <c r="L31" i="12"/>
  <c r="L41" i="3"/>
  <c r="D41" i="3" s="1"/>
  <c r="H41" i="3" s="1"/>
  <c r="L41" i="12"/>
  <c r="L28" i="3"/>
  <c r="D28" i="3" s="1"/>
  <c r="D53" i="7" s="1"/>
  <c r="E53" i="7" s="1"/>
  <c r="D15" i="8"/>
  <c r="J15" i="7" s="1"/>
  <c r="I33" i="7" s="1"/>
  <c r="I15" i="7"/>
  <c r="K12" i="3"/>
  <c r="K12" i="12"/>
  <c r="D12" i="12" s="1"/>
  <c r="D12" i="3" s="1"/>
  <c r="L21" i="3"/>
  <c r="D21" i="3" s="1"/>
  <c r="P19" i="11" s="1"/>
  <c r="L21" i="12"/>
  <c r="L43" i="3"/>
  <c r="D43" i="3" s="1"/>
  <c r="L43" i="12"/>
  <c r="L36" i="3"/>
  <c r="D36" i="3" s="1"/>
  <c r="L36" i="12"/>
  <c r="K14" i="3"/>
  <c r="Q8" i="11"/>
  <c r="R8" i="11" s="1"/>
  <c r="O10" i="12" s="1"/>
  <c r="O10" i="3" s="1"/>
  <c r="H30" i="3" l="1"/>
  <c r="D57" i="7"/>
  <c r="E57" i="7" s="1"/>
  <c r="P37" i="11"/>
  <c r="Q37" i="11" s="1"/>
  <c r="O30" i="3"/>
  <c r="O30" i="12" s="1"/>
  <c r="D39" i="12"/>
  <c r="H39" i="12" s="1"/>
  <c r="P28" i="11"/>
  <c r="Q28" i="11" s="1"/>
  <c r="D37" i="7"/>
  <c r="E37" i="7" s="1"/>
  <c r="H42" i="3"/>
  <c r="H21" i="3"/>
  <c r="O21" i="3"/>
  <c r="O21" i="12" s="1"/>
  <c r="P36" i="11"/>
  <c r="Q36" i="11" s="1"/>
  <c r="H20" i="3"/>
  <c r="D20" i="12"/>
  <c r="H20" i="12" s="1"/>
  <c r="P20" i="11"/>
  <c r="R20" i="11" s="1"/>
  <c r="S20" i="11" s="1"/>
  <c r="D25" i="7"/>
  <c r="E25" i="7" s="1"/>
  <c r="O20" i="3"/>
  <c r="O20" i="12" s="1"/>
  <c r="D61" i="7"/>
  <c r="E61" i="7" s="1"/>
  <c r="D31" i="12"/>
  <c r="H31" i="12" s="1"/>
  <c r="D42" i="12"/>
  <c r="H42" i="12" s="1"/>
  <c r="H35" i="3"/>
  <c r="O37" i="3"/>
  <c r="O37" i="12" s="1"/>
  <c r="P35" i="11"/>
  <c r="Q35" i="11" s="1"/>
  <c r="H37" i="3"/>
  <c r="D17" i="12"/>
  <c r="H17" i="12" s="1"/>
  <c r="P15" i="11"/>
  <c r="O19" i="3"/>
  <c r="O19" i="12" s="1"/>
  <c r="H18" i="3"/>
  <c r="P16" i="11"/>
  <c r="R16" i="11" s="1"/>
  <c r="S16" i="11" s="1"/>
  <c r="D13" i="7"/>
  <c r="E13" i="7" s="1"/>
  <c r="P23" i="11"/>
  <c r="R23" i="11" s="1"/>
  <c r="S23" i="11" s="1"/>
  <c r="O38" i="3"/>
  <c r="O38" i="12" s="1"/>
  <c r="D38" i="12"/>
  <c r="H38" i="12" s="1"/>
  <c r="P29" i="11"/>
  <c r="Q29" i="11" s="1"/>
  <c r="H31" i="3"/>
  <c r="P40" i="11"/>
  <c r="R40" i="11" s="1"/>
  <c r="S40" i="11" s="1"/>
  <c r="H22" i="3"/>
  <c r="P22" i="11"/>
  <c r="R22" i="11" s="1"/>
  <c r="S22" i="11" s="1"/>
  <c r="O18" i="3"/>
  <c r="O18" i="12" s="1"/>
  <c r="D27" i="12"/>
  <c r="H27" i="12" s="1"/>
  <c r="D26" i="12"/>
  <c r="H26" i="12" s="1"/>
  <c r="D32" i="12"/>
  <c r="H32" i="12" s="1"/>
  <c r="D21" i="12"/>
  <c r="H21" i="12" s="1"/>
  <c r="O32" i="3"/>
  <c r="O32" i="12" s="1"/>
  <c r="P25" i="11"/>
  <c r="Q25" i="11" s="1"/>
  <c r="O27" i="3"/>
  <c r="O27" i="12" s="1"/>
  <c r="H27" i="3"/>
  <c r="D22" i="12"/>
  <c r="H22" i="12" s="1"/>
  <c r="D45" i="7"/>
  <c r="E45" i="7" s="1"/>
  <c r="P26" i="11"/>
  <c r="Q26" i="11" s="1"/>
  <c r="P24" i="11"/>
  <c r="R24" i="11" s="1"/>
  <c r="S24" i="11" s="1"/>
  <c r="H24" i="3"/>
  <c r="D65" i="7"/>
  <c r="E65" i="7" s="1"/>
  <c r="P30" i="11"/>
  <c r="Q30" i="11" s="1"/>
  <c r="O22" i="3"/>
  <c r="O41" i="3"/>
  <c r="O41" i="12" s="1"/>
  <c r="P39" i="11"/>
  <c r="Q39" i="11" s="1"/>
  <c r="O26" i="3"/>
  <c r="O26" i="12" s="1"/>
  <c r="H40" i="3"/>
  <c r="D41" i="12"/>
  <c r="H41" i="12" s="1"/>
  <c r="D21" i="7"/>
  <c r="E21" i="7" s="1"/>
  <c r="D25" i="12"/>
  <c r="H25" i="12" s="1"/>
  <c r="D17" i="7"/>
  <c r="E17" i="7" s="1"/>
  <c r="H25" i="3"/>
  <c r="D33" i="7"/>
  <c r="E33" i="7" s="1"/>
  <c r="P21" i="11"/>
  <c r="R21" i="11" s="1"/>
  <c r="S21" i="11" s="1"/>
  <c r="D23" i="12"/>
  <c r="H23" i="12" s="1"/>
  <c r="D35" i="12"/>
  <c r="H35" i="12" s="1"/>
  <c r="H17" i="3"/>
  <c r="H23" i="3"/>
  <c r="P17" i="11"/>
  <c r="R17" i="11" s="1"/>
  <c r="S17" i="11" s="1"/>
  <c r="P33" i="11"/>
  <c r="R33" i="11" s="1"/>
  <c r="S33" i="11" s="1"/>
  <c r="P38" i="11"/>
  <c r="Q38" i="11" s="1"/>
  <c r="O39" i="3"/>
  <c r="O39" i="12" s="1"/>
  <c r="D24" i="12"/>
  <c r="H24" i="12" s="1"/>
  <c r="D40" i="12"/>
  <c r="H40" i="12" s="1"/>
  <c r="H19" i="3"/>
  <c r="D28" i="12"/>
  <c r="H28" i="12" s="1"/>
  <c r="O25" i="3"/>
  <c r="O25" i="12" s="1"/>
  <c r="O17" i="3"/>
  <c r="O17" i="12" s="1"/>
  <c r="P42" i="11"/>
  <c r="Q42" i="11" s="1"/>
  <c r="O28" i="3"/>
  <c r="O28" i="12" s="1"/>
  <c r="D44" i="12"/>
  <c r="H44" i="12" s="1"/>
  <c r="H28" i="3"/>
  <c r="D11" i="12"/>
  <c r="D11" i="3" s="1"/>
  <c r="P9" i="11" s="1"/>
  <c r="Q9" i="11" s="1"/>
  <c r="R9" i="11" s="1"/>
  <c r="O44" i="3"/>
  <c r="O44" i="12" s="1"/>
  <c r="D9" i="7"/>
  <c r="E9" i="7" s="1"/>
  <c r="P10" i="11"/>
  <c r="Q10" i="11" s="1"/>
  <c r="R10" i="11" s="1"/>
  <c r="D36" i="12"/>
  <c r="H36" i="12" s="1"/>
  <c r="D43" i="12"/>
  <c r="H43" i="12" s="1"/>
  <c r="P41" i="11"/>
  <c r="R41" i="11" s="1"/>
  <c r="S41" i="11" s="1"/>
  <c r="O36" i="3"/>
  <c r="O36" i="12" s="1"/>
  <c r="O43" i="3"/>
  <c r="O43" i="12" s="1"/>
  <c r="P34" i="11"/>
  <c r="R34" i="11" s="1"/>
  <c r="S34" i="11" s="1"/>
  <c r="H43" i="3"/>
  <c r="H36" i="3"/>
  <c r="A12" i="11"/>
  <c r="A12" i="13" s="1"/>
  <c r="Q18" i="11"/>
  <c r="R18" i="11"/>
  <c r="S18" i="11" s="1"/>
  <c r="R19" i="11"/>
  <c r="S19" i="11" s="1"/>
  <c r="Q19" i="11"/>
  <c r="R37" i="11" l="1"/>
  <c r="S37" i="11" s="1"/>
  <c r="R28" i="11"/>
  <c r="S28" i="11" s="1"/>
  <c r="J28" i="11" s="1"/>
  <c r="I28" i="11" s="1"/>
  <c r="A33" i="11" s="1"/>
  <c r="A33" i="13" s="1"/>
  <c r="R36" i="11"/>
  <c r="S36" i="11" s="1"/>
  <c r="J36" i="11" s="1"/>
  <c r="I36" i="11" s="1"/>
  <c r="A41" i="11" s="1"/>
  <c r="A41" i="13" s="1"/>
  <c r="R35" i="11"/>
  <c r="S35" i="11" s="1"/>
  <c r="J35" i="11" s="1"/>
  <c r="I35" i="11" s="1"/>
  <c r="A40" i="11" s="1"/>
  <c r="A40" i="13" s="1"/>
  <c r="R26" i="11"/>
  <c r="S26" i="11" s="1"/>
  <c r="J26" i="11" s="1"/>
  <c r="I26" i="11" s="1"/>
  <c r="A31" i="11" s="1"/>
  <c r="A31" i="13" s="1"/>
  <c r="Q20" i="11"/>
  <c r="J20" i="11" s="1"/>
  <c r="I20" i="11" s="1"/>
  <c r="A25" i="11" s="1"/>
  <c r="A25" i="13" s="1"/>
  <c r="Q22" i="11"/>
  <c r="J22" i="11" s="1"/>
  <c r="I22" i="11" s="1"/>
  <c r="A27" i="11" s="1"/>
  <c r="A27" i="13" s="1"/>
  <c r="R39" i="11"/>
  <c r="S39" i="11" s="1"/>
  <c r="J39" i="11" s="1"/>
  <c r="I39" i="11" s="1"/>
  <c r="A44" i="11" s="1"/>
  <c r="A44" i="13" s="1"/>
  <c r="Q16" i="11"/>
  <c r="J16" i="11" s="1"/>
  <c r="Q41" i="11"/>
  <c r="J41" i="11" s="1"/>
  <c r="I41" i="11" s="1"/>
  <c r="A46" i="11" s="1"/>
  <c r="A46" i="13" s="1"/>
  <c r="R29" i="11"/>
  <c r="S29" i="11" s="1"/>
  <c r="J29" i="11" s="1"/>
  <c r="I29" i="11" s="1"/>
  <c r="A34" i="11" s="1"/>
  <c r="A34" i="13" s="1"/>
  <c r="R38" i="11"/>
  <c r="S38" i="11" s="1"/>
  <c r="J38" i="11" s="1"/>
  <c r="I38" i="11" s="1"/>
  <c r="A43" i="11" s="1"/>
  <c r="A43" i="13" s="1"/>
  <c r="J37" i="11"/>
  <c r="I37" i="11" s="1"/>
  <c r="A42" i="11" s="1"/>
  <c r="A42" i="13" s="1"/>
  <c r="Q17" i="11"/>
  <c r="J17" i="11" s="1"/>
  <c r="I17" i="11" s="1"/>
  <c r="A22" i="11" s="1"/>
  <c r="A22" i="13" s="1"/>
  <c r="R30" i="11"/>
  <c r="S30" i="11" s="1"/>
  <c r="J30" i="11" s="1"/>
  <c r="I30" i="11" s="1"/>
  <c r="A35" i="11" s="1"/>
  <c r="A35" i="13" s="1"/>
  <c r="Q23" i="11"/>
  <c r="J23" i="11" s="1"/>
  <c r="I23" i="11" s="1"/>
  <c r="A28" i="11" s="1"/>
  <c r="A28" i="13" s="1"/>
  <c r="Q40" i="11"/>
  <c r="J40" i="11" s="1"/>
  <c r="I40" i="11" s="1"/>
  <c r="A45" i="11" s="1"/>
  <c r="A45" i="13" s="1"/>
  <c r="R15" i="11"/>
  <c r="S15" i="11" s="1"/>
  <c r="Q15" i="11"/>
  <c r="Q21" i="11"/>
  <c r="J21" i="11" s="1"/>
  <c r="I21" i="11" s="1"/>
  <c r="A26" i="11" s="1"/>
  <c r="A26" i="13" s="1"/>
  <c r="R25" i="11"/>
  <c r="S25" i="11" s="1"/>
  <c r="J25" i="11" s="1"/>
  <c r="I25" i="11" s="1"/>
  <c r="A30" i="11" s="1"/>
  <c r="A30" i="13" s="1"/>
  <c r="Q24" i="11"/>
  <c r="J24" i="11" s="1"/>
  <c r="I24" i="11" s="1"/>
  <c r="A29" i="11" s="1"/>
  <c r="A29" i="13" s="1"/>
  <c r="R42" i="11"/>
  <c r="S42" i="11" s="1"/>
  <c r="J42" i="11" s="1"/>
  <c r="I42" i="11" s="1"/>
  <c r="A47" i="11" s="1"/>
  <c r="A47" i="13" s="1"/>
  <c r="Q33" i="11"/>
  <c r="J33" i="11" s="1"/>
  <c r="I33" i="11" s="1"/>
  <c r="A38" i="11" s="1"/>
  <c r="A38" i="13" s="1"/>
  <c r="O12" i="12"/>
  <c r="O12" i="3" s="1"/>
  <c r="A14" i="11"/>
  <c r="A14" i="13" s="1"/>
  <c r="J18" i="11"/>
  <c r="I18" i="11" s="1"/>
  <c r="A23" i="11" s="1"/>
  <c r="A23" i="13" s="1"/>
  <c r="Q34" i="11"/>
  <c r="J34" i="11" s="1"/>
  <c r="I34" i="11" s="1"/>
  <c r="A39" i="11" s="1"/>
  <c r="A39" i="13" s="1"/>
  <c r="O11" i="12"/>
  <c r="O11" i="3" s="1"/>
  <c r="A13" i="11"/>
  <c r="A13" i="13" s="1"/>
  <c r="J19" i="11"/>
  <c r="I19" i="11" s="1"/>
  <c r="A24" i="11" s="1"/>
  <c r="A24" i="13" s="1"/>
  <c r="J15" i="11" l="1"/>
  <c r="I15" i="11" s="1"/>
  <c r="A20" i="11" s="1"/>
  <c r="A20" i="13" s="1"/>
  <c r="I16" i="11"/>
  <c r="A21" i="11" s="1"/>
  <c r="A21" i="13" s="1"/>
</calcChain>
</file>

<file path=xl/sharedStrings.xml><?xml version="1.0" encoding="utf-8"?>
<sst xmlns="http://schemas.openxmlformats.org/spreadsheetml/2006/main" count="2240" uniqueCount="440">
  <si>
    <t>Me da miedo hacerme muy amigo de alquien por que podría acabar sintiéndome ridiculizado o avergonzado.</t>
  </si>
  <si>
    <t>Hago lo que quiero sin preocuparme de las consecuencias que tenga en los demás.</t>
  </si>
  <si>
    <t>En las últimas semanas me he sentido agotado sin ningún motivo en particular.</t>
  </si>
  <si>
    <t>Ultimamente parece que me quedo sin fuerzas incluso por las mañanas.</t>
  </si>
  <si>
    <t>Siempre me aseguro de que mi trabajo esté bien planeado y organizado.</t>
  </si>
  <si>
    <t>Disfruto haciendo tantas cosas diferentes que no puedo decidir por cuál empezar.</t>
  </si>
  <si>
    <t>Me preocupa que las personas de las que dependo me abandonen.</t>
  </si>
  <si>
    <t>Aunque me da miedo hacer amistades, me gustaría tener más de las que tengo.</t>
  </si>
  <si>
    <t>Raramente exteriorizo los pocos sentimientos que tengo.</t>
  </si>
  <si>
    <t>Me cuesta mantener el equilibrio cuando camino.</t>
  </si>
  <si>
    <t>Siempre busco oportunidades nuevas que me resulten emocionantes.</t>
  </si>
  <si>
    <t>Me gusta ser el centro de atención.</t>
  </si>
  <si>
    <t>De adolescente tuve muchos problemas por mi mal comportamiento en la escuela o instituto.</t>
  </si>
  <si>
    <t>Noto que la gente está hablando de mí cuando paso a su lado.</t>
  </si>
  <si>
    <t>Hace uno años comencé a sentirme un fracasado.</t>
  </si>
  <si>
    <t>Si puedo elegir, prefiero hacer las cosas solo.</t>
  </si>
  <si>
    <t>Últimamente he comenzado a sentir deseos de destrozar cosas.</t>
  </si>
  <si>
    <t>Las cosas que hoy van bien no durarán mucho tiempo.</t>
  </si>
  <si>
    <t>A veces, cuando las cosas empiezan a irme mal, me siento como si estuviera loco o fuera de la realidad.</t>
  </si>
  <si>
    <t>Afronto mis actividades diarias con mucha energía y persistencia.</t>
  </si>
  <si>
    <t>Nunca perdono una ofensa ni olvido una situación embarazosa que alguien me haya causado.</t>
  </si>
  <si>
    <t>Me siento extremadamente deprimido y triste gran parte del tiempo.</t>
  </si>
  <si>
    <t>Siempre tiendo a culparme cuando las cosas van mal.</t>
  </si>
  <si>
    <t>Hace mucho decidí que es mejor tener poca relación con la gente.</t>
  </si>
  <si>
    <t>Tengo un problema con el alcohol que nos ha creado dificultades a mí y a mi familia.</t>
  </si>
  <si>
    <t>Soy una persona socialmente muy reservada y tímida.</t>
  </si>
  <si>
    <t>Muchas veces me siento muy alegre y animado sin ninguna razón.</t>
  </si>
  <si>
    <t>Mi tiempo es más valioso que el de los demás.</t>
  </si>
  <si>
    <t>Siempre estoy buscando hacer nuevas amistades y conocer gente nueva.</t>
  </si>
  <si>
    <t>Desde hace unas semanas estoy muy nervioso.</t>
  </si>
  <si>
    <t>Simplemente, no he tenido la suerte que otras personas han tenido en la vida.</t>
  </si>
  <si>
    <t>Las ideas me dan vueltas en la cabeza una y otra vez y no desaparecen.</t>
  </si>
  <si>
    <t>Desde hace uno o dos años, al pensar sobre la vida, me siento muy triste y desanimado.</t>
  </si>
  <si>
    <t>Intento hacerlo todo tan perfecto como sea posible.</t>
  </si>
  <si>
    <t>Mi adicción a las drogas hizo que faltara al trabajo.</t>
  </si>
  <si>
    <t>Mi estado de ánimo varía mucho de un día para otro.</t>
  </si>
  <si>
    <t>Utilizo mi encanto para conseguir lo que quiero.</t>
  </si>
  <si>
    <t>A menudo pienso que no merezco las cosas buenas que me pasan.</t>
  </si>
  <si>
    <t>En el pasado me corté o autolesioné a propósito</t>
  </si>
  <si>
    <t>Tengo la sensación de que no duermo, y me levanto tan cansado como al acostarme.</t>
  </si>
  <si>
    <t>A menudo dejo que los demás tomen por mi desiciones importantes.</t>
  </si>
  <si>
    <t>Parece que pocas cosas me entristecen o me alegran.</t>
  </si>
  <si>
    <t>A menudo tengo pensamiento extraños de los que desearía librarme.</t>
  </si>
  <si>
    <t>Tengo muchos problemas para controlar el impulso de beber alcohol en exceso.</t>
  </si>
  <si>
    <t>Hago amistades con mucha más facilidad que la mayoría de la gente que conozco.</t>
  </si>
  <si>
    <t>Me da vergüenza el maltrato que sufrí cuando era joven.</t>
  </si>
  <si>
    <t>Me parece muy bien que haya normas porque son una buena guía a seguir.</t>
  </si>
  <si>
    <t>El año pasado aparecí en la portada de varias revistas.</t>
  </si>
  <si>
    <t>A menudo me enfado con la gente que hace las cosas lentamente.</t>
  </si>
  <si>
    <t>Me paso la vida preocupándome por una cosa u otra.</t>
  </si>
  <si>
    <t>Siempre me pregunto cuál es la razón real de que alguien sea especificamente agradable conmigo.</t>
  </si>
  <si>
    <t>Mis actividades cotidianas me animan y motivan.</t>
  </si>
  <si>
    <t>Desde que sufrí una conmoción cerebral grave, ya no puedo concentrarme en nada.</t>
  </si>
  <si>
    <t>Tengo mcuhas ideas que son avanzadas para los tiempos actuales.</t>
  </si>
  <si>
    <t xml:space="preserve">Antes la gente decía que me interesaba y me entusiasmaba demasiado por muchas cosas. </t>
  </si>
  <si>
    <t>He perdido el apetito por completo, y la mayoria de las noches tengo problemas para dormir.</t>
  </si>
  <si>
    <t>Desde que era niño he ido perdiendo contacto con la realidad.</t>
  </si>
  <si>
    <t>No puedo sentir mucho placer por que no creo que lo merezca .</t>
  </si>
  <si>
    <t>Prefiero que me digan lo que tengo que hacer en lugar de decidir por mí mismo.</t>
  </si>
  <si>
    <t>Consumir drogas me ha causado discusiones con mi familia.</t>
  </si>
  <si>
    <t>El recuerdo de una experiencia muy pertubadora sigue presente en mis pensamientos y me obsesiona.</t>
  </si>
  <si>
    <t>La mayoría de la gente me considera una persona prudente y cuidadosa.</t>
  </si>
  <si>
    <t>Parece que he perdido el interés en la mayoría de las cosas que solia encontrar placenteras, como el sexo.</t>
  </si>
  <si>
    <t>He tenido problemas con la ley un par de veces.</t>
  </si>
  <si>
    <t>Consumir drogas puede ser irresponsable, pero en el pasado las he necesitado.</t>
  </si>
  <si>
    <t>Últimamente estoy destrozado.</t>
  </si>
  <si>
    <t>Hay gente mala que intenta llevarse el mérito de lo que he hecho o pensado.</t>
  </si>
  <si>
    <t>Recientemente he pensado muy en serio en quitarme la vida.</t>
  </si>
  <si>
    <t>Me parece que necesito que alguien me oriente para hacer las cosas.</t>
  </si>
  <si>
    <t>Años después, aún tengo pesadillas sobre un hecho que fue una amenaza real para mi vida.</t>
  </si>
  <si>
    <t>Soy una persona muy optimista.</t>
  </si>
  <si>
    <t>Me cuesta controlar mi ira.</t>
  </si>
  <si>
    <t>La gente dice que soy una persona formal y con valores morales.</t>
  </si>
  <si>
    <t>Cuando estoy solo y lejos de casa a menudo comienzo a sentirme tenso y entro en pánico.</t>
  </si>
  <si>
    <t>Siempre me ha resultado difícil dejar de sentirme deprimido y triste.</t>
  </si>
  <si>
    <t>Frecuentemente siento que no hay nada dentro de mí, como si estuviera vacío y hueco.</t>
  </si>
  <si>
    <t>Me doy atracones de comida un par de veces en la semana.</t>
  </si>
  <si>
    <t>La gente intenta hacerme creer que estoy loco.</t>
  </si>
  <si>
    <t>Estoy muy seguro de mí mismo.</t>
  </si>
  <si>
    <t>He tenido que ser muy duro con algunas personas para mantenerlas a raya.</t>
  </si>
  <si>
    <t>Soy una persona muy variable, cambio de opinión y sentimientos continuamente.</t>
  </si>
  <si>
    <t>Se me da muy bien inventar excusas cuando me meto en problemas.</t>
  </si>
  <si>
    <t>Cuando estoy en una fiesta, nunca me aíslo de los demás.</t>
  </si>
  <si>
    <t>Parece que echo a perder las buenas oportunidades que se cruzan en mi camino.</t>
  </si>
  <si>
    <t>Algunas veces me provoco el vómito después de comer.</t>
  </si>
  <si>
    <t>Soy una persona especial, así que no me importa lo que piensen los demás.</t>
  </si>
  <si>
    <t>Observo atentamente a mi familia para saber en quíen se puede confiar y en quién no.</t>
  </si>
  <si>
    <t>Ciertos pensamientos vuelven a mi mente una y otra vez.</t>
  </si>
  <si>
    <t>Pocas cosas en la vida me resultan placenteras.</t>
  </si>
  <si>
    <t>Me siento agitado y me cuesta conciliar el sueño por que tengo recuerdos dolorosos dando vueltas en mi cabeza.</t>
  </si>
  <si>
    <t>A menudo me pierdo en mis pensamientos y me olvido de lo que está pasando a mi alrededor.</t>
  </si>
  <si>
    <t>Nunca he podido dejar de sentir que no valgo nada para los demás.</t>
  </si>
  <si>
    <t>Tengo un problema con la bebida que he tratado de solucionar sin éxito.</t>
  </si>
  <si>
    <t>Alguien ha estado intentando controlar mi mente.</t>
  </si>
  <si>
    <t>La mayoría de las personas que han triunfado han tenido suerte o han sido deshonestas.</t>
  </si>
  <si>
    <t>A menudo irrito a la gente dándoles órdenes.</t>
  </si>
  <si>
    <t>No he visto un coche en los últimos diez años.</t>
  </si>
  <si>
    <t>Siempre me siento cohibido y tenso en las reuniones sociales.</t>
  </si>
  <si>
    <t>Creo que provoco situaciones en las que resulto herido o me siento rechazado.</t>
  </si>
  <si>
    <t>Me siento profundamente deprimido sin saber por qué.</t>
  </si>
  <si>
    <t>La gente dice que soy una persona delgada, pero creo que mis muslos y mi trasero son demasiado grandes.</t>
  </si>
  <si>
    <t>A menudo disfruto provocando una discusión o una pelea.</t>
  </si>
  <si>
    <t>Tengo mucho cuidado en mantener mi vida como algo privado, para que nadie pueda aprovecharse de mí.</t>
  </si>
  <si>
    <t>El consumo de drogas me ha causado muchos problemas.</t>
  </si>
  <si>
    <t>A menudo me echan la culpa por las cosas de las que no soy responsable.</t>
  </si>
  <si>
    <t>Pensar en el futuro al inicio de cada día me hace sentir extremadamente deprimido.</t>
  </si>
  <si>
    <t>A veces las personas se molestan conmigo porque dicen que hablo mucho o demasiado rapido.</t>
  </si>
  <si>
    <t>Yo nunca podría arreglármelas solo.</t>
  </si>
  <si>
    <t>Mi cabeza no funciona bien desde que hace unos años tuve una lesión cerebral.</t>
  </si>
  <si>
    <t>Me siento solo y vacío la mayor parte del tiempo.</t>
  </si>
  <si>
    <t>La gente se burla de mí a mis espaldas.</t>
  </si>
  <si>
    <t>Últimamente sudo mucho y me siento muy tenso.</t>
  </si>
  <si>
    <t>Estas últimas semanas me sentido cada vez más triste.</t>
  </si>
  <si>
    <t>Me enfurezco rápidamente con la gente que me molesta.</t>
  </si>
  <si>
    <t>A veces no he podido pasar el día sin tomar drogas.</t>
  </si>
  <si>
    <t>Me gusta mucho coquetear.</t>
  </si>
  <si>
    <t>Ya no tengo energía para concentrarme en mis responsabilidades.</t>
  </si>
  <si>
    <t>Mis emociones no parecen ser tan intensas como las del resto de la gente.</t>
  </si>
  <si>
    <t>Me siento débil y cansado la mayor parte del tiempo.</t>
  </si>
  <si>
    <t>Ideas extrañas entran en mi mente, dan vueltas y vueltas en mi cabeza, y no desaparecen.</t>
  </si>
  <si>
    <t>Los demás tienen oportunidades que yo no tengo.</t>
  </si>
  <si>
    <t>Repito ciertos comportamientos una y otra vez, algunas veces para reducir mi ansiedad y otras para evitar que pase algo malo</t>
  </si>
  <si>
    <t>He tomado medicación que me habían recetado.</t>
  </si>
  <si>
    <t>Mi vida actual todavía se ve afectada por recuerdos e imágenes de algo terrible que me pasó.</t>
  </si>
  <si>
    <t>A menudo echo a perder las cosas buenas que me ocurren.</t>
  </si>
  <si>
    <t>Voces malvadas intentan apoderarse de mi mente.</t>
  </si>
  <si>
    <t>Me siento muy culpable cuando pierdo el control.</t>
  </si>
  <si>
    <t>Mi entusiasmo por el trabajo que hago nunca disminuye.</t>
  </si>
  <si>
    <t>Supongo que no soy diferente de mis padres ya que, en cierto modo, me he convertido en un alcohólico.</t>
  </si>
  <si>
    <t>Últimamente tengo que pensar las cosas una y otra vez sin ningún motivo.</t>
  </si>
  <si>
    <t>Animo a los demás a que admiren lo que digo o hago.</t>
  </si>
  <si>
    <t>Dejo de hacer cosas si tengo que hacerlas solo.</t>
  </si>
  <si>
    <t>He intentado suicidarme.</t>
  </si>
  <si>
    <t>Soy una persona miedosa y reservada.</t>
  </si>
  <si>
    <t>A las personas que supuestamente son mis amigos les gustaría hacerme daño.</t>
  </si>
  <si>
    <t>A menudo me dejo llevar por la rabia y luego me siento culpable.</t>
  </si>
  <si>
    <t>A menudo oigo cosas con tanta claridad que me molesta.</t>
  </si>
  <si>
    <t>Aparte de mi familia, tengo muy pocos amigos íntimos.</t>
  </si>
  <si>
    <t>Las desorganización me hace sentir muy incómodo.</t>
  </si>
  <si>
    <t>A menudo critico mucho a la gente que me irrita.</t>
  </si>
  <si>
    <t>Tengo muchas cualidades que los demás querrían tener.</t>
  </si>
  <si>
    <t>Terribles acontecimientos de mi pasado reaparecen obsesivamente en mis pensamientos y sueños.</t>
  </si>
  <si>
    <t>Sé que he gastado más dinero en droga del que debería.</t>
  </si>
  <si>
    <t>A menudo, y antes de darme cuenta, me pongo a gritar enfadado a mis amigos y familiares.</t>
  </si>
  <si>
    <t>Me preocupa que mi cuerpo se desgaste rapidamente.</t>
  </si>
  <si>
    <t>Está bien burlar la ley si es poco probable que te atrapen.</t>
  </si>
  <si>
    <t>Creo que hay una conspiración contra mí.</t>
  </si>
  <si>
    <t>Soy una persona solitaria y no me molesta.</t>
  </si>
  <si>
    <t>Todavía me aterrorizo cuando pienso en una experiencia traumática que tuve hace años.</t>
  </si>
  <si>
    <t>Últimamente me he sentido muy culpable porqueya no soy capaz de hacer nada bien.</t>
  </si>
  <si>
    <t>Los castigos nunca me impidieron hacer lo que quería.</t>
  </si>
  <si>
    <t>Pocas veces creo lo que la gente me dice.</t>
  </si>
  <si>
    <t>Soy una persona muy sociable y extrovertida.</t>
  </si>
  <si>
    <t>Me entusiasmo con casi todo lo que hago.</t>
  </si>
  <si>
    <t>Estoy confundido sobre quién soy.</t>
  </si>
  <si>
    <t>Odio pensar en el matrato que sufrí en la infancia.</t>
  </si>
  <si>
    <t>Nunca infringiría la ley, aunque pudiera salir impune.</t>
  </si>
  <si>
    <t>Algunos miembros de mi familia dicen que soy egoísta y que sólo pienso en mí.</t>
  </si>
  <si>
    <t>En el último año he cruzado el Atlántico en avión 30 veces.</t>
  </si>
  <si>
    <t>Beber alcohol me ayuda cuando me siento deprimido.</t>
  </si>
  <si>
    <t>Preferiría seguir a alguien antes que ser yo el líder.</t>
  </si>
  <si>
    <t>A menudo me vienen ideas a la mente mucho más rápido de lo puedo expresarlas.</t>
  </si>
  <si>
    <t>A menudo me siento tan mal que quiero hacerme daño de verdad.</t>
  </si>
  <si>
    <t>Algunas personas dicen que soy extraño o raro.</t>
  </si>
  <si>
    <t>A veces encuentro consuelo en mi sufrimiento.</t>
  </si>
  <si>
    <t>A menudo creo que me han tratado injustamente.</t>
  </si>
  <si>
    <t>Muestro mi enfado rápidamente a las personas que no están de acuerdo conmigo.</t>
  </si>
  <si>
    <t>Casi siempre me siento culpable sin ninguna razón aparente.</t>
  </si>
  <si>
    <t>Desde hace algún tiempo me siento triste y deprimido y parece que no consigo animarme.</t>
  </si>
  <si>
    <t>Sé cómo seducir a la gente.</t>
  </si>
  <si>
    <t>Siempre he tenido que estar atento a la gente que intenta engañarme.</t>
  </si>
  <si>
    <t>Siempre estoy dispuesto a aceptar lo que los demás les gustaría hacer.</t>
  </si>
  <si>
    <t>Afronto todos los retos de la vida con una actitud valiente y enérgica.</t>
  </si>
  <si>
    <t>Nunca siento que tenga algo interesante que aportar a una conversación.</t>
  </si>
  <si>
    <t>Si un medicamento no me hace efecto, es probable que lo tome con más frecuencia o aumente la dosis.</t>
  </si>
  <si>
    <t>En muchos periodos de mi vida he estado tan animado y he consumido tanta energía que luego me he sentido muy bajo de ánimo.</t>
  </si>
  <si>
    <t>A menudo me siento muy infeliz conmigo mismo.</t>
  </si>
  <si>
    <t>No me gusta cambiar mi rutina.</t>
  </si>
  <si>
    <t>No necesito tener amigos íntimos como tienen los demás.</t>
  </si>
  <si>
    <t>A veces me ha reconfirtado herirme físicamente.</t>
  </si>
  <si>
    <t>Mucha gente ha estado espiando mi vida privada durante años.</t>
  </si>
  <si>
    <t>Cuando quiero, se me da bastante bien engañar a la gente.</t>
  </si>
  <si>
    <t>Incluso cuando las cosas van bien, creo que pronto irán mal.</t>
  </si>
  <si>
    <t>Se me da muy bien animar y motivar a los demás.</t>
  </si>
  <si>
    <t>Estoy dispuesto a pasar hambre para estar aún más delgado de lo que estoy.</t>
  </si>
  <si>
    <t>A menudo estoy irrtiable y de mal humor.</t>
  </si>
  <si>
    <t>Siempre intento acabar mi trabajo antes de dedicar tiempo a actividades de ocio.</t>
  </si>
  <si>
    <t>Solo las personas excepcionales pueden comprender mis capacidades.</t>
  </si>
  <si>
    <t>Realmente no entiendo los sentimientos humanos como los entienden los demás.</t>
  </si>
  <si>
    <t>Demasiadas normas impiden que haga lo que quiero.</t>
  </si>
  <si>
    <t>Tiendo a estar de acuerdo con las opiniones de los demás.</t>
  </si>
  <si>
    <t>Evito la mayoría de las situaciones sociales porque creo que la gente me rechazará.</t>
  </si>
  <si>
    <t>ITEMS</t>
  </si>
  <si>
    <t>V</t>
  </si>
  <si>
    <t>F</t>
  </si>
  <si>
    <r>
      <rPr>
        <b/>
        <u/>
        <sz val="24"/>
        <color theme="0"/>
        <rFont val="Times New Roman"/>
        <family val="1"/>
      </rPr>
      <t xml:space="preserve">Instrucciones: </t>
    </r>
    <r>
      <rPr>
        <b/>
        <sz val="11"/>
        <color theme="0"/>
        <rFont val="Times New Roman"/>
        <family val="1"/>
      </rPr>
      <t xml:space="preserve">
La persona deberá responder las afirmaciones con una "1"  en la casilla correspondiente.
Elegirá la opción de "Verdadero" " casilla izquierda. 
Elegirá la opción de "Falso" casilla derecha.
Trate de marcar cada frase aún cuando no está seguro de su decisión.
 Si ha intentado y todavía no se puede decidir, marque el Falso.
Procure no hacer dobles respuestas.
</t>
    </r>
  </si>
  <si>
    <t>Escalas de Validez</t>
  </si>
  <si>
    <t>S</t>
  </si>
  <si>
    <t>C</t>
  </si>
  <si>
    <t>P</t>
  </si>
  <si>
    <t>2A</t>
  </si>
  <si>
    <t>2B</t>
  </si>
  <si>
    <t>6A</t>
  </si>
  <si>
    <t>6B</t>
  </si>
  <si>
    <t>8A</t>
  </si>
  <si>
    <t>8B</t>
  </si>
  <si>
    <t xml:space="preserve">Patrones de Personalidad </t>
  </si>
  <si>
    <t xml:space="preserve">Esquizoide  </t>
  </si>
  <si>
    <t>Evitativo</t>
  </si>
  <si>
    <t xml:space="preserve">Melancólico </t>
  </si>
  <si>
    <t>Dependiente</t>
  </si>
  <si>
    <t>4A</t>
  </si>
  <si>
    <t>Histriónico</t>
  </si>
  <si>
    <t>4B</t>
  </si>
  <si>
    <t>Tempestuoso</t>
  </si>
  <si>
    <t>Narcisista</t>
  </si>
  <si>
    <t>Antisocial</t>
  </si>
  <si>
    <t xml:space="preserve">Sádico </t>
  </si>
  <si>
    <t>Compulsivo</t>
  </si>
  <si>
    <t>Masoquista</t>
  </si>
  <si>
    <t>Negativista</t>
  </si>
  <si>
    <t xml:space="preserve">Esquizotípico </t>
  </si>
  <si>
    <t xml:space="preserve">Límite    </t>
  </si>
  <si>
    <t>Paranoide</t>
  </si>
  <si>
    <t>A</t>
  </si>
  <si>
    <t>H</t>
  </si>
  <si>
    <t>D</t>
  </si>
  <si>
    <t>B</t>
  </si>
  <si>
    <t>T</t>
  </si>
  <si>
    <t>R</t>
  </si>
  <si>
    <t xml:space="preserve">Síntomas Somáticos </t>
  </si>
  <si>
    <t>Ansiedad Generalizada</t>
  </si>
  <si>
    <t>N</t>
  </si>
  <si>
    <t>Espectro Bípolar</t>
  </si>
  <si>
    <t>Depresión Persistente</t>
  </si>
  <si>
    <t>Consumo de Alcohol</t>
  </si>
  <si>
    <t>Consumo de Drogas</t>
  </si>
  <si>
    <t>Estrés Postraumático</t>
  </si>
  <si>
    <t>SS</t>
  </si>
  <si>
    <t>Espectro Esquizofrénico</t>
  </si>
  <si>
    <t>CC</t>
  </si>
  <si>
    <t>Depresión Mayor</t>
  </si>
  <si>
    <t>PP</t>
  </si>
  <si>
    <t>Delirante</t>
  </si>
  <si>
    <t>W</t>
  </si>
  <si>
    <t>X</t>
  </si>
  <si>
    <t>Y</t>
  </si>
  <si>
    <t>Z</t>
  </si>
  <si>
    <t>Devaluación</t>
  </si>
  <si>
    <t>Deseabilidad Social</t>
  </si>
  <si>
    <t>Sinceridad</t>
  </si>
  <si>
    <t>Inconsistencia</t>
  </si>
  <si>
    <t>Invalidez</t>
  </si>
  <si>
    <t>PD</t>
  </si>
  <si>
    <t>Algunas veces puedo ser bastante duro y desagradable con mi familia</t>
  </si>
  <si>
    <t>A veces siento que meresco ser infeliz.</t>
  </si>
  <si>
    <t>22-170</t>
  </si>
  <si>
    <t>125-143</t>
  </si>
  <si>
    <t>47-157</t>
  </si>
  <si>
    <t>40 - 181</t>
  </si>
  <si>
    <t>81 - 116</t>
  </si>
  <si>
    <t>85-116</t>
  </si>
  <si>
    <t>76-150</t>
  </si>
  <si>
    <t>25-94</t>
  </si>
  <si>
    <t>44 -121</t>
  </si>
  <si>
    <t>39-59</t>
  </si>
  <si>
    <t>17-184</t>
  </si>
  <si>
    <t>33- 89</t>
  </si>
  <si>
    <t>78-164</t>
  </si>
  <si>
    <t>38-171</t>
  </si>
  <si>
    <t>74-115</t>
  </si>
  <si>
    <t>46 - 154</t>
  </si>
  <si>
    <t>26-99</t>
  </si>
  <si>
    <t>20-174</t>
  </si>
  <si>
    <t>32-122</t>
  </si>
  <si>
    <t>13-112</t>
  </si>
  <si>
    <t>55-110</t>
  </si>
  <si>
    <t>173- 194</t>
  </si>
  <si>
    <t>95-127</t>
  </si>
  <si>
    <t>60-162</t>
  </si>
  <si>
    <t>15-149</t>
  </si>
  <si>
    <t>Total</t>
  </si>
  <si>
    <t>Validez</t>
  </si>
  <si>
    <t>He estado abatido y triste gran parte de mi vida.</t>
  </si>
  <si>
    <t>PE</t>
  </si>
  <si>
    <t>ID</t>
  </si>
  <si>
    <t>CE</t>
  </si>
  <si>
    <t>TA</t>
  </si>
  <si>
    <t>TASA BASE</t>
  </si>
  <si>
    <t>Punt. Directa</t>
  </si>
  <si>
    <t>TASA BASE AJUSTADA</t>
  </si>
  <si>
    <t>Percentil</t>
  </si>
  <si>
    <t>-</t>
  </si>
  <si>
    <t/>
  </si>
  <si>
    <t>PERCENTIL</t>
  </si>
  <si>
    <t>ESCALA DE VALIDEZ</t>
  </si>
  <si>
    <t>Interpersonalmente Desvinculado</t>
  </si>
  <si>
    <t>Contenido Escaso</t>
  </si>
  <si>
    <t>Temperalmente apático</t>
  </si>
  <si>
    <t>2A.1</t>
  </si>
  <si>
    <t>Interpersonalmente Aversivo</t>
  </si>
  <si>
    <t>2A.2</t>
  </si>
  <si>
    <t>Autoimagen Alienada</t>
  </si>
  <si>
    <t>2A.3</t>
  </si>
  <si>
    <t>Contenido Vejatorio</t>
  </si>
  <si>
    <t>2B.1</t>
  </si>
  <si>
    <t>2B.2</t>
  </si>
  <si>
    <t>2B.3</t>
  </si>
  <si>
    <t>Cognitivamente Fatalista</t>
  </si>
  <si>
    <t>Autoimagen Inutil</t>
  </si>
  <si>
    <t>Temperalmente Afligido</t>
  </si>
  <si>
    <t>Expresivamente Pueril</t>
  </si>
  <si>
    <t>Interpersonalmente Sumiso</t>
  </si>
  <si>
    <t>Autoimagen Inepta</t>
  </si>
  <si>
    <t>4A.1</t>
  </si>
  <si>
    <t>4A.2</t>
  </si>
  <si>
    <t>4A.3</t>
  </si>
  <si>
    <t>Expresivamente Dramatico</t>
  </si>
  <si>
    <t>Interpersonalmente buscador de Atención</t>
  </si>
  <si>
    <t xml:space="preserve">Temperamentalmente Inconstante </t>
  </si>
  <si>
    <t>4B.1</t>
  </si>
  <si>
    <t>4B.2</t>
  </si>
  <si>
    <t>4B.3</t>
  </si>
  <si>
    <t>Expresivamente Impetuoso</t>
  </si>
  <si>
    <t>Autoimagen Sobreestimada</t>
  </si>
  <si>
    <t>Interpersonamente Eufórico</t>
  </si>
  <si>
    <t>Interpersonalmente Explotador</t>
  </si>
  <si>
    <t>Cognitivamente Expansivo</t>
  </si>
  <si>
    <t>Autoimagen Admirable</t>
  </si>
  <si>
    <t>6A.1</t>
  </si>
  <si>
    <t>6A.2</t>
  </si>
  <si>
    <t>6A.3</t>
  </si>
  <si>
    <t>Intepersonalmente Responsable</t>
  </si>
  <si>
    <t>Autoimagen Autónoma</t>
  </si>
  <si>
    <t>Dinámicas de Irreflexión</t>
  </si>
  <si>
    <t>6B.1</t>
  </si>
  <si>
    <t>6B.2</t>
  </si>
  <si>
    <t>6B.3</t>
  </si>
  <si>
    <t>Interpersonalmente Desagradable</t>
  </si>
  <si>
    <t>Expresivamente Precipitado</t>
  </si>
  <si>
    <t>Arquitectura Eruptiva</t>
  </si>
  <si>
    <t>Expresivamente Disciplinado</t>
  </si>
  <si>
    <t>Cognitivamente Constreñido</t>
  </si>
  <si>
    <t>Autoimagen Escrupulosa</t>
  </si>
  <si>
    <t>8A.1</t>
  </si>
  <si>
    <t>8A.2</t>
  </si>
  <si>
    <t>8A.3</t>
  </si>
  <si>
    <t>Expresivamente Resentido</t>
  </si>
  <si>
    <t>Autoimagen Descontenta</t>
  </si>
  <si>
    <t>Temperalmente Irritable</t>
  </si>
  <si>
    <t>8B.1</t>
  </si>
  <si>
    <t>8B.2</t>
  </si>
  <si>
    <t>8B.3</t>
  </si>
  <si>
    <t>Autoimagen Desmerecedora</t>
  </si>
  <si>
    <t>Arquitectura Invertida</t>
  </si>
  <si>
    <t>Temperamentalmente Disfórico</t>
  </si>
  <si>
    <t>S1</t>
  </si>
  <si>
    <t>S2</t>
  </si>
  <si>
    <t>S3</t>
  </si>
  <si>
    <t>Cognitivamente Circunstancial</t>
  </si>
  <si>
    <t>Autoimagen Disociada</t>
  </si>
  <si>
    <t>Contenido Caótico</t>
  </si>
  <si>
    <t>C1</t>
  </si>
  <si>
    <t>C2</t>
  </si>
  <si>
    <t>C3</t>
  </si>
  <si>
    <t>Autoimagen Inestable</t>
  </si>
  <si>
    <t>Arquitectura Disgregada</t>
  </si>
  <si>
    <t>Temperalmente Labil</t>
  </si>
  <si>
    <t>P1</t>
  </si>
  <si>
    <t>P2</t>
  </si>
  <si>
    <t>P3</t>
  </si>
  <si>
    <t>Expresivamente Defensivo</t>
  </si>
  <si>
    <t>Cognitivamente Desconfiado</t>
  </si>
  <si>
    <t>Dinámicas de Proyección</t>
  </si>
  <si>
    <t>TB</t>
  </si>
  <si>
    <t>Pc</t>
  </si>
  <si>
    <t>S.1</t>
  </si>
  <si>
    <t>S.2</t>
  </si>
  <si>
    <t>S.3</t>
  </si>
  <si>
    <t>C.1</t>
  </si>
  <si>
    <t>C.2</t>
  </si>
  <si>
    <t>C.3</t>
  </si>
  <si>
    <t>P.1</t>
  </si>
  <si>
    <t>P.2</t>
  </si>
  <si>
    <t>P.3</t>
  </si>
  <si>
    <t>Respuestas Siginificativas</t>
  </si>
  <si>
    <t>%</t>
  </si>
  <si>
    <t>TDAH</t>
  </si>
  <si>
    <t>Espectro Autista</t>
  </si>
  <si>
    <t>Maltrato Infantil</t>
  </si>
  <si>
    <t>Trastornos de la conducta alimentaria</t>
  </si>
  <si>
    <t>Falta de Control Emocional</t>
  </si>
  <si>
    <t>Explosiones de Ira</t>
  </si>
  <si>
    <t>Preocupación por su salud</t>
  </si>
  <si>
    <t>Alienación Interpersonal</t>
  </si>
  <si>
    <t>Abuso de Medicación</t>
  </si>
  <si>
    <t>Potencial Conducta autodestructiva</t>
  </si>
  <si>
    <t>Conductas/Tendencias Autolesivas</t>
  </si>
  <si>
    <t>Lesión Cerebral</t>
  </si>
  <si>
    <t>Tendencias Vengativas</t>
  </si>
  <si>
    <t>Patologías Graves Personalidad</t>
  </si>
  <si>
    <t>Sindromes Clínicos</t>
  </si>
  <si>
    <t xml:space="preserve">Nombre: </t>
  </si>
  <si>
    <t xml:space="preserve">Interpretacion </t>
  </si>
  <si>
    <t xml:space="preserve">inferior a 7 o superior a 114, el protocolo debe considerarse inválido. </t>
  </si>
  <si>
    <t>Tendencia a parecer socialmente agradable, moralmente admirable o emocionalmente equilibrado. Tendencia a mostrar una imagen de sí mismo positiva e interesante. Cuanto más alta sea la puntuación, más probable es que el paciente haya ocultado ciertos aspectos de sus dificultades psicológicas o interpersonales.</t>
  </si>
  <si>
    <t>Destacan por su falta de deseo e incapacidad de sentir placer o dolor intenso, indiferentes a las relaciones sociales, con necesidades afectivas mínimas.</t>
  </si>
  <si>
    <t>Los sujetos evitativos experimentan pocos refuerzos positivos procedentes de sí mismos o de los demás, siempre están alerta, preparados para distanciarse de las experiencias dolorosas o negativas de la vida. Su estrategia adaptative refleja miedo y desconfianza hacia los demás. Mantienen una vigilancia constante para evitar que su anhelo de afecto resulte en la repetición del dolor y la angustia que han experimentado con otras personas. A pesar de sus deseos de relacionarse con los demás, han aprendido que es mejor negar estos sentimientos y mantener la distancia interpersonal necesaria</t>
  </si>
  <si>
    <t>A diferencia de los sujetos esquizoides y de los evitativos, los sujetos melancólicos experimentan el dolor como un estado permanente en el que el placer ya no se considera posible. Algunos individuos melancólicos pueden tener una predisposición biológica o química hacia el pesimismo y el desánimo, mientras que otros muestran un estilo de desesperanza ante las pérdidas importantes determinado por la experiencia. El estilo de carácter melancólico puede verse determinado por el hecho de pertenecer a una familia muy triste o des¬animada, estar en un entorno sin interés y tener una perspectiva sin esperanzas.</t>
  </si>
  <si>
    <t>Los sujetos dependientes destacan por su falta de iniciativa y autonomía y han aprendido no solo a recurrir a los demás para obtener afecto, cuidados y seguridad, sino también a esperar pasivamente a que sean ellos quienes los dirijan. Se caracterizan por buscar relaciones en las que puedan apoyarse para conseguir afecto y orientación; y han aprendido que es más cómodo asumir un rol pasivo en las relaciones interpersonales, aceptar las atenciones y el apoyo que puedan encontrar, y someterse voluntariamente a los deseos de los demás a fin de conservar su afecto.</t>
  </si>
  <si>
    <t>Los sujetos histriónicos, al igual que los dependientes, recurren a los demás, pero maximizan la atención y los favores que reciben, manipulando los hechos de una forma superficial y entusiasta. Su comportamiento social inteligente y a menudo ingenioso transmite confianza y seguridad en sí mismo; sin embargo, debajo de esta apariencia, subyace el miedo a la autonomía real y la necesidad de recibir señales recurrentes de aceptación y aprobación casi constantemente.</t>
  </si>
  <si>
    <t xml:space="preserve">Los sujetos tempestuosos son muy alegres y animados, pero su persistente euforia, entrometimiento y vo¬lubilidad puede resultar irritante para los demás. Aunque son apasionados y entusiastas, se aburren con  
demasiada facilidad y carecen de los recursos y la regularidad necesarios para llevar a término sus objetivos y planes. Sin control, su conducta puede llegar a ser más extrema, temeraria y errática. Con bastante fre¬cuencia, este patrón tipo maníaco, puede conducir al agotamiento depresivo. De todo ello resulta un patrón de conducta impredecible, de pensamiento disperso y de acciones y estados de ánimo impetuosos e impul¬sivos, interrumpidos por arrebatos de ira momentánea y ansiedad temerosa.
</t>
  </si>
  <si>
    <t>Los sujetos narcisistas destacan por su egocentrismo egotista, por sentir placer simplemente centrándose en sí mismos. Sus sentimientos de superioridad pueden no estar basados en logros reales o maduros; sin embargo, los narcisistas conservan un aire arrogante de seguridad en sí mismos y, sin pensarlo demasiado ni pretenderlo conscientemente, explotan a los demás en beneficio propio. Aunque agradecen y fomentan los elogios y las atenciones que reciben de los demás, no necesitan logros reales o aprobación social para mantener su aire de esnobismo y superioridad pretenciosa. Su confianza extrema hace que no se sientan motivados a implicarse en las interacciones propias de la vida social.</t>
  </si>
  <si>
    <t>Los sujetos antisociales destacan por su desconfianza hacia los demás, su deseo de autonomía y su anhelo de venganza y recompensa por lo que consideran injusticias del pasado. Para contrarrestar el dolor y los estragos que prevén que les causen otras personas, se comportan de forma engañosa o cometen actos ile¬gales en beneficio propio. Son irresponsables e impulsivos, y justifican estas cualidades porque consideran que los demás son desleales y no se puede confiar en ellos. Su insensibilidad y crueldad son sus únicos medios de evitar el abuso y la vietimización.</t>
  </si>
  <si>
    <t>Los sujetos sádicos, a diferencia de los antisociales, pueden buscar placer y satisfacción personal humi¬llando a otras personas y dejando a un lado sus derechos y sentimientos. Por lo general, son hostiles y sumamente combativos; y parece que las consecuencias destructivas de su conducta conflictiva, ofensiva y brutal les son indiferentes o les satisfacen. Aunque muchos encubren sus tendencias más maliciosas y de búsqueda del poder con acciones o profesiones públicamente aceptadas, sus actos dominantes, hostiles y a menudo persecutorios los delatan.</t>
  </si>
  <si>
    <t>Los sujetos compulsivos han sido intimidados y coaccionados para que acepten las exigencias y las decisio¬nes que los demás les imponen. Su prudencia, control y perfeccionismo derivan de un conflicto entre la hos¬tilidad hacia los demás y el miedo a la desaprobación social. Esta ambivalencia la resuelven suprimiendo su resentimiento y exigiéndose mucho a sí mismos y exigiéndolo a los demás. Su disciplinada autocontención les permite controlar los sentimientos oposicionistas intensos, aunque ocultos; y de ello resulta una pasividad manifiesta y una aparente sumisión pública.</t>
  </si>
  <si>
    <t>Los sujetos negativistas se debaten entre aceptar las gratificaciones que otros les ofrecen o perseguir sus propios deseos. Dado que vacilan entre la deferencia y el desafío y, a veces, la obediencia y la oposición agresiva, se enfrentan a interminables disputas y decepciones. Esta batalla representa una incapacidad para resolver conflictos similar a la de los sujetos compulsivos. Sin embargo, los conflictos de los negativistas persisten y permanecen cerca de la conciencia. Su conducta se caracteriza por un patrón errático de ira explosiva o resistencia completamente mezclado con periodos de culpa y vergüenza.</t>
  </si>
  <si>
    <t>Los sujetos masoquistas se relacionan con los demás de una forma servil y autosacrificada, y les permiten que abusen o se aprovechen de ellos, quizá incluso los alientan a hacerlo. Cuando se muestran sus peores rasgos, muchos sostienen que merecen ser avergonzados y humillados. Para agravar su dolor y angustia, que pueden vivirlos como reconfortantes, los masoquistas rememoran activa y reiteradamente sus desgra¬cias del pasado y, ante situaciones afortunadas, esperan que el resultado sea problemático.</t>
  </si>
  <si>
    <t>Los sujetos esquizotípicos prefieren estar aislados socialmente y tener mínimos vínculos y obligaciones per¬sonales. Su funcionamiento cognitivo tiende a ser desorganizado, piensan tangencialmente y a menudo parecen estar absortos en sí mismos y pensativos. Se distinguen por sus excentricidades y a menudo son vistos por los demás como personas raras o diferentes. Si su patrón básico es activo, muestran desconfianza ansiosa e hipersensibilidad; si es pasivo, muestran aplanamiento emocional y afecto deficiente.</t>
  </si>
  <si>
    <t>Los sujetos límites se caracterizan por su inestabilidad y labilidad afectiva. Experimentan estados de ánimo endógenos intensos, con periodos recurrentes de abatimiento y apatía, a menudo intercalados con periodos de ira, ansiedad o euforia. Muchos de ellos tienen pensamientos recurrentes de autolesiones y suicidio, pare¬cen extremadamente preocupados por conservar el afecto de los demás y tienen dificultades para mantener el sentido de su propia identidad. Asimismo, a menudo muestran una ambivalencia cognitivo-afectiva que se evidencia en sus sentimientos conflictivos de rabia, amor y culpa hacia los demás.</t>
  </si>
  <si>
    <t>Los sujetos paranoides se muestran desconfiados y en alerta hacia los demás y tensos y a la defensiva ante posibles críticas y engaños. Presentan una irritabilidad desabrida y tienden a hacer que los demás se exas¬peren o se enfaden. Asimismo se distinguen por la inmutabilidad de sus sentimientos y la inflexlbilidad de su pensamiento. A menudo expresan miedo a perder la independencia, lo que los lleva a resistirse enérgicamen¬te a las influencias y al control externo.</t>
  </si>
  <si>
    <t>Se muestra como un estado generalizado de tensión y la incapacidad de relajarse, con una tendencia a sobresaltarse fácilmente. A menudo se quejan de dolencias físicas: Dolores musculares, sudoración excesiva y nauseas, también es común un estado de preocupación por problemas inminentes, un estado de alerta excesivo hacia lo que los rodea e irritabilidad.</t>
  </si>
  <si>
    <t>Sujetos que experimentan síntomas ciclotímicos hasta bipolares, pasan por periodos de euforia superficial, autoestima exagerada, hiperactividad y falta atención con nerviosismo, irritabilidad e impulsividad. Duermen menos y llegan a tener estados psicóticos en casos extremos.</t>
  </si>
  <si>
    <t>Sujetos que han pasado años de su vida con angustia y sentimientos de desánimo o culpa, teniendo falta de iniciativa y apatía para la vida. Expresan sentimientos de inutilidad y hacen comentarios autodenigrantes. En los momentos de Depresión profunda existe llanto, ideación suicida, falta de apetito, fatiga crónica y falta de interés por las actividades placenteras</t>
  </si>
  <si>
    <t>Se da en personas con un historial de alcoholismo recurrente o reciente que han tratado de superar con poco éxito. Provocando malestar personal y familiar</t>
  </si>
  <si>
    <t>Se da en personas con un historial de consumo de drogas recurrente y que les cuesta superar, les suele costar reprimir sus impulsos o mantenerlos dentro de los límites sociales convencionales. No limitan su conducta y les cuesta ver las consecuencias de la misma.</t>
  </si>
  <si>
    <t>Sujetos que han vivido y presenciado un acontecimiento relacionado con la muerte o con lesiones graves, ya sea real o amenaza, producto de lo cual han sufrido un miedo intenso. Estos hechos se reviven a menudo en pesadillas o recuerdos que producen malestar. Los pacientes presentan activación ansiosa y sobresaltos exagerados.</t>
  </si>
  <si>
    <t>Son pacientes que muestran conductas incongruentes, desorganizadas y regresivas. A menudo parecen confusos y desorientados; a veces muestran afectos inapropiados, alucinaciones aisladas y delirios no sistemáticos. Poseen pensamientos extraños y en ocasiones mostrarse aislados.</t>
  </si>
  <si>
    <t>Son pacientes incapaces de funcionar en un entorno normal y poseen una visión pesimista del futuro, ideación suicida y una visión generalizada de resignación. También presentan miedos repetitivos y están meditabundos, con un notable deterioro motor. Entre otras conductas resaltan el insomnio, cansancio y perdida de peso.</t>
  </si>
  <si>
    <t>Son pacientes en un estado paranoide agudo y periódicamente pueden demostrar agresividad y delirios irracionales con temática persecutoria o de grandeza. Tienen alteración de pensamiento e ideas de traición, estado de animo hostil y se sienten maltratados</t>
  </si>
  <si>
    <t xml:space="preserve">La escala V señala que sus respuestas son </t>
  </si>
  <si>
    <t xml:space="preserve">La escala W señala que sus respuestas son </t>
  </si>
  <si>
    <t xml:space="preserve">La escala X señala que sus respuestas son </t>
  </si>
  <si>
    <t xml:space="preserve">La escala Y señala que </t>
  </si>
  <si>
    <t>La escala Z señala que trata de</t>
  </si>
  <si>
    <t>Tendencia del sujeto a menospreciarse o subestimarse manifestando más problemas emocionales y perso¬nales de los que un análisis posterior pueda reflejar.</t>
  </si>
  <si>
    <t xml:space="preserve">En los patrones de la escala clínica de personalidad presenta </t>
  </si>
  <si>
    <t xml:space="preserve">En las Patologías Graves Personalidad presenta </t>
  </si>
  <si>
    <t xml:space="preserve">En los Sindromes Clínicos de la Personalidad presenta </t>
  </si>
  <si>
    <t>Nombre :Estefania Milagros Negron Huapaya</t>
  </si>
</sst>
</file>

<file path=xl/styles.xml><?xml version="1.0" encoding="utf-8"?>
<styleSheet xmlns="http://schemas.openxmlformats.org/spreadsheetml/2006/main" xmlns:mc="http://schemas.openxmlformats.org/markup-compatibility/2006" xmlns:x14ac="http://schemas.microsoft.com/office/spreadsheetml/2009/9/ac" mc:Ignorable="x14ac">
  <fonts count="41" x14ac:knownFonts="1">
    <font>
      <sz val="11"/>
      <color theme="1"/>
      <name val="Calibri"/>
      <family val="2"/>
      <scheme val="minor"/>
    </font>
    <font>
      <sz val="11"/>
      <color theme="1"/>
      <name val="Times New Roman"/>
      <family val="1"/>
    </font>
    <font>
      <b/>
      <sz val="11"/>
      <color theme="0"/>
      <name val="Times New Roman"/>
      <family val="1"/>
    </font>
    <font>
      <b/>
      <u/>
      <sz val="24"/>
      <color theme="0"/>
      <name val="Times New Roman"/>
      <family val="1"/>
    </font>
    <font>
      <sz val="10"/>
      <name val="Arial"/>
      <family val="2"/>
    </font>
    <font>
      <sz val="11"/>
      <name val="Times New Roman"/>
      <family val="1"/>
    </font>
    <font>
      <sz val="11"/>
      <color theme="0"/>
      <name val="Times New Roman"/>
      <family val="1"/>
    </font>
    <font>
      <b/>
      <sz val="12"/>
      <color theme="1"/>
      <name val="Calibri"/>
      <family val="2"/>
      <scheme val="minor"/>
    </font>
    <font>
      <sz val="10"/>
      <color theme="0"/>
      <name val="Times New Roman"/>
      <family val="1"/>
    </font>
    <font>
      <sz val="10"/>
      <color theme="1"/>
      <name val="Times New Roman"/>
      <family val="1"/>
    </font>
    <font>
      <sz val="10"/>
      <name val="Times New Roman"/>
      <family val="1"/>
    </font>
    <font>
      <sz val="10"/>
      <color theme="1"/>
      <name val="Calibri"/>
      <family val="2"/>
      <scheme val="minor"/>
    </font>
    <font>
      <sz val="11"/>
      <color theme="0"/>
      <name val="Calibri"/>
      <family val="2"/>
      <scheme val="minor"/>
    </font>
    <font>
      <sz val="9"/>
      <color theme="1"/>
      <name val="Times New Roman"/>
      <family val="1"/>
    </font>
    <font>
      <sz val="11"/>
      <color theme="1"/>
      <name val="Calibri"/>
      <family val="2"/>
      <scheme val="minor"/>
    </font>
    <font>
      <sz val="11"/>
      <name val="Calibri"/>
      <family val="2"/>
      <scheme val="minor"/>
    </font>
    <font>
      <sz val="5"/>
      <color theme="1"/>
      <name val="Webdings"/>
      <family val="1"/>
      <charset val="2"/>
    </font>
    <font>
      <sz val="3"/>
      <color theme="1"/>
      <name val="Webdings"/>
      <family val="1"/>
      <charset val="2"/>
    </font>
    <font>
      <sz val="5"/>
      <color theme="0" tint="-0.499984740745262"/>
      <name val="Webdings"/>
      <family val="1"/>
      <charset val="2"/>
    </font>
    <font>
      <sz val="5"/>
      <color theme="1"/>
      <name val="Calibri"/>
      <family val="2"/>
      <scheme val="minor"/>
    </font>
    <font>
      <sz val="14"/>
      <name val="Times New Roman"/>
      <family val="1"/>
    </font>
    <font>
      <sz val="10"/>
      <name val="Calibri"/>
      <family val="2"/>
      <scheme val="minor"/>
    </font>
    <font>
      <i/>
      <u/>
      <sz val="8"/>
      <name val="Calibri"/>
      <family val="2"/>
      <scheme val="minor"/>
    </font>
    <font>
      <i/>
      <u/>
      <sz val="10"/>
      <name val="Calibri"/>
      <family val="2"/>
      <scheme val="minor"/>
    </font>
    <font>
      <sz val="12"/>
      <name val="Times New Roman"/>
      <family val="1"/>
    </font>
    <font>
      <sz val="8"/>
      <name val="Calibri"/>
      <family val="2"/>
      <scheme val="minor"/>
    </font>
    <font>
      <sz val="12"/>
      <name val="Albertus Medium"/>
      <family val="2"/>
    </font>
    <font>
      <sz val="8"/>
      <color theme="1"/>
      <name val="Calibri"/>
      <family val="2"/>
      <scheme val="minor"/>
    </font>
    <font>
      <b/>
      <sz val="10"/>
      <color theme="1"/>
      <name val="Calibri"/>
      <family val="2"/>
      <scheme val="minor"/>
    </font>
    <font>
      <sz val="8"/>
      <name val="Times New Roman"/>
      <family val="1"/>
    </font>
    <font>
      <sz val="8"/>
      <color theme="1"/>
      <name val="Arial"/>
      <family val="2"/>
    </font>
    <font>
      <b/>
      <sz val="8"/>
      <color theme="1"/>
      <name val="Arial"/>
      <family val="2"/>
    </font>
    <font>
      <sz val="7"/>
      <color theme="1"/>
      <name val="Arial"/>
      <family val="2"/>
    </font>
    <font>
      <i/>
      <u/>
      <sz val="11"/>
      <color theme="1"/>
      <name val="Arial"/>
      <family val="2"/>
    </font>
    <font>
      <b/>
      <sz val="9"/>
      <color theme="1"/>
      <name val="Arial"/>
      <family val="2"/>
    </font>
    <font>
      <b/>
      <sz val="8"/>
      <name val="Calibri"/>
      <family val="2"/>
      <scheme val="minor"/>
    </font>
    <font>
      <sz val="14"/>
      <color theme="1"/>
      <name val="Calibri"/>
      <family val="2"/>
      <scheme val="minor"/>
    </font>
    <font>
      <i/>
      <u/>
      <sz val="7"/>
      <name val="Calibri"/>
      <family val="2"/>
      <scheme val="minor"/>
    </font>
    <font>
      <sz val="18"/>
      <color theme="1"/>
      <name val="Calibri"/>
      <family val="2"/>
      <scheme val="minor"/>
    </font>
    <font>
      <b/>
      <sz val="9"/>
      <color theme="1"/>
      <name val="Calibri"/>
      <family val="2"/>
      <scheme val="minor"/>
    </font>
    <font>
      <b/>
      <sz val="11"/>
      <name val="Calibri"/>
      <family val="2"/>
      <scheme val="minor"/>
    </font>
  </fonts>
  <fills count="12">
    <fill>
      <patternFill patternType="none"/>
    </fill>
    <fill>
      <patternFill patternType="gray125"/>
    </fill>
    <fill>
      <patternFill patternType="solid">
        <fgColor theme="8" tint="0.79995117038483843"/>
        <bgColor indexed="64"/>
      </patternFill>
    </fill>
    <fill>
      <patternFill patternType="solid">
        <fgColor theme="9" tint="0.79995117038483843"/>
        <bgColor indexed="64"/>
      </patternFill>
    </fill>
    <fill>
      <patternFill patternType="solid">
        <fgColor theme="3" tint="0.39997558519241921"/>
        <bgColor indexed="64"/>
      </patternFill>
    </fill>
    <fill>
      <patternFill patternType="solid">
        <fgColor theme="0"/>
        <bgColor indexed="64"/>
      </patternFill>
    </fill>
    <fill>
      <patternFill patternType="solid">
        <fgColor theme="1" tint="0.49995422223578601"/>
        <bgColor indexed="64"/>
      </patternFill>
    </fill>
    <fill>
      <patternFill patternType="solid">
        <fgColor theme="8" tint="0.59996337778862885"/>
        <bgColor indexed="64"/>
      </patternFill>
    </fill>
    <fill>
      <patternFill patternType="solid">
        <fgColor theme="7" tint="0.79995117038483843"/>
        <bgColor indexed="64"/>
      </patternFill>
    </fill>
    <fill>
      <patternFill patternType="solid">
        <fgColor theme="2"/>
        <bgColor indexed="64"/>
      </patternFill>
    </fill>
    <fill>
      <patternFill patternType="solid">
        <fgColor rgb="FF00B0F0"/>
        <bgColor indexed="64"/>
      </patternFill>
    </fill>
    <fill>
      <patternFill patternType="solid">
        <fgColor theme="0" tint="-0.499984740745262"/>
        <bgColor indexed="64"/>
      </patternFill>
    </fill>
  </fills>
  <borders count="26">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style="thin">
        <color auto="1"/>
      </left>
      <right/>
      <top style="thin">
        <color auto="1"/>
      </top>
      <bottom/>
      <diagonal/>
    </border>
    <border>
      <left style="medium">
        <color auto="1"/>
      </left>
      <right/>
      <top/>
      <bottom/>
      <diagonal/>
    </border>
    <border>
      <left/>
      <right style="thin">
        <color auto="1"/>
      </right>
      <top/>
      <bottom/>
      <diagonal/>
    </border>
    <border>
      <left/>
      <right/>
      <top style="thin">
        <color auto="1"/>
      </top>
      <bottom style="thin">
        <color auto="1"/>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s>
  <cellStyleXfs count="3">
    <xf numFmtId="0" fontId="0" fillId="0" borderId="0"/>
    <xf numFmtId="0" fontId="4" fillId="0" borderId="0"/>
    <xf numFmtId="9" fontId="14" fillId="0" borderId="0" applyFont="0" applyFill="0" applyBorder="0" applyAlignment="0" applyProtection="0"/>
  </cellStyleXfs>
  <cellXfs count="183">
    <xf numFmtId="0" fontId="0" fillId="0" borderId="0" xfId="0"/>
    <xf numFmtId="0" fontId="0" fillId="0" borderId="0" xfId="0"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7" fillId="0" borderId="0" xfId="0" applyFont="1" applyBorder="1" applyAlignment="1">
      <alignment horizontal="center"/>
    </xf>
    <xf numFmtId="0" fontId="0" fillId="0" borderId="0" xfId="0" applyAlignment="1">
      <alignment horizontal="center" wrapText="1"/>
    </xf>
    <xf numFmtId="0" fontId="7" fillId="0" borderId="0" xfId="0" applyFont="1" applyAlignment="1">
      <alignment horizontal="center" wrapText="1"/>
    </xf>
    <xf numFmtId="0" fontId="0" fillId="0" borderId="1" xfId="0" applyBorder="1" applyAlignment="1">
      <alignment horizontal="center"/>
    </xf>
    <xf numFmtId="0" fontId="0" fillId="0" borderId="0" xfId="0" applyBorder="1" applyAlignment="1">
      <alignment horizontal="center"/>
    </xf>
    <xf numFmtId="0" fontId="0" fillId="0" borderId="0" xfId="0" quotePrefix="1" applyAlignment="1">
      <alignment horizontal="center"/>
    </xf>
    <xf numFmtId="0" fontId="0" fillId="0" borderId="0" xfId="0" quotePrefix="1" applyBorder="1" applyAlignment="1">
      <alignment horizontal="center"/>
    </xf>
    <xf numFmtId="0" fontId="0" fillId="0" borderId="1" xfId="0" quotePrefix="1" applyBorder="1" applyAlignment="1">
      <alignment horizontal="center"/>
    </xf>
    <xf numFmtId="0" fontId="0" fillId="0" borderId="0" xfId="0" applyAlignment="1">
      <alignment wrapText="1"/>
    </xf>
    <xf numFmtId="0" fontId="13" fillId="0" borderId="2" xfId="0" applyFont="1" applyBorder="1" applyAlignment="1">
      <alignment horizontal="right"/>
    </xf>
    <xf numFmtId="0" fontId="13" fillId="0" borderId="2" xfId="0" applyFont="1" applyBorder="1" applyAlignment="1">
      <alignment horizontal="center"/>
    </xf>
    <xf numFmtId="0" fontId="0" fillId="0" borderId="0" xfId="0" applyProtection="1">
      <protection hidden="1"/>
    </xf>
    <xf numFmtId="0" fontId="12" fillId="0" borderId="0" xfId="0" applyFont="1" applyProtection="1">
      <protection hidden="1"/>
    </xf>
    <xf numFmtId="0" fontId="1" fillId="2" borderId="5" xfId="0" applyFont="1" applyFill="1" applyBorder="1" applyAlignment="1" applyProtection="1">
      <alignment horizontal="center" vertical="center"/>
      <protection hidden="1"/>
    </xf>
    <xf numFmtId="0" fontId="1" fillId="3" borderId="5" xfId="0" applyFont="1" applyFill="1" applyBorder="1" applyAlignment="1" applyProtection="1">
      <alignment horizontal="center" vertical="center"/>
      <protection hidden="1"/>
    </xf>
    <xf numFmtId="0" fontId="1" fillId="0" borderId="6" xfId="0" applyFont="1" applyBorder="1" applyAlignment="1" applyProtection="1">
      <alignment horizontal="center" vertical="center"/>
      <protection hidden="1"/>
    </xf>
    <xf numFmtId="0" fontId="12" fillId="0" borderId="0" xfId="0" applyFont="1" applyAlignment="1" applyProtection="1">
      <alignment horizontal="center" vertical="center"/>
      <protection hidden="1"/>
    </xf>
    <xf numFmtId="0" fontId="4" fillId="0" borderId="0" xfId="1" applyFont="1" applyBorder="1" applyAlignment="1" applyProtection="1">
      <alignment wrapText="1"/>
      <protection hidden="1"/>
    </xf>
    <xf numFmtId="0" fontId="6" fillId="4" borderId="2" xfId="0" applyFont="1" applyFill="1" applyBorder="1" applyAlignment="1" applyProtection="1">
      <alignment horizontal="center" vertical="center"/>
      <protection hidden="1"/>
    </xf>
    <xf numFmtId="0" fontId="5" fillId="0" borderId="9" xfId="1" applyFont="1" applyBorder="1" applyAlignment="1" applyProtection="1">
      <alignment vertical="center"/>
      <protection hidden="1"/>
    </xf>
    <xf numFmtId="0" fontId="8" fillId="4" borderId="17" xfId="1" applyFont="1" applyFill="1" applyBorder="1" applyAlignment="1" applyProtection="1">
      <alignment horizontal="center" vertical="center"/>
      <protection hidden="1"/>
    </xf>
    <xf numFmtId="0" fontId="10" fillId="2" borderId="9" xfId="1" applyFont="1" applyFill="1" applyBorder="1" applyAlignment="1" applyProtection="1">
      <alignment vertical="center"/>
      <protection hidden="1"/>
    </xf>
    <xf numFmtId="0" fontId="10" fillId="0" borderId="9" xfId="1" applyFont="1" applyBorder="1" applyAlignment="1" applyProtection="1">
      <alignment vertical="center"/>
      <protection hidden="1"/>
    </xf>
    <xf numFmtId="0" fontId="9" fillId="0" borderId="2" xfId="0" applyFont="1" applyBorder="1" applyAlignment="1" applyProtection="1">
      <alignment horizontal="center" vertical="center"/>
      <protection hidden="1"/>
    </xf>
    <xf numFmtId="0" fontId="10" fillId="2" borderId="2" xfId="1" applyFont="1" applyFill="1" applyBorder="1" applyAlignment="1" applyProtection="1">
      <alignment vertical="center"/>
      <protection hidden="1"/>
    </xf>
    <xf numFmtId="0" fontId="10" fillId="0" borderId="18" xfId="1" applyFont="1" applyBorder="1" applyAlignment="1" applyProtection="1">
      <alignment vertical="center"/>
      <protection hidden="1"/>
    </xf>
    <xf numFmtId="0" fontId="10" fillId="0" borderId="2" xfId="1" applyFont="1" applyFill="1" applyBorder="1" applyAlignment="1" applyProtection="1">
      <alignment vertical="center"/>
      <protection hidden="1"/>
    </xf>
    <xf numFmtId="0" fontId="10" fillId="0" borderId="2" xfId="1" applyFont="1" applyBorder="1" applyAlignment="1" applyProtection="1">
      <alignment vertical="center"/>
      <protection hidden="1"/>
    </xf>
    <xf numFmtId="0" fontId="10" fillId="0" borderId="16" xfId="1" applyFont="1" applyFill="1" applyBorder="1" applyAlignment="1" applyProtection="1">
      <alignment vertical="center"/>
      <protection hidden="1"/>
    </xf>
    <xf numFmtId="0" fontId="10" fillId="0" borderId="10" xfId="0" applyFont="1" applyFill="1" applyBorder="1" applyAlignment="1" applyProtection="1">
      <alignment horizontal="left" vertical="center"/>
      <protection hidden="1"/>
    </xf>
    <xf numFmtId="0" fontId="11" fillId="0" borderId="0" xfId="0" applyFont="1" applyProtection="1">
      <protection hidden="1"/>
    </xf>
    <xf numFmtId="0" fontId="9" fillId="5" borderId="2" xfId="0" applyFont="1" applyFill="1" applyBorder="1" applyAlignment="1" applyProtection="1">
      <alignment horizontal="center" vertical="center"/>
      <protection hidden="1"/>
    </xf>
    <xf numFmtId="9" fontId="9" fillId="0" borderId="2" xfId="2" applyFont="1" applyBorder="1" applyAlignment="1" applyProtection="1">
      <alignment horizontal="center" vertical="center"/>
      <protection hidden="1"/>
    </xf>
    <xf numFmtId="0" fontId="10" fillId="8" borderId="9" xfId="1" applyFont="1" applyFill="1" applyBorder="1" applyAlignment="1" applyProtection="1">
      <alignment vertical="center"/>
      <protection hidden="1"/>
    </xf>
    <xf numFmtId="0" fontId="10" fillId="0" borderId="9" xfId="1" applyFont="1" applyFill="1" applyBorder="1" applyAlignment="1" applyProtection="1">
      <alignment vertical="center"/>
      <protection hidden="1"/>
    </xf>
    <xf numFmtId="0" fontId="10" fillId="5" borderId="9" xfId="1" applyFont="1" applyFill="1" applyBorder="1" applyAlignment="1" applyProtection="1">
      <alignment vertical="center"/>
      <protection hidden="1"/>
    </xf>
    <xf numFmtId="11" fontId="16" fillId="0" borderId="0" xfId="0" applyNumberFormat="1" applyFont="1" applyAlignment="1" applyProtection="1">
      <alignment wrapText="1" readingOrder="1"/>
      <protection hidden="1"/>
    </xf>
    <xf numFmtId="11" fontId="16" fillId="0" borderId="9" xfId="0" applyNumberFormat="1" applyFont="1" applyBorder="1" applyAlignment="1" applyProtection="1">
      <alignment wrapText="1" readingOrder="1"/>
      <protection hidden="1"/>
    </xf>
    <xf numFmtId="11" fontId="18" fillId="0" borderId="9" xfId="0" applyNumberFormat="1" applyFont="1" applyBorder="1" applyAlignment="1" applyProtection="1">
      <alignment wrapText="1" readingOrder="1"/>
      <protection hidden="1"/>
    </xf>
    <xf numFmtId="0" fontId="19" fillId="0" borderId="0" xfId="0" applyFont="1" applyAlignment="1" applyProtection="1">
      <alignment wrapText="1" readingOrder="1"/>
      <protection hidden="1"/>
    </xf>
    <xf numFmtId="11" fontId="18" fillId="0" borderId="0" xfId="0" applyNumberFormat="1" applyFont="1" applyBorder="1" applyAlignment="1" applyProtection="1">
      <alignment wrapText="1" readingOrder="1"/>
      <protection hidden="1"/>
    </xf>
    <xf numFmtId="11" fontId="16" fillId="0" borderId="0" xfId="0" applyNumberFormat="1" applyFont="1" applyBorder="1" applyAlignment="1" applyProtection="1">
      <alignment wrapText="1" readingOrder="1"/>
      <protection hidden="1"/>
    </xf>
    <xf numFmtId="0" fontId="19" fillId="0" borderId="0" xfId="0" applyFont="1" applyBorder="1" applyAlignment="1" applyProtection="1">
      <alignment wrapText="1" readingOrder="1"/>
      <protection hidden="1"/>
    </xf>
    <xf numFmtId="11" fontId="16" fillId="0" borderId="0" xfId="0" applyNumberFormat="1" applyFont="1" applyFill="1" applyBorder="1" applyAlignment="1" applyProtection="1">
      <alignment wrapText="1" readingOrder="1"/>
      <protection hidden="1"/>
    </xf>
    <xf numFmtId="11" fontId="18" fillId="0" borderId="0" xfId="0" applyNumberFormat="1" applyFont="1" applyFill="1" applyBorder="1" applyAlignment="1" applyProtection="1">
      <alignment wrapText="1" readingOrder="1"/>
      <protection hidden="1"/>
    </xf>
    <xf numFmtId="0" fontId="10" fillId="8" borderId="2" xfId="1" applyFont="1" applyFill="1" applyBorder="1" applyAlignment="1" applyProtection="1">
      <alignment vertical="center"/>
      <protection hidden="1"/>
    </xf>
    <xf numFmtId="0" fontId="10" fillId="5" borderId="2" xfId="1" applyFont="1" applyFill="1" applyBorder="1" applyAlignment="1" applyProtection="1">
      <alignment vertical="center"/>
      <protection hidden="1"/>
    </xf>
    <xf numFmtId="0" fontId="5" fillId="4" borderId="2" xfId="0" applyFont="1" applyFill="1" applyBorder="1" applyAlignment="1" applyProtection="1">
      <alignment horizontal="center" vertical="center"/>
      <protection hidden="1"/>
    </xf>
    <xf numFmtId="0" fontId="10" fillId="2" borderId="2" xfId="0" applyFont="1" applyFill="1" applyBorder="1" applyAlignment="1" applyProtection="1">
      <alignment horizontal="left" vertical="center"/>
      <protection hidden="1"/>
    </xf>
    <xf numFmtId="0" fontId="15" fillId="6" borderId="0" xfId="0" applyFont="1" applyFill="1" applyProtection="1">
      <protection hidden="1"/>
    </xf>
    <xf numFmtId="0" fontId="10" fillId="7" borderId="2" xfId="0" applyFont="1" applyFill="1" applyBorder="1" applyAlignment="1" applyProtection="1">
      <alignment horizontal="center"/>
      <protection hidden="1"/>
    </xf>
    <xf numFmtId="0" fontId="10" fillId="5" borderId="2" xfId="0" applyFont="1" applyFill="1" applyBorder="1" applyAlignment="1" applyProtection="1">
      <alignment horizontal="left" vertical="center"/>
      <protection hidden="1"/>
    </xf>
    <xf numFmtId="0" fontId="10" fillId="0" borderId="2" xfId="0" applyFont="1" applyBorder="1" applyAlignment="1" applyProtection="1">
      <alignment horizontal="center" vertical="center"/>
      <protection hidden="1"/>
    </xf>
    <xf numFmtId="0" fontId="15" fillId="6" borderId="2" xfId="0" applyFont="1" applyFill="1" applyBorder="1" applyProtection="1">
      <protection hidden="1"/>
    </xf>
    <xf numFmtId="0" fontId="10" fillId="0" borderId="2" xfId="0" applyFont="1" applyBorder="1" applyAlignment="1" applyProtection="1">
      <alignment horizontal="left" vertical="center"/>
      <protection hidden="1"/>
    </xf>
    <xf numFmtId="0" fontId="10" fillId="0" borderId="2" xfId="0" applyFont="1" applyFill="1" applyBorder="1" applyAlignment="1" applyProtection="1">
      <alignment horizontal="left" vertical="center"/>
      <protection hidden="1"/>
    </xf>
    <xf numFmtId="0" fontId="10" fillId="4" borderId="10" xfId="0" applyFont="1" applyFill="1" applyBorder="1" applyAlignment="1" applyProtection="1">
      <alignment horizontal="left" vertical="center"/>
      <protection hidden="1"/>
    </xf>
    <xf numFmtId="0" fontId="15" fillId="0" borderId="0" xfId="0" applyFont="1" applyProtection="1">
      <protection hidden="1"/>
    </xf>
    <xf numFmtId="0" fontId="5" fillId="0" borderId="2" xfId="0" applyFont="1" applyBorder="1" applyAlignment="1" applyProtection="1">
      <alignment horizontal="left" vertical="center"/>
      <protection hidden="1"/>
    </xf>
    <xf numFmtId="0" fontId="20" fillId="0" borderId="10" xfId="0" applyFont="1" applyBorder="1" applyAlignment="1" applyProtection="1">
      <alignment horizontal="center" vertical="center"/>
      <protection hidden="1"/>
    </xf>
    <xf numFmtId="0" fontId="15" fillId="0" borderId="2" xfId="0" applyFont="1" applyBorder="1" applyProtection="1">
      <protection hidden="1"/>
    </xf>
    <xf numFmtId="0" fontId="20" fillId="0" borderId="2" xfId="0" applyFont="1" applyBorder="1" applyAlignment="1" applyProtection="1">
      <alignment horizontal="center" vertical="center"/>
      <protection hidden="1"/>
    </xf>
    <xf numFmtId="0" fontId="21" fillId="0" borderId="0" xfId="0" applyFont="1" applyAlignment="1" applyProtection="1">
      <protection hidden="1"/>
    </xf>
    <xf numFmtId="0" fontId="5" fillId="4" borderId="5" xfId="0" applyFont="1" applyFill="1" applyBorder="1" applyAlignment="1" applyProtection="1">
      <alignment horizontal="center" vertical="center"/>
      <protection hidden="1"/>
    </xf>
    <xf numFmtId="0" fontId="5" fillId="4" borderId="11" xfId="1" applyFont="1" applyFill="1" applyBorder="1" applyAlignment="1" applyProtection="1">
      <alignment horizontal="center" vertical="center"/>
      <protection hidden="1"/>
    </xf>
    <xf numFmtId="0" fontId="15" fillId="0" borderId="0" xfId="0" applyFont="1" applyAlignment="1" applyProtection="1">
      <alignment vertical="center"/>
      <protection hidden="1"/>
    </xf>
    <xf numFmtId="0" fontId="22" fillId="0" borderId="0" xfId="0" applyFont="1" applyAlignment="1" applyProtection="1">
      <alignment vertical="center"/>
      <protection hidden="1"/>
    </xf>
    <xf numFmtId="0" fontId="20" fillId="5" borderId="12" xfId="0" applyFont="1" applyFill="1" applyBorder="1" applyAlignment="1" applyProtection="1">
      <alignment horizontal="center" vertical="center"/>
      <protection hidden="1"/>
    </xf>
    <xf numFmtId="0" fontId="20" fillId="0" borderId="9" xfId="0" applyFont="1" applyBorder="1" applyAlignment="1" applyProtection="1">
      <alignment horizontal="center" vertical="center"/>
      <protection hidden="1"/>
    </xf>
    <xf numFmtId="0" fontId="20" fillId="0" borderId="13" xfId="0" applyFont="1" applyBorder="1" applyAlignment="1" applyProtection="1">
      <alignment horizontal="center" vertical="center"/>
      <protection hidden="1"/>
    </xf>
    <xf numFmtId="0" fontId="20" fillId="5" borderId="14" xfId="0" applyFont="1" applyFill="1" applyBorder="1" applyAlignment="1" applyProtection="1">
      <alignment horizontal="center" vertical="center"/>
      <protection hidden="1"/>
    </xf>
    <xf numFmtId="0" fontId="21" fillId="0" borderId="0" xfId="0" applyFont="1" applyProtection="1">
      <protection hidden="1"/>
    </xf>
    <xf numFmtId="0" fontId="5" fillId="0" borderId="2" xfId="0" applyFont="1" applyFill="1" applyBorder="1" applyAlignment="1" applyProtection="1">
      <alignment horizontal="left" vertical="center"/>
      <protection hidden="1"/>
    </xf>
    <xf numFmtId="0" fontId="20" fillId="5" borderId="15" xfId="0" applyFont="1" applyFill="1" applyBorder="1" applyAlignment="1" applyProtection="1">
      <alignment horizontal="center" vertical="center"/>
      <protection hidden="1"/>
    </xf>
    <xf numFmtId="0" fontId="5" fillId="4" borderId="16" xfId="0" applyFont="1" applyFill="1" applyBorder="1" applyAlignment="1" applyProtection="1">
      <alignment horizontal="center" vertical="center"/>
      <protection hidden="1"/>
    </xf>
    <xf numFmtId="0" fontId="5" fillId="4" borderId="2" xfId="0" applyFont="1" applyFill="1" applyBorder="1" applyAlignment="1" applyProtection="1">
      <alignment horizontal="left" vertical="center"/>
      <protection hidden="1"/>
    </xf>
    <xf numFmtId="0" fontId="15" fillId="0" borderId="0" xfId="0" applyFont="1" applyBorder="1" applyProtection="1">
      <protection hidden="1"/>
    </xf>
    <xf numFmtId="0" fontId="5" fillId="4" borderId="5" xfId="1" applyFont="1" applyFill="1" applyBorder="1" applyAlignment="1" applyProtection="1">
      <alignment horizontal="center" vertical="center"/>
      <protection hidden="1"/>
    </xf>
    <xf numFmtId="0" fontId="5" fillId="4" borderId="2" xfId="1" applyFont="1" applyFill="1" applyBorder="1" applyAlignment="1" applyProtection="1">
      <alignment horizontal="center" vertical="center"/>
      <protection hidden="1"/>
    </xf>
    <xf numFmtId="0" fontId="0" fillId="0" borderId="13" xfId="0" applyBorder="1" applyProtection="1">
      <protection hidden="1"/>
    </xf>
    <xf numFmtId="0" fontId="9" fillId="5" borderId="10" xfId="0" applyFont="1" applyFill="1" applyBorder="1" applyAlignment="1" applyProtection="1">
      <alignment horizontal="center" vertical="center"/>
      <protection hidden="1"/>
    </xf>
    <xf numFmtId="11" fontId="17" fillId="0" borderId="17" xfId="0" applyNumberFormat="1" applyFont="1" applyBorder="1" applyAlignment="1" applyProtection="1">
      <alignment readingOrder="1"/>
      <protection hidden="1"/>
    </xf>
    <xf numFmtId="0" fontId="0" fillId="0" borderId="11" xfId="0" applyBorder="1" applyProtection="1">
      <protection hidden="1"/>
    </xf>
    <xf numFmtId="0" fontId="0" fillId="11" borderId="0" xfId="0" applyFill="1" applyBorder="1" applyProtection="1">
      <protection hidden="1"/>
    </xf>
    <xf numFmtId="0" fontId="23" fillId="0" borderId="0" xfId="0" applyFont="1" applyAlignment="1" applyProtection="1">
      <alignment vertical="center"/>
      <protection hidden="1"/>
    </xf>
    <xf numFmtId="0" fontId="26" fillId="0" borderId="0" xfId="0" applyFont="1" applyProtection="1">
      <protection hidden="1"/>
    </xf>
    <xf numFmtId="0" fontId="28" fillId="0" borderId="0" xfId="0" applyFont="1"/>
    <xf numFmtId="0" fontId="27" fillId="0" borderId="0" xfId="0" applyFont="1"/>
    <xf numFmtId="0" fontId="30" fillId="0" borderId="0" xfId="0" applyFont="1"/>
    <xf numFmtId="0" fontId="30" fillId="0" borderId="0" xfId="0" applyFont="1" applyAlignment="1">
      <alignment horizontal="left" vertical="top"/>
    </xf>
    <xf numFmtId="0" fontId="30" fillId="0" borderId="17" xfId="0" applyFont="1" applyBorder="1"/>
    <xf numFmtId="0" fontId="25" fillId="5" borderId="0" xfId="0" applyFont="1" applyFill="1"/>
    <xf numFmtId="0" fontId="25" fillId="5" borderId="0" xfId="0" applyFont="1" applyFill="1" applyBorder="1"/>
    <xf numFmtId="0" fontId="25" fillId="5" borderId="0" xfId="0" applyFont="1" applyFill="1" applyBorder="1" applyAlignment="1">
      <alignment vertical="center"/>
    </xf>
    <xf numFmtId="0" fontId="29" fillId="5" borderId="0" xfId="0" applyFont="1" applyFill="1" applyBorder="1" applyAlignment="1" applyProtection="1">
      <alignment horizontal="left" vertical="center"/>
      <protection hidden="1"/>
    </xf>
    <xf numFmtId="0" fontId="29" fillId="5" borderId="0" xfId="1" applyFont="1" applyFill="1" applyBorder="1" applyAlignment="1" applyProtection="1">
      <alignment vertical="center"/>
      <protection hidden="1"/>
    </xf>
    <xf numFmtId="0" fontId="25" fillId="5" borderId="0" xfId="0" applyFont="1" applyFill="1" applyBorder="1" applyAlignment="1" applyProtection="1">
      <protection hidden="1"/>
    </xf>
    <xf numFmtId="0" fontId="25" fillId="5" borderId="0" xfId="0" applyFont="1" applyFill="1" applyBorder="1" applyAlignment="1">
      <alignment horizontal="center"/>
    </xf>
    <xf numFmtId="0" fontId="25" fillId="5" borderId="0" xfId="0" applyFont="1" applyFill="1" applyAlignment="1"/>
    <xf numFmtId="0" fontId="35" fillId="5" borderId="0" xfId="0" applyFont="1" applyFill="1" applyBorder="1"/>
    <xf numFmtId="0" fontId="25" fillId="5" borderId="0" xfId="0" applyFont="1" applyFill="1" applyBorder="1" applyProtection="1">
      <protection hidden="1"/>
    </xf>
    <xf numFmtId="0" fontId="37" fillId="0" borderId="0" xfId="0" applyFont="1" applyAlignment="1" applyProtection="1">
      <alignment vertical="center"/>
      <protection hidden="1"/>
    </xf>
    <xf numFmtId="0" fontId="10" fillId="4" borderId="17" xfId="1" applyFont="1" applyFill="1" applyBorder="1" applyAlignment="1" applyProtection="1">
      <alignment horizontal="center" vertical="center"/>
      <protection hidden="1"/>
    </xf>
    <xf numFmtId="0" fontId="8" fillId="4" borderId="2" xfId="1" applyFont="1" applyFill="1" applyBorder="1" applyAlignment="1" applyProtection="1">
      <alignment horizontal="center" vertical="center"/>
      <protection hidden="1"/>
    </xf>
    <xf numFmtId="0" fontId="30" fillId="0" borderId="17" xfId="0" applyFont="1" applyBorder="1" applyProtection="1">
      <protection locked="0" hidden="1"/>
    </xf>
    <xf numFmtId="0" fontId="30" fillId="0" borderId="0" xfId="0" applyFont="1" applyProtection="1">
      <protection locked="0" hidden="1"/>
    </xf>
    <xf numFmtId="0" fontId="30" fillId="0" borderId="0" xfId="0" applyFont="1" applyAlignment="1" applyProtection="1">
      <alignment horizontal="left" vertical="top"/>
      <protection locked="0" hidden="1"/>
    </xf>
    <xf numFmtId="0" fontId="19" fillId="0" borderId="0" xfId="0" applyFont="1" applyProtection="1">
      <protection hidden="1"/>
    </xf>
    <xf numFmtId="0" fontId="0" fillId="9" borderId="19" xfId="0"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0" xfId="0" applyAlignment="1" applyProtection="1">
      <alignment horizontal="center" vertical="center"/>
    </xf>
    <xf numFmtId="0" fontId="0" fillId="0" borderId="0" xfId="0" applyAlignment="1" applyProtection="1">
      <alignment horizontal="left" vertical="center"/>
      <protection hidden="1"/>
    </xf>
    <xf numFmtId="0" fontId="38" fillId="0" borderId="0" xfId="0" applyFont="1" applyAlignment="1" applyProtection="1">
      <alignment horizontal="left" vertical="center"/>
      <protection locked="0" hidden="1"/>
    </xf>
    <xf numFmtId="0" fontId="36" fillId="10" borderId="0" xfId="0" applyFont="1" applyFill="1" applyAlignment="1" applyProtection="1">
      <alignment horizontal="left" vertical="center"/>
      <protection hidden="1"/>
    </xf>
    <xf numFmtId="0" fontId="1" fillId="0" borderId="7" xfId="0" applyFont="1" applyBorder="1" applyAlignment="1" applyProtection="1">
      <alignment horizontal="left" vertical="center" wrapText="1"/>
      <protection hidden="1"/>
    </xf>
    <xf numFmtId="0" fontId="1" fillId="0" borderId="8" xfId="0" applyFont="1" applyFill="1" applyBorder="1" applyAlignment="1" applyProtection="1">
      <alignment horizontal="left" vertical="center" wrapText="1"/>
      <protection hidden="1"/>
    </xf>
    <xf numFmtId="0" fontId="0" fillId="0" borderId="0" xfId="0" applyAlignment="1" applyProtection="1">
      <alignment horizontal="left" vertical="center"/>
    </xf>
    <xf numFmtId="0" fontId="39" fillId="0" borderId="0" xfId="0" applyFont="1"/>
    <xf numFmtId="0" fontId="40" fillId="0" borderId="0" xfId="0" applyFont="1" applyProtection="1">
      <protection hidden="1"/>
    </xf>
    <xf numFmtId="0" fontId="12" fillId="0" borderId="0" xfId="0" applyFont="1" applyAlignment="1" applyProtection="1">
      <alignment horizontal="center" vertical="center"/>
      <protection hidden="1"/>
    </xf>
    <xf numFmtId="0" fontId="12" fillId="0" borderId="20" xfId="0" applyFont="1" applyBorder="1" applyAlignment="1" applyProtection="1">
      <alignment horizontal="center" vertical="center"/>
      <protection hidden="1"/>
    </xf>
    <xf numFmtId="0" fontId="12" fillId="0" borderId="0" xfId="0" applyFont="1" applyBorder="1" applyAlignment="1" applyProtection="1">
      <alignment horizontal="center" vertical="center"/>
      <protection hidden="1"/>
    </xf>
    <xf numFmtId="0" fontId="1" fillId="9" borderId="5" xfId="0" applyFont="1" applyFill="1" applyBorder="1" applyAlignment="1" applyProtection="1">
      <alignment horizontal="center" vertical="center"/>
      <protection hidden="1"/>
    </xf>
    <xf numFmtId="0" fontId="0" fillId="9" borderId="19" xfId="0" applyFill="1" applyBorder="1" applyAlignment="1" applyProtection="1">
      <alignment horizontal="center" vertical="center"/>
      <protection hidden="1"/>
    </xf>
    <xf numFmtId="0" fontId="2" fillId="4" borderId="17" xfId="0" applyFont="1" applyFill="1" applyBorder="1" applyAlignment="1" applyProtection="1">
      <alignment horizontal="center" vertical="center" wrapText="1"/>
      <protection hidden="1"/>
    </xf>
    <xf numFmtId="0" fontId="24" fillId="4" borderId="17" xfId="1" applyFont="1" applyFill="1" applyBorder="1" applyAlignment="1" applyProtection="1">
      <alignment horizontal="center" vertical="center"/>
      <protection hidden="1"/>
    </xf>
    <xf numFmtId="0" fontId="22" fillId="0" borderId="0" xfId="0" applyFont="1" applyAlignment="1" applyProtection="1">
      <alignment horizontal="center" vertical="center"/>
      <protection hidden="1"/>
    </xf>
    <xf numFmtId="0" fontId="24" fillId="4" borderId="17" xfId="1" applyFont="1" applyFill="1" applyBorder="1" applyAlignment="1" applyProtection="1">
      <alignment horizontal="left" vertical="center"/>
      <protection hidden="1"/>
    </xf>
    <xf numFmtId="0" fontId="20" fillId="4" borderId="0" xfId="1" applyFont="1" applyFill="1" applyBorder="1" applyAlignment="1" applyProtection="1">
      <alignment horizontal="left" vertical="center"/>
      <protection hidden="1"/>
    </xf>
    <xf numFmtId="0" fontId="20" fillId="4" borderId="21" xfId="1" applyFont="1" applyFill="1" applyBorder="1" applyAlignment="1" applyProtection="1">
      <alignment horizontal="left" vertical="center"/>
      <protection hidden="1"/>
    </xf>
    <xf numFmtId="0" fontId="25" fillId="0" borderId="9" xfId="0" applyFont="1" applyBorder="1" applyAlignment="1" applyProtection="1">
      <alignment horizontal="center" vertical="center"/>
      <protection hidden="1"/>
    </xf>
    <xf numFmtId="0" fontId="25" fillId="0" borderId="22" xfId="0" applyFont="1" applyBorder="1" applyAlignment="1" applyProtection="1">
      <alignment horizontal="center" vertical="center"/>
      <protection hidden="1"/>
    </xf>
    <xf numFmtId="0" fontId="25" fillId="0" borderId="13" xfId="0" applyFont="1" applyBorder="1" applyAlignment="1" applyProtection="1">
      <alignment horizontal="center" vertical="center"/>
      <protection hidden="1"/>
    </xf>
    <xf numFmtId="0" fontId="25" fillId="0" borderId="9" xfId="0" applyFont="1" applyBorder="1" applyAlignment="1" applyProtection="1">
      <alignment horizontal="left" vertical="center" wrapText="1"/>
      <protection hidden="1"/>
    </xf>
    <xf numFmtId="0" fontId="25" fillId="0" borderId="22" xfId="0" applyFont="1" applyBorder="1" applyAlignment="1" applyProtection="1">
      <alignment horizontal="left" vertical="center" wrapText="1"/>
      <protection hidden="1"/>
    </xf>
    <xf numFmtId="0" fontId="25" fillId="0" borderId="13" xfId="0" applyFont="1" applyBorder="1" applyAlignment="1" applyProtection="1">
      <alignment horizontal="left" vertical="center" wrapText="1"/>
      <protection hidden="1"/>
    </xf>
    <xf numFmtId="0" fontId="25" fillId="0" borderId="9" xfId="0" applyFont="1" applyBorder="1" applyAlignment="1" applyProtection="1">
      <alignment horizontal="center" vertical="center" wrapText="1" readingOrder="2"/>
      <protection hidden="1"/>
    </xf>
    <xf numFmtId="0" fontId="25" fillId="0" borderId="22" xfId="0" applyFont="1" applyBorder="1" applyAlignment="1" applyProtection="1">
      <alignment horizontal="center" vertical="center" wrapText="1" readingOrder="2"/>
      <protection hidden="1"/>
    </xf>
    <xf numFmtId="0" fontId="25" fillId="0" borderId="13" xfId="0" applyFont="1" applyBorder="1" applyAlignment="1" applyProtection="1">
      <alignment horizontal="center" vertical="center" wrapText="1" readingOrder="2"/>
      <protection hidden="1"/>
    </xf>
    <xf numFmtId="0" fontId="10" fillId="4" borderId="17" xfId="1" applyFont="1" applyFill="1" applyBorder="1" applyAlignment="1" applyProtection="1">
      <alignment horizontal="center" vertical="center"/>
      <protection hidden="1"/>
    </xf>
    <xf numFmtId="0" fontId="8" fillId="4" borderId="2" xfId="1" applyFont="1" applyFill="1" applyBorder="1" applyAlignment="1" applyProtection="1">
      <alignment horizontal="center" vertical="center"/>
      <protection hidden="1"/>
    </xf>
    <xf numFmtId="0" fontId="8" fillId="11" borderId="0" xfId="1" applyFont="1" applyFill="1" applyBorder="1" applyAlignment="1" applyProtection="1">
      <alignment horizontal="center" vertical="center"/>
      <protection hidden="1"/>
    </xf>
    <xf numFmtId="0" fontId="25" fillId="0" borderId="9" xfId="0" applyFont="1" applyBorder="1" applyAlignment="1" applyProtection="1">
      <alignment horizontal="left" vertical="top" wrapText="1"/>
      <protection hidden="1"/>
    </xf>
    <xf numFmtId="0" fontId="25" fillId="0" borderId="22" xfId="0" applyFont="1" applyBorder="1" applyAlignment="1" applyProtection="1">
      <alignment horizontal="left" vertical="top" wrapText="1"/>
      <protection hidden="1"/>
    </xf>
    <xf numFmtId="0" fontId="25" fillId="0" borderId="13" xfId="0" applyFont="1" applyBorder="1" applyAlignment="1" applyProtection="1">
      <alignment horizontal="left" vertical="top" wrapText="1"/>
      <protection hidden="1"/>
    </xf>
    <xf numFmtId="0" fontId="25" fillId="0" borderId="9" xfId="0" applyFont="1" applyBorder="1" applyAlignment="1" applyProtection="1">
      <alignment horizontal="center" vertical="top" wrapText="1"/>
      <protection hidden="1"/>
    </xf>
    <xf numFmtId="0" fontId="25" fillId="0" borderId="22" xfId="0" applyFont="1" applyBorder="1" applyAlignment="1" applyProtection="1">
      <alignment horizontal="center" vertical="top" wrapText="1"/>
      <protection hidden="1"/>
    </xf>
    <xf numFmtId="0" fontId="25" fillId="0" borderId="13" xfId="0" applyFont="1" applyBorder="1" applyAlignment="1" applyProtection="1">
      <alignment horizontal="center" vertical="top" wrapText="1"/>
      <protection hidden="1"/>
    </xf>
    <xf numFmtId="0" fontId="8" fillId="4" borderId="17" xfId="1" applyFont="1" applyFill="1" applyBorder="1" applyAlignment="1" applyProtection="1">
      <alignment horizontal="center" vertical="center"/>
      <protection hidden="1"/>
    </xf>
    <xf numFmtId="0" fontId="32" fillId="0" borderId="23" xfId="0" applyFont="1" applyBorder="1" applyAlignment="1" applyProtection="1">
      <alignment horizontal="left" vertical="top" wrapText="1" readingOrder="1"/>
      <protection locked="0" hidden="1"/>
    </xf>
    <xf numFmtId="0" fontId="32" fillId="0" borderId="24" xfId="0" applyFont="1" applyBorder="1" applyAlignment="1" applyProtection="1">
      <alignment horizontal="left" vertical="top" wrapText="1" readingOrder="1"/>
      <protection locked="0" hidden="1"/>
    </xf>
    <xf numFmtId="0" fontId="32" fillId="0" borderId="25" xfId="0" applyFont="1" applyBorder="1" applyAlignment="1" applyProtection="1">
      <alignment horizontal="left" vertical="top" wrapText="1" readingOrder="1"/>
      <protection locked="0" hidden="1"/>
    </xf>
    <xf numFmtId="0" fontId="34" fillId="0" borderId="23" xfId="0" applyFont="1" applyBorder="1" applyAlignment="1" applyProtection="1">
      <alignment horizontal="left" vertical="center" wrapText="1" readingOrder="1"/>
      <protection locked="0" hidden="1"/>
    </xf>
    <xf numFmtId="0" fontId="34" fillId="0" borderId="24" xfId="0" applyFont="1" applyBorder="1" applyAlignment="1" applyProtection="1">
      <alignment horizontal="left" vertical="center" wrapText="1" readingOrder="1"/>
      <protection locked="0" hidden="1"/>
    </xf>
    <xf numFmtId="0" fontId="34" fillId="0" borderId="25" xfId="0" applyFont="1" applyBorder="1" applyAlignment="1" applyProtection="1">
      <alignment horizontal="left" vertical="center" wrapText="1" readingOrder="1"/>
      <protection locked="0" hidden="1"/>
    </xf>
    <xf numFmtId="0" fontId="33" fillId="0" borderId="0" xfId="0" applyFont="1" applyAlignment="1">
      <alignment horizontal="center"/>
    </xf>
    <xf numFmtId="0" fontId="30" fillId="0" borderId="0" xfId="0" applyFont="1" applyAlignment="1" applyProtection="1">
      <alignment vertical="top" wrapText="1"/>
      <protection locked="0" hidden="1"/>
    </xf>
    <xf numFmtId="0" fontId="34" fillId="0" borderId="0" xfId="0" applyFont="1" applyAlignment="1" applyProtection="1">
      <alignment horizontal="left"/>
      <protection locked="0" hidden="1"/>
    </xf>
    <xf numFmtId="0" fontId="29" fillId="5" borderId="0" xfId="1" applyFont="1" applyFill="1" applyBorder="1" applyAlignment="1" applyProtection="1">
      <alignment horizontal="left" vertical="center"/>
      <protection hidden="1"/>
    </xf>
    <xf numFmtId="0" fontId="29" fillId="5" borderId="0" xfId="1" applyFont="1" applyFill="1" applyBorder="1" applyAlignment="1" applyProtection="1">
      <alignment horizontal="center" vertical="center"/>
      <protection hidden="1"/>
    </xf>
    <xf numFmtId="0" fontId="30" fillId="0" borderId="0" xfId="0" applyFont="1" applyAlignment="1"/>
    <xf numFmtId="0" fontId="30" fillId="0" borderId="0" xfId="0" applyFont="1" applyAlignment="1">
      <alignment horizontal="left" vertical="top" wrapText="1"/>
    </xf>
    <xf numFmtId="0" fontId="30" fillId="0" borderId="0" xfId="0" applyFont="1" applyAlignment="1">
      <alignment wrapText="1"/>
    </xf>
    <xf numFmtId="0" fontId="34" fillId="0" borderId="0" xfId="0" applyFont="1" applyAlignment="1">
      <alignment horizontal="left"/>
    </xf>
    <xf numFmtId="0" fontId="32" fillId="0" borderId="23" xfId="0" applyFont="1" applyBorder="1" applyAlignment="1">
      <alignment horizontal="left" vertical="top" wrapText="1" readingOrder="1"/>
    </xf>
    <xf numFmtId="0" fontId="32" fillId="0" borderId="24" xfId="0" applyFont="1" applyBorder="1" applyAlignment="1">
      <alignment horizontal="left" vertical="top" wrapText="1" readingOrder="1"/>
    </xf>
    <xf numFmtId="0" fontId="32" fillId="0" borderId="25" xfId="0" applyFont="1" applyBorder="1" applyAlignment="1">
      <alignment horizontal="left" vertical="top" wrapText="1" readingOrder="1"/>
    </xf>
    <xf numFmtId="0" fontId="31" fillId="0" borderId="23" xfId="0" applyFont="1" applyBorder="1" applyAlignment="1">
      <alignment horizontal="left" vertical="top" wrapText="1" readingOrder="1"/>
    </xf>
    <xf numFmtId="0" fontId="31" fillId="0" borderId="24" xfId="0" applyFont="1" applyBorder="1" applyAlignment="1">
      <alignment horizontal="left" vertical="top" wrapText="1" readingOrder="1"/>
    </xf>
    <xf numFmtId="0" fontId="31" fillId="0" borderId="25" xfId="0" applyFont="1" applyBorder="1" applyAlignment="1">
      <alignment horizontal="left" vertical="top" wrapText="1" readingOrder="1"/>
    </xf>
    <xf numFmtId="0" fontId="0" fillId="0" borderId="0" xfId="0" applyAlignment="1">
      <alignment horizontal="center" vertical="center"/>
    </xf>
    <xf numFmtId="0" fontId="7" fillId="0" borderId="0" xfId="0" applyFont="1" applyBorder="1" applyAlignment="1">
      <alignment horizontal="center"/>
    </xf>
    <xf numFmtId="0" fontId="7" fillId="0" borderId="0" xfId="0" applyFont="1" applyAlignment="1">
      <alignment horizontal="center"/>
    </xf>
    <xf numFmtId="0" fontId="7" fillId="0" borderId="21" xfId="0" applyFont="1" applyBorder="1" applyAlignment="1">
      <alignment horizontal="center"/>
    </xf>
    <xf numFmtId="0" fontId="7" fillId="0" borderId="1" xfId="0" applyFont="1" applyBorder="1" applyAlignment="1">
      <alignment horizontal="center"/>
    </xf>
    <xf numFmtId="0" fontId="0" fillId="0" borderId="0" xfId="0" applyAlignment="1">
      <alignment horizontal="center" wrapText="1"/>
    </xf>
    <xf numFmtId="0" fontId="13" fillId="0" borderId="2" xfId="0" applyFont="1" applyBorder="1" applyAlignment="1">
      <alignment horizontal="center"/>
    </xf>
  </cellXfs>
  <cellStyles count="3">
    <cellStyle name="Normal" xfId="0" builtinId="0"/>
    <cellStyle name="Normal 2" xfId="1"/>
    <cellStyle name="Porcentaje" xfId="2" builtinId="5"/>
  </cellStyles>
  <dxfs count="8">
    <dxf>
      <fill>
        <patternFill>
          <bgColor theme="0" tint="-0.499984740745262"/>
        </patternFill>
      </fill>
    </dxf>
    <dxf>
      <fill>
        <patternFill>
          <bgColor theme="0" tint="-0.14996795556505021"/>
        </patternFill>
      </fill>
    </dxf>
    <dxf>
      <font>
        <color theme="0"/>
      </font>
      <fill>
        <patternFill>
          <bgColor theme="1" tint="0.14996795556505021"/>
        </patternFill>
      </fill>
    </dxf>
    <dxf>
      <font>
        <color theme="1"/>
      </font>
      <fill>
        <patternFill>
          <bgColor theme="0" tint="-4.9989318521683403E-2"/>
        </patternFill>
      </fill>
    </dxf>
    <dxf>
      <fill>
        <patternFill>
          <bgColor theme="0" tint="-0.499984740745262"/>
        </patternFill>
      </fill>
    </dxf>
    <dxf>
      <fill>
        <patternFill>
          <bgColor theme="0" tint="-0.14996795556505021"/>
        </patternFill>
      </fill>
    </dxf>
    <dxf>
      <font>
        <color theme="0"/>
      </font>
      <fill>
        <patternFill>
          <bgColor theme="1" tint="0.14996795556505021"/>
        </patternFill>
      </fill>
    </dxf>
    <dxf>
      <font>
        <color theme="1"/>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s-PE" b="1">
                <a:solidFill>
                  <a:schemeClr val="tx1"/>
                </a:solidFill>
              </a:rPr>
              <a:t>Patrones de Personalidad </a:t>
            </a:r>
          </a:p>
        </c:rich>
      </c:tx>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s-PE"/>
        </a:p>
      </c:txPr>
    </c:title>
    <c:autoTitleDeleted val="0"/>
    <c:plotArea>
      <c:layout/>
      <c:lineChart>
        <c:grouping val="standard"/>
        <c:varyColors val="1"/>
        <c:ser>
          <c:idx val="0"/>
          <c:order val="0"/>
          <c:spPr>
            <a:ln cap="sq">
              <a:prstDash val="solid"/>
              <a:bevel/>
              <a:tailEnd w="med" len="sm"/>
            </a:ln>
          </c:spPr>
          <c:marker>
            <c:symbol val="circle"/>
            <c:size val="5"/>
            <c:spPr>
              <a:solidFill>
                <a:schemeClr val="tx1"/>
              </a:solidFill>
            </c:spPr>
          </c:marker>
          <c:dPt>
            <c:idx val="0"/>
            <c:marker>
              <c:symbol val="circle"/>
              <c:size val="5"/>
              <c:spPr>
                <a:solidFill>
                  <a:schemeClr val="tx1"/>
                </a:solidFill>
                <a:ln w="9525" cap="flat" cmpd="sng" algn="ctr">
                  <a:solidFill>
                    <a:schemeClr val="accent1"/>
                  </a:solidFill>
                  <a:round/>
                </a:ln>
                <a:effectLst>
                  <a:outerShdw blurRad="50800" dist="50800" dir="5400000" algn="ctr" rotWithShape="0">
                    <a:schemeClr val="tx1"/>
                  </a:outerShdw>
                </a:effectLst>
              </c:spPr>
            </c:marker>
            <c:bubble3D val="0"/>
            <c:spPr>
              <a:ln w="22225" cap="sq" cmpd="sng" algn="ctr">
                <a:solidFill>
                  <a:schemeClr val="tx1"/>
                </a:solidFill>
                <a:prstDash val="solid"/>
                <a:bevel/>
                <a:tailEnd w="med" len="sm"/>
              </a:ln>
              <a:effectLst>
                <a:outerShdw blurRad="50800" dist="50800" dir="5400000" algn="ctr" rotWithShape="0">
                  <a:schemeClr val="tx1"/>
                </a:outerShdw>
              </a:effectLst>
            </c:spPr>
          </c:dPt>
          <c:dPt>
            <c:idx val="1"/>
            <c:marker>
              <c:symbol val="circle"/>
              <c:size val="5"/>
              <c:spPr>
                <a:solidFill>
                  <a:schemeClr val="tx1"/>
                </a:solidFill>
                <a:ln w="9525" cap="flat" cmpd="sng" algn="ctr">
                  <a:solidFill>
                    <a:schemeClr val="accent2"/>
                  </a:solidFill>
                  <a:round/>
                </a:ln>
                <a:effectLst/>
              </c:spPr>
            </c:marker>
            <c:bubble3D val="0"/>
            <c:spPr>
              <a:ln w="22225" cap="sq" cmpd="sng" algn="ctr">
                <a:solidFill>
                  <a:schemeClr val="accent2"/>
                </a:solidFill>
                <a:prstDash val="solid"/>
                <a:bevel/>
                <a:tailEnd w="med" len="sm"/>
              </a:ln>
              <a:effectLst/>
            </c:spPr>
          </c:dPt>
          <c:dPt>
            <c:idx val="2"/>
            <c:marker>
              <c:symbol val="circle"/>
              <c:size val="5"/>
              <c:spPr>
                <a:solidFill>
                  <a:schemeClr val="tx1"/>
                </a:solidFill>
                <a:ln w="9525" cap="flat" cmpd="sng" algn="ctr">
                  <a:solidFill>
                    <a:schemeClr val="accent3"/>
                  </a:solidFill>
                  <a:round/>
                </a:ln>
                <a:effectLst/>
              </c:spPr>
            </c:marker>
            <c:bubble3D val="0"/>
            <c:spPr>
              <a:ln w="22225" cap="sq" cmpd="sng" algn="ctr">
                <a:solidFill>
                  <a:schemeClr val="accent3"/>
                </a:solidFill>
                <a:prstDash val="solid"/>
                <a:bevel/>
                <a:tailEnd w="med" len="sm"/>
              </a:ln>
              <a:effectLst/>
            </c:spPr>
          </c:dPt>
          <c:dPt>
            <c:idx val="3"/>
            <c:marker>
              <c:symbol val="circle"/>
              <c:size val="5"/>
              <c:spPr>
                <a:solidFill>
                  <a:schemeClr val="tx1"/>
                </a:solidFill>
                <a:ln w="9525" cap="flat" cmpd="sng" algn="ctr">
                  <a:solidFill>
                    <a:schemeClr val="accent4"/>
                  </a:solidFill>
                  <a:round/>
                </a:ln>
                <a:effectLst/>
              </c:spPr>
            </c:marker>
            <c:bubble3D val="0"/>
            <c:spPr>
              <a:ln w="22225" cap="sq" cmpd="sng" algn="ctr">
                <a:solidFill>
                  <a:schemeClr val="accent4"/>
                </a:solidFill>
                <a:prstDash val="solid"/>
                <a:bevel/>
                <a:tailEnd w="med" len="sm"/>
              </a:ln>
              <a:effectLst/>
            </c:spPr>
          </c:dPt>
          <c:dPt>
            <c:idx val="4"/>
            <c:marker>
              <c:symbol val="circle"/>
              <c:size val="5"/>
              <c:spPr>
                <a:solidFill>
                  <a:schemeClr val="tx1"/>
                </a:solidFill>
                <a:ln w="9525" cap="flat" cmpd="sng" algn="ctr">
                  <a:solidFill>
                    <a:schemeClr val="accent5"/>
                  </a:solidFill>
                  <a:round/>
                </a:ln>
                <a:effectLst/>
              </c:spPr>
            </c:marker>
            <c:bubble3D val="0"/>
            <c:spPr>
              <a:ln w="22225" cap="sq" cmpd="sng" algn="ctr">
                <a:solidFill>
                  <a:schemeClr val="accent5"/>
                </a:solidFill>
                <a:prstDash val="solid"/>
                <a:bevel/>
                <a:tailEnd w="med" len="sm"/>
              </a:ln>
              <a:effectLst/>
            </c:spPr>
          </c:dPt>
          <c:dPt>
            <c:idx val="5"/>
            <c:marker>
              <c:symbol val="circle"/>
              <c:size val="5"/>
              <c:spPr>
                <a:solidFill>
                  <a:schemeClr val="tx1"/>
                </a:solidFill>
                <a:ln w="9525" cap="flat" cmpd="sng" algn="ctr">
                  <a:solidFill>
                    <a:schemeClr val="accent6"/>
                  </a:solidFill>
                  <a:round/>
                </a:ln>
                <a:effectLst/>
              </c:spPr>
            </c:marker>
            <c:bubble3D val="0"/>
            <c:spPr>
              <a:ln w="22225" cap="sq" cmpd="sng" algn="ctr">
                <a:solidFill>
                  <a:schemeClr val="accent6"/>
                </a:solidFill>
                <a:prstDash val="solid"/>
                <a:bevel/>
                <a:tailEnd w="med" len="sm"/>
              </a:ln>
              <a:effectLst/>
            </c:spPr>
          </c:dPt>
          <c:dPt>
            <c:idx val="6"/>
            <c:marker>
              <c:symbol val="circle"/>
              <c:size val="5"/>
              <c:spPr>
                <a:solidFill>
                  <a:schemeClr val="tx1"/>
                </a:solidFill>
                <a:ln w="9525" cap="flat" cmpd="sng" algn="ctr">
                  <a:solidFill>
                    <a:schemeClr val="accent1">
                      <a:lumMod val="60000"/>
                    </a:schemeClr>
                  </a:solidFill>
                  <a:round/>
                </a:ln>
                <a:effectLst/>
              </c:spPr>
            </c:marker>
            <c:bubble3D val="0"/>
            <c:spPr>
              <a:ln w="22225" cap="sq" cmpd="sng" algn="ctr">
                <a:solidFill>
                  <a:schemeClr val="accent1">
                    <a:lumMod val="60000"/>
                  </a:schemeClr>
                </a:solidFill>
                <a:prstDash val="solid"/>
                <a:bevel/>
                <a:tailEnd w="med" len="sm"/>
              </a:ln>
              <a:effectLst/>
            </c:spPr>
          </c:dPt>
          <c:dPt>
            <c:idx val="7"/>
            <c:marker>
              <c:symbol val="circle"/>
              <c:size val="5"/>
              <c:spPr>
                <a:solidFill>
                  <a:schemeClr val="tx1"/>
                </a:solidFill>
                <a:ln w="9525" cap="flat" cmpd="sng" algn="ctr">
                  <a:solidFill>
                    <a:schemeClr val="accent2">
                      <a:lumMod val="60000"/>
                    </a:schemeClr>
                  </a:solidFill>
                  <a:round/>
                </a:ln>
                <a:effectLst/>
              </c:spPr>
            </c:marker>
            <c:bubble3D val="0"/>
            <c:spPr>
              <a:ln w="22225" cap="sq" cmpd="sng" algn="ctr">
                <a:solidFill>
                  <a:schemeClr val="accent2">
                    <a:lumMod val="60000"/>
                  </a:schemeClr>
                </a:solidFill>
                <a:prstDash val="solid"/>
                <a:bevel/>
                <a:tailEnd w="med" len="sm"/>
              </a:ln>
              <a:effectLst/>
            </c:spPr>
          </c:dPt>
          <c:dPt>
            <c:idx val="8"/>
            <c:marker>
              <c:symbol val="circle"/>
              <c:size val="5"/>
              <c:spPr>
                <a:solidFill>
                  <a:schemeClr val="tx1"/>
                </a:solidFill>
                <a:ln w="9525" cap="flat" cmpd="sng" algn="ctr">
                  <a:solidFill>
                    <a:schemeClr val="accent3">
                      <a:lumMod val="60000"/>
                    </a:schemeClr>
                  </a:solidFill>
                  <a:round/>
                </a:ln>
                <a:effectLst/>
              </c:spPr>
            </c:marker>
            <c:bubble3D val="0"/>
            <c:spPr>
              <a:ln w="22225" cap="sq" cmpd="sng" algn="ctr">
                <a:solidFill>
                  <a:schemeClr val="accent3">
                    <a:lumMod val="60000"/>
                  </a:schemeClr>
                </a:solidFill>
                <a:prstDash val="solid"/>
                <a:bevel/>
                <a:tailEnd w="med" len="sm"/>
              </a:ln>
              <a:effectLst/>
            </c:spPr>
          </c:dPt>
          <c:dPt>
            <c:idx val="9"/>
            <c:marker>
              <c:symbol val="circle"/>
              <c:size val="5"/>
              <c:spPr>
                <a:solidFill>
                  <a:schemeClr val="tx1"/>
                </a:solidFill>
                <a:ln w="9525" cap="flat" cmpd="sng" algn="ctr">
                  <a:solidFill>
                    <a:schemeClr val="accent4">
                      <a:lumMod val="60000"/>
                    </a:schemeClr>
                  </a:solidFill>
                  <a:round/>
                </a:ln>
                <a:effectLst/>
              </c:spPr>
            </c:marker>
            <c:bubble3D val="0"/>
            <c:spPr>
              <a:ln w="22225" cap="sq" cmpd="sng" algn="ctr">
                <a:solidFill>
                  <a:schemeClr val="accent4">
                    <a:lumMod val="60000"/>
                  </a:schemeClr>
                </a:solidFill>
                <a:prstDash val="solid"/>
                <a:bevel/>
                <a:tailEnd w="med" len="sm"/>
              </a:ln>
              <a:effectLst/>
            </c:spPr>
          </c:dPt>
          <c:dPt>
            <c:idx val="10"/>
            <c:marker>
              <c:symbol val="circle"/>
              <c:size val="5"/>
              <c:spPr>
                <a:solidFill>
                  <a:schemeClr val="tx1"/>
                </a:solidFill>
                <a:ln w="9525" cap="flat" cmpd="sng" algn="ctr">
                  <a:solidFill>
                    <a:schemeClr val="accent5">
                      <a:lumMod val="60000"/>
                    </a:schemeClr>
                  </a:solidFill>
                  <a:round/>
                </a:ln>
                <a:effectLst/>
              </c:spPr>
            </c:marker>
            <c:bubble3D val="0"/>
            <c:spPr>
              <a:ln w="22225" cap="sq" cmpd="sng" algn="ctr">
                <a:solidFill>
                  <a:schemeClr val="accent5">
                    <a:lumMod val="60000"/>
                  </a:schemeClr>
                </a:solidFill>
                <a:prstDash val="solid"/>
                <a:bevel/>
                <a:tailEnd w="med" len="sm"/>
              </a:ln>
              <a:effectLst/>
            </c:spPr>
          </c:dPt>
          <c:dPt>
            <c:idx val="11"/>
            <c:marker>
              <c:symbol val="circle"/>
              <c:size val="5"/>
              <c:spPr>
                <a:solidFill>
                  <a:schemeClr val="tx1"/>
                </a:solidFill>
                <a:ln w="9525" cap="flat" cmpd="sng" algn="ctr">
                  <a:solidFill>
                    <a:schemeClr val="accent6">
                      <a:lumMod val="60000"/>
                    </a:schemeClr>
                  </a:solidFill>
                  <a:round/>
                </a:ln>
                <a:effectLst/>
              </c:spPr>
            </c:marker>
            <c:bubble3D val="0"/>
            <c:spPr>
              <a:ln w="22225" cap="sq" cmpd="sng" algn="ctr">
                <a:solidFill>
                  <a:schemeClr val="accent6">
                    <a:lumMod val="60000"/>
                  </a:schemeClr>
                </a:solidFill>
                <a:prstDash val="solid"/>
                <a:bevel/>
                <a:tailEnd w="med" len="sm"/>
              </a:ln>
              <a:effectLst/>
            </c:spPr>
          </c:dPt>
          <c:dLbls>
            <c:spPr>
              <a:noFill/>
              <a:ln>
                <a:noFill/>
              </a:ln>
              <a:effectLst>
                <a:softEdge rad="127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'RESULTADOS '!$C$17:$C$28</c:f>
              <c:strCache>
                <c:ptCount val="12"/>
                <c:pt idx="0">
                  <c:v>Esquizoide  </c:v>
                </c:pt>
                <c:pt idx="1">
                  <c:v>Evitativo</c:v>
                </c:pt>
                <c:pt idx="2">
                  <c:v>Melancólico </c:v>
                </c:pt>
                <c:pt idx="3">
                  <c:v>Dependiente</c:v>
                </c:pt>
                <c:pt idx="4">
                  <c:v>Histriónico</c:v>
                </c:pt>
                <c:pt idx="5">
                  <c:v>Tempestuoso</c:v>
                </c:pt>
                <c:pt idx="6">
                  <c:v>Narcisista</c:v>
                </c:pt>
                <c:pt idx="7">
                  <c:v>Antisocial</c:v>
                </c:pt>
                <c:pt idx="8">
                  <c:v>Sádico </c:v>
                </c:pt>
                <c:pt idx="9">
                  <c:v>Compulsivo</c:v>
                </c:pt>
                <c:pt idx="10">
                  <c:v>Negativista</c:v>
                </c:pt>
                <c:pt idx="11">
                  <c:v>Masoquista</c:v>
                </c:pt>
              </c:strCache>
            </c:strRef>
          </c:cat>
          <c:val>
            <c:numRef>
              <c:f>'RESULTADOS '!$D$17:$D$28</c:f>
              <c:numCache>
                <c:formatCode>General</c:formatCode>
                <c:ptCount val="12"/>
                <c:pt idx="0">
                  <c:v>40</c:v>
                </c:pt>
                <c:pt idx="1">
                  <c:v>6</c:v>
                </c:pt>
                <c:pt idx="2">
                  <c:v>30</c:v>
                </c:pt>
                <c:pt idx="3">
                  <c:v>36</c:v>
                </c:pt>
                <c:pt idx="4">
                  <c:v>75</c:v>
                </c:pt>
                <c:pt idx="5">
                  <c:v>80</c:v>
                </c:pt>
                <c:pt idx="6">
                  <c:v>62</c:v>
                </c:pt>
                <c:pt idx="7">
                  <c:v>20</c:v>
                </c:pt>
                <c:pt idx="8">
                  <c:v>10</c:v>
                </c:pt>
                <c:pt idx="9">
                  <c:v>49</c:v>
                </c:pt>
                <c:pt idx="10">
                  <c:v>60</c:v>
                </c:pt>
                <c:pt idx="11">
                  <c:v>38</c:v>
                </c:pt>
              </c:numCache>
            </c:numRef>
          </c:val>
          <c:smooth val="1"/>
        </c:ser>
        <c:dLbls>
          <c:dLblPos val="ctr"/>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97295920"/>
        <c:axId val="389736152"/>
      </c:lineChart>
      <c:catAx>
        <c:axId val="972959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s-PE"/>
          </a:p>
        </c:txPr>
        <c:crossAx val="389736152"/>
        <c:crosses val="autoZero"/>
        <c:auto val="1"/>
        <c:lblAlgn val="ctr"/>
        <c:lblOffset val="100"/>
        <c:noMultiLvlLbl val="0"/>
      </c:catAx>
      <c:valAx>
        <c:axId val="389736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PE"/>
          </a:p>
        </c:txPr>
        <c:crossAx val="9729592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ysClr val="windowText" lastClr="000000"/>
                </a:solidFill>
                <a:latin typeface="+mj-lt"/>
                <a:ea typeface="+mj-ea"/>
                <a:cs typeface="+mj-cs"/>
              </a:defRPr>
            </a:pPr>
            <a:r>
              <a:rPr lang="es-PE">
                <a:solidFill>
                  <a:sysClr val="windowText" lastClr="000000"/>
                </a:solidFill>
              </a:rPr>
              <a:t>Patologías Graves Personalidad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ysClr val="windowText" lastClr="000000"/>
              </a:solidFill>
              <a:latin typeface="+mj-lt"/>
              <a:ea typeface="+mj-ea"/>
              <a:cs typeface="+mj-cs"/>
            </a:defRPr>
          </a:pPr>
          <a:endParaRPr lang="es-PE"/>
        </a:p>
      </c:txPr>
    </c:title>
    <c:autoTitleDeleted val="0"/>
    <c:plotArea>
      <c:layout/>
      <c:lineChart>
        <c:grouping val="standard"/>
        <c:varyColors val="1"/>
        <c:ser>
          <c:idx val="0"/>
          <c:order val="0"/>
          <c:marker>
            <c:symbol val="circle"/>
            <c:size val="5"/>
            <c:spPr>
              <a:solidFill>
                <a:schemeClr val="tx1"/>
              </a:solidFill>
            </c:spPr>
          </c:marker>
          <c:dPt>
            <c:idx val="0"/>
            <c:marker>
              <c:symbol val="circle"/>
              <c:size val="5"/>
              <c:spPr>
                <a:solidFill>
                  <a:schemeClr val="tx1"/>
                </a:solidFill>
                <a:ln>
                  <a:noFill/>
                </a:ln>
                <a:effectLst/>
              </c:spPr>
            </c:marker>
            <c:bubble3D val="0"/>
            <c:spPr>
              <a:ln w="38100" cap="rnd">
                <a:solidFill>
                  <a:schemeClr val="accent1"/>
                </a:solidFill>
                <a:round/>
              </a:ln>
              <a:effectLst/>
            </c:spPr>
          </c:dPt>
          <c:dPt>
            <c:idx val="1"/>
            <c:marker>
              <c:symbol val="circle"/>
              <c:size val="5"/>
              <c:spPr>
                <a:solidFill>
                  <a:schemeClr val="tx1"/>
                </a:solidFill>
                <a:ln>
                  <a:noFill/>
                </a:ln>
                <a:effectLst/>
              </c:spPr>
            </c:marker>
            <c:bubble3D val="0"/>
            <c:spPr>
              <a:ln w="38100" cap="rnd">
                <a:solidFill>
                  <a:schemeClr val="accent2"/>
                </a:solidFill>
                <a:round/>
              </a:ln>
              <a:effectLst/>
            </c:spPr>
          </c:dPt>
          <c:dPt>
            <c:idx val="2"/>
            <c:marker>
              <c:symbol val="circle"/>
              <c:size val="5"/>
              <c:spPr>
                <a:solidFill>
                  <a:schemeClr val="tx1"/>
                </a:solidFill>
                <a:ln>
                  <a:noFill/>
                </a:ln>
                <a:effectLst/>
              </c:spPr>
            </c:marker>
            <c:bubble3D val="0"/>
            <c:spPr>
              <a:ln w="38100" cap="rnd">
                <a:solidFill>
                  <a:schemeClr val="accent3"/>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'RESULTADOS '!$C$30:$C$32</c:f>
              <c:strCache>
                <c:ptCount val="3"/>
                <c:pt idx="0">
                  <c:v>Esquizotípico </c:v>
                </c:pt>
                <c:pt idx="1">
                  <c:v>Límite    </c:v>
                </c:pt>
                <c:pt idx="2">
                  <c:v>Paranoide</c:v>
                </c:pt>
              </c:strCache>
            </c:strRef>
          </c:cat>
          <c:val>
            <c:numRef>
              <c:f>'RESULTADOS '!$D$30:$D$32</c:f>
              <c:numCache>
                <c:formatCode>General</c:formatCode>
                <c:ptCount val="3"/>
                <c:pt idx="0">
                  <c:v>12</c:v>
                </c:pt>
                <c:pt idx="1">
                  <c:v>45</c:v>
                </c:pt>
                <c:pt idx="2">
                  <c:v>66</c:v>
                </c:pt>
              </c:numCache>
            </c:numRef>
          </c:val>
          <c:smooth val="0"/>
        </c:ser>
        <c:dLbls>
          <c:showLegendKey val="0"/>
          <c:showVal val="1"/>
          <c:showCatName val="0"/>
          <c:showSerName val="0"/>
          <c:showPercent val="0"/>
          <c:showBubbleSize val="0"/>
        </c:dLbls>
        <c:marker val="1"/>
        <c:smooth val="0"/>
        <c:axId val="373905376"/>
        <c:axId val="373905768"/>
      </c:lineChart>
      <c:catAx>
        <c:axId val="37390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s-PE"/>
          </a:p>
        </c:txPr>
        <c:crossAx val="373905768"/>
        <c:crosses val="autoZero"/>
        <c:auto val="1"/>
        <c:lblAlgn val="ctr"/>
        <c:lblOffset val="100"/>
        <c:noMultiLvlLbl val="0"/>
      </c:catAx>
      <c:valAx>
        <c:axId val="373905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373905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s-PE" b="1">
                <a:solidFill>
                  <a:schemeClr val="tx1"/>
                </a:solidFill>
              </a:rPr>
              <a:t>Sindromes Clínicos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s-PE"/>
        </a:p>
      </c:txPr>
    </c:title>
    <c:autoTitleDeleted val="0"/>
    <c:plotArea>
      <c:layout/>
      <c:lineChart>
        <c:grouping val="standard"/>
        <c:varyColors val="1"/>
        <c:ser>
          <c:idx val="0"/>
          <c:order val="0"/>
          <c:spPr>
            <a:ln cap="sq">
              <a:prstDash val="solid"/>
              <a:bevel/>
              <a:tailEnd w="med" len="sm"/>
            </a:ln>
          </c:spPr>
          <c:marker>
            <c:symbol val="circle"/>
            <c:size val="5"/>
            <c:spPr>
              <a:solidFill>
                <a:schemeClr val="tx1"/>
              </a:solidFill>
            </c:spPr>
          </c:marker>
          <c:dPt>
            <c:idx val="0"/>
            <c:marker>
              <c:symbol val="circle"/>
              <c:size val="5"/>
              <c:spPr>
                <a:solidFill>
                  <a:schemeClr val="tx1"/>
                </a:solidFill>
                <a:ln w="9525" cap="flat" cmpd="sng" algn="ctr">
                  <a:solidFill>
                    <a:schemeClr val="accent1"/>
                  </a:solidFill>
                  <a:round/>
                </a:ln>
                <a:effectLst>
                  <a:outerShdw blurRad="50800" dist="50800" dir="5400000" algn="ctr" rotWithShape="0">
                    <a:schemeClr val="tx1"/>
                  </a:outerShdw>
                </a:effectLst>
              </c:spPr>
            </c:marker>
            <c:bubble3D val="0"/>
            <c:spPr>
              <a:ln w="22225" cap="sq" cmpd="sng" algn="ctr">
                <a:solidFill>
                  <a:schemeClr val="accent1"/>
                </a:solidFill>
                <a:prstDash val="solid"/>
                <a:bevel/>
                <a:tailEnd w="med" len="sm"/>
              </a:ln>
              <a:effectLst/>
            </c:spPr>
          </c:dPt>
          <c:dPt>
            <c:idx val="1"/>
            <c:marker>
              <c:symbol val="circle"/>
              <c:size val="5"/>
              <c:spPr>
                <a:solidFill>
                  <a:schemeClr val="tx1"/>
                </a:solidFill>
                <a:ln w="9525" cap="flat" cmpd="sng" algn="ctr">
                  <a:solidFill>
                    <a:schemeClr val="accent2"/>
                  </a:solidFill>
                  <a:round/>
                </a:ln>
                <a:effectLst/>
              </c:spPr>
            </c:marker>
            <c:bubble3D val="0"/>
            <c:spPr>
              <a:ln w="22225" cap="sq" cmpd="sng" algn="ctr">
                <a:solidFill>
                  <a:schemeClr val="accent2"/>
                </a:solidFill>
                <a:prstDash val="solid"/>
                <a:bevel/>
                <a:tailEnd w="med" len="sm"/>
              </a:ln>
              <a:effectLst/>
            </c:spPr>
          </c:dPt>
          <c:dPt>
            <c:idx val="2"/>
            <c:marker>
              <c:symbol val="circle"/>
              <c:size val="5"/>
              <c:spPr>
                <a:solidFill>
                  <a:schemeClr val="tx1"/>
                </a:solidFill>
                <a:ln w="9525" cap="flat" cmpd="sng" algn="ctr">
                  <a:solidFill>
                    <a:schemeClr val="accent3"/>
                  </a:solidFill>
                  <a:round/>
                </a:ln>
                <a:effectLst/>
              </c:spPr>
            </c:marker>
            <c:bubble3D val="0"/>
            <c:spPr>
              <a:ln w="22225" cap="sq" cmpd="sng" algn="ctr">
                <a:solidFill>
                  <a:schemeClr val="accent3"/>
                </a:solidFill>
                <a:prstDash val="solid"/>
                <a:bevel/>
                <a:tailEnd w="med" len="sm"/>
              </a:ln>
              <a:effectLst/>
            </c:spPr>
          </c:dPt>
          <c:dPt>
            <c:idx val="3"/>
            <c:marker>
              <c:symbol val="circle"/>
              <c:size val="5"/>
              <c:spPr>
                <a:solidFill>
                  <a:schemeClr val="tx1"/>
                </a:solidFill>
                <a:ln w="9525" cap="flat" cmpd="sng" algn="ctr">
                  <a:solidFill>
                    <a:schemeClr val="accent4"/>
                  </a:solidFill>
                  <a:round/>
                </a:ln>
                <a:effectLst/>
              </c:spPr>
            </c:marker>
            <c:bubble3D val="0"/>
            <c:spPr>
              <a:ln w="22225" cap="sq" cmpd="sng" algn="ctr">
                <a:solidFill>
                  <a:schemeClr val="accent4"/>
                </a:solidFill>
                <a:prstDash val="solid"/>
                <a:bevel/>
                <a:tailEnd w="med" len="sm"/>
              </a:ln>
              <a:effectLst/>
            </c:spPr>
          </c:dPt>
          <c:dPt>
            <c:idx val="4"/>
            <c:marker>
              <c:symbol val="circle"/>
              <c:size val="5"/>
              <c:spPr>
                <a:solidFill>
                  <a:schemeClr val="tx1"/>
                </a:solidFill>
                <a:ln w="9525" cap="flat" cmpd="sng" algn="ctr">
                  <a:solidFill>
                    <a:schemeClr val="accent5"/>
                  </a:solidFill>
                  <a:round/>
                </a:ln>
                <a:effectLst/>
              </c:spPr>
            </c:marker>
            <c:bubble3D val="0"/>
            <c:spPr>
              <a:ln w="22225" cap="sq" cmpd="sng" algn="ctr">
                <a:solidFill>
                  <a:schemeClr val="accent5"/>
                </a:solidFill>
                <a:prstDash val="solid"/>
                <a:bevel/>
                <a:tailEnd w="med" len="sm"/>
              </a:ln>
              <a:effectLst/>
            </c:spPr>
          </c:dPt>
          <c:dPt>
            <c:idx val="5"/>
            <c:marker>
              <c:symbol val="circle"/>
              <c:size val="5"/>
              <c:spPr>
                <a:solidFill>
                  <a:schemeClr val="tx1"/>
                </a:solidFill>
                <a:ln w="9525" cap="flat" cmpd="sng" algn="ctr">
                  <a:solidFill>
                    <a:schemeClr val="accent6"/>
                  </a:solidFill>
                  <a:round/>
                </a:ln>
                <a:effectLst/>
              </c:spPr>
            </c:marker>
            <c:bubble3D val="0"/>
            <c:spPr>
              <a:ln w="22225" cap="sq" cmpd="sng" algn="ctr">
                <a:solidFill>
                  <a:schemeClr val="accent6"/>
                </a:solidFill>
                <a:prstDash val="solid"/>
                <a:bevel/>
                <a:tailEnd w="med" len="sm"/>
              </a:ln>
              <a:effectLst/>
            </c:spPr>
          </c:dPt>
          <c:dPt>
            <c:idx val="6"/>
            <c:marker>
              <c:symbol val="circle"/>
              <c:size val="5"/>
              <c:spPr>
                <a:solidFill>
                  <a:schemeClr val="tx1"/>
                </a:solidFill>
                <a:ln w="9525" cap="flat" cmpd="sng" algn="ctr">
                  <a:solidFill>
                    <a:schemeClr val="accent1">
                      <a:lumMod val="60000"/>
                    </a:schemeClr>
                  </a:solidFill>
                  <a:round/>
                </a:ln>
                <a:effectLst/>
              </c:spPr>
            </c:marker>
            <c:bubble3D val="0"/>
            <c:spPr>
              <a:ln w="22225" cap="sq" cmpd="sng" algn="ctr">
                <a:solidFill>
                  <a:schemeClr val="accent1">
                    <a:lumMod val="60000"/>
                  </a:schemeClr>
                </a:solidFill>
                <a:prstDash val="solid"/>
                <a:bevel/>
                <a:tailEnd w="med" len="sm"/>
              </a:ln>
              <a:effectLst/>
            </c:spPr>
          </c:dPt>
          <c:dPt>
            <c:idx val="7"/>
            <c:marker>
              <c:symbol val="circle"/>
              <c:size val="5"/>
              <c:spPr>
                <a:solidFill>
                  <a:schemeClr val="tx1"/>
                </a:solidFill>
                <a:ln w="9525" cap="flat" cmpd="sng" algn="ctr">
                  <a:solidFill>
                    <a:schemeClr val="accent2">
                      <a:lumMod val="60000"/>
                    </a:schemeClr>
                  </a:solidFill>
                  <a:round/>
                </a:ln>
                <a:effectLst/>
              </c:spPr>
            </c:marker>
            <c:bubble3D val="0"/>
            <c:spPr>
              <a:ln w="22225" cap="sq" cmpd="sng" algn="ctr">
                <a:solidFill>
                  <a:schemeClr val="accent2">
                    <a:lumMod val="60000"/>
                  </a:schemeClr>
                </a:solidFill>
                <a:prstDash val="solid"/>
                <a:bevel/>
                <a:tailEnd w="med" len="sm"/>
              </a:ln>
              <a:effectLst/>
            </c:spPr>
          </c:dPt>
          <c:dPt>
            <c:idx val="8"/>
            <c:marker>
              <c:symbol val="circle"/>
              <c:size val="5"/>
              <c:spPr>
                <a:solidFill>
                  <a:schemeClr val="tx1"/>
                </a:solidFill>
                <a:ln w="9525" cap="flat" cmpd="sng" algn="ctr">
                  <a:solidFill>
                    <a:schemeClr val="accent3">
                      <a:lumMod val="60000"/>
                    </a:schemeClr>
                  </a:solidFill>
                  <a:round/>
                </a:ln>
                <a:effectLst/>
              </c:spPr>
            </c:marker>
            <c:bubble3D val="0"/>
            <c:spPr>
              <a:ln w="22225" cap="sq" cmpd="sng" algn="ctr">
                <a:solidFill>
                  <a:schemeClr val="accent3">
                    <a:lumMod val="60000"/>
                  </a:schemeClr>
                </a:solidFill>
                <a:prstDash val="solid"/>
                <a:bevel/>
                <a:tailEnd w="med" len="sm"/>
              </a:ln>
              <a:effectLst/>
            </c:spPr>
          </c:dPt>
          <c:dPt>
            <c:idx val="9"/>
            <c:marker>
              <c:symbol val="circle"/>
              <c:size val="5"/>
              <c:spPr>
                <a:solidFill>
                  <a:schemeClr val="tx1"/>
                </a:solidFill>
                <a:ln w="9525" cap="flat" cmpd="sng" algn="ctr">
                  <a:solidFill>
                    <a:schemeClr val="accent4">
                      <a:lumMod val="60000"/>
                    </a:schemeClr>
                  </a:solidFill>
                  <a:round/>
                </a:ln>
                <a:effectLst/>
              </c:spPr>
            </c:marker>
            <c:bubble3D val="0"/>
            <c:spPr>
              <a:ln w="22225" cap="sq" cmpd="sng" algn="ctr">
                <a:solidFill>
                  <a:schemeClr val="accent4">
                    <a:lumMod val="60000"/>
                  </a:schemeClr>
                </a:solidFill>
                <a:prstDash val="solid"/>
                <a:bevel/>
                <a:tailEnd w="med" len="sm"/>
              </a:ln>
              <a:effectLst/>
            </c:spPr>
          </c:dPt>
          <c:dPt>
            <c:idx val="10"/>
            <c:marker>
              <c:symbol val="circle"/>
              <c:size val="5"/>
              <c:spPr>
                <a:solidFill>
                  <a:schemeClr val="tx1"/>
                </a:solidFill>
                <a:ln w="9525" cap="flat" cmpd="sng" algn="ctr">
                  <a:solidFill>
                    <a:schemeClr val="accent5">
                      <a:lumMod val="60000"/>
                    </a:schemeClr>
                  </a:solidFill>
                  <a:round/>
                </a:ln>
                <a:effectLst/>
              </c:spPr>
            </c:marker>
            <c:bubble3D val="0"/>
            <c:spPr>
              <a:ln w="22225" cap="sq" cmpd="sng" algn="ctr">
                <a:solidFill>
                  <a:schemeClr val="accent5">
                    <a:lumMod val="60000"/>
                  </a:schemeClr>
                </a:solidFill>
                <a:prstDash val="solid"/>
                <a:bevel/>
                <a:tailEnd w="med" len="sm"/>
              </a:ln>
              <a:effectLst/>
            </c:spPr>
          </c:dPt>
          <c:dPt>
            <c:idx val="11"/>
            <c:marker>
              <c:symbol val="circle"/>
              <c:size val="5"/>
              <c:spPr>
                <a:solidFill>
                  <a:schemeClr val="tx1"/>
                </a:solidFill>
                <a:ln w="9525" cap="flat" cmpd="sng" algn="ctr">
                  <a:solidFill>
                    <a:schemeClr val="accent6">
                      <a:lumMod val="60000"/>
                    </a:schemeClr>
                  </a:solidFill>
                  <a:round/>
                </a:ln>
                <a:effectLst/>
              </c:spPr>
            </c:marker>
            <c:bubble3D val="0"/>
            <c:spPr>
              <a:ln w="22225" cap="sq" cmpd="sng" algn="ctr">
                <a:solidFill>
                  <a:schemeClr val="accent6">
                    <a:lumMod val="60000"/>
                  </a:schemeClr>
                </a:solidFill>
                <a:prstDash val="solid"/>
                <a:bevel/>
                <a:tailEnd w="med" len="sm"/>
              </a:ln>
              <a:effectLst/>
            </c:spPr>
          </c:dPt>
          <c:dLbls>
            <c:spPr>
              <a:noFill/>
              <a:ln>
                <a:noFill/>
              </a:ln>
              <a:effectLst>
                <a:softEdge rad="127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'RESULTADOS '!$C$35:$C$44</c:f>
              <c:strCache>
                <c:ptCount val="10"/>
                <c:pt idx="0">
                  <c:v>Ansiedad Generalizada</c:v>
                </c:pt>
                <c:pt idx="1">
                  <c:v>Síntomas Somáticos </c:v>
                </c:pt>
                <c:pt idx="2">
                  <c:v>Espectro Bípolar</c:v>
                </c:pt>
                <c:pt idx="3">
                  <c:v>Depresión Persistente</c:v>
                </c:pt>
                <c:pt idx="4">
                  <c:v>Consumo de Alcohol</c:v>
                </c:pt>
                <c:pt idx="5">
                  <c:v>Consumo de Drogas</c:v>
                </c:pt>
                <c:pt idx="6">
                  <c:v>Estrés Postraumático</c:v>
                </c:pt>
                <c:pt idx="7">
                  <c:v>Espectro Esquizofrénico</c:v>
                </c:pt>
                <c:pt idx="8">
                  <c:v>Depresión Mayor</c:v>
                </c:pt>
                <c:pt idx="9">
                  <c:v>Delirante</c:v>
                </c:pt>
              </c:strCache>
            </c:strRef>
          </c:cat>
          <c:val>
            <c:numRef>
              <c:f>'RESULTADOS '!$D$35:$D$44</c:f>
              <c:numCache>
                <c:formatCode>General</c:formatCode>
                <c:ptCount val="10"/>
                <c:pt idx="0">
                  <c:v>15</c:v>
                </c:pt>
                <c:pt idx="1">
                  <c:v>0</c:v>
                </c:pt>
                <c:pt idx="2">
                  <c:v>30</c:v>
                </c:pt>
                <c:pt idx="3">
                  <c:v>30</c:v>
                </c:pt>
                <c:pt idx="4">
                  <c:v>0</c:v>
                </c:pt>
                <c:pt idx="5">
                  <c:v>0</c:v>
                </c:pt>
                <c:pt idx="6">
                  <c:v>48</c:v>
                </c:pt>
                <c:pt idx="7">
                  <c:v>40</c:v>
                </c:pt>
                <c:pt idx="8">
                  <c:v>51</c:v>
                </c:pt>
                <c:pt idx="9">
                  <c:v>60</c:v>
                </c:pt>
              </c:numCache>
            </c:numRef>
          </c:val>
          <c:smooth val="1"/>
        </c:ser>
        <c:dLbls>
          <c:dLblPos val="ctr"/>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373906552"/>
        <c:axId val="252479920"/>
      </c:lineChart>
      <c:catAx>
        <c:axId val="3739065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s-PE"/>
          </a:p>
        </c:txPr>
        <c:crossAx val="252479920"/>
        <c:crosses val="autoZero"/>
        <c:auto val="1"/>
        <c:lblAlgn val="ctr"/>
        <c:lblOffset val="100"/>
        <c:noMultiLvlLbl val="0"/>
      </c:catAx>
      <c:valAx>
        <c:axId val="25247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PE"/>
          </a:p>
        </c:txPr>
        <c:crossAx val="3739065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s-PE" b="1">
                <a:solidFill>
                  <a:schemeClr val="tx1"/>
                </a:solidFill>
              </a:rPr>
              <a:t>Patrones de Personalidad </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s-PE"/>
        </a:p>
      </c:txPr>
    </c:title>
    <c:autoTitleDeleted val="0"/>
    <c:plotArea>
      <c:layout/>
      <c:lineChart>
        <c:grouping val="standard"/>
        <c:varyColors val="1"/>
        <c:ser>
          <c:idx val="0"/>
          <c:order val="0"/>
          <c:spPr>
            <a:ln cap="sq">
              <a:prstDash val="solid"/>
              <a:bevel/>
              <a:tailEnd w="med" len="sm"/>
            </a:ln>
          </c:spPr>
          <c:marker>
            <c:symbol val="circle"/>
            <c:size val="5"/>
            <c:spPr>
              <a:solidFill>
                <a:schemeClr val="tx1"/>
              </a:solidFill>
            </c:spPr>
          </c:marker>
          <c:dPt>
            <c:idx val="0"/>
            <c:marker>
              <c:symbol val="circle"/>
              <c:size val="5"/>
              <c:spPr>
                <a:solidFill>
                  <a:schemeClr val="tx1"/>
                </a:solidFill>
                <a:ln w="9525" cap="flat" cmpd="sng" algn="ctr">
                  <a:solidFill>
                    <a:schemeClr val="accent1"/>
                  </a:solidFill>
                  <a:round/>
                </a:ln>
                <a:effectLst>
                  <a:outerShdw blurRad="50800" dist="50800" dir="5400000" algn="ctr" rotWithShape="0">
                    <a:schemeClr val="tx1"/>
                  </a:outerShdw>
                </a:effectLst>
              </c:spPr>
            </c:marker>
            <c:bubble3D val="0"/>
            <c:spPr>
              <a:ln w="22225" cap="sq" cmpd="sng" algn="ctr">
                <a:solidFill>
                  <a:schemeClr val="tx1"/>
                </a:solidFill>
                <a:prstDash val="solid"/>
                <a:bevel/>
                <a:tailEnd w="med" len="sm"/>
              </a:ln>
              <a:effectLst>
                <a:outerShdw blurRad="50800" dist="50800" dir="5400000" algn="ctr" rotWithShape="0">
                  <a:schemeClr val="tx1"/>
                </a:outerShdw>
              </a:effectLst>
            </c:spPr>
          </c:dPt>
          <c:dPt>
            <c:idx val="1"/>
            <c:marker>
              <c:symbol val="circle"/>
              <c:size val="5"/>
              <c:spPr>
                <a:solidFill>
                  <a:schemeClr val="tx1"/>
                </a:solidFill>
                <a:ln w="9525" cap="flat" cmpd="sng" algn="ctr">
                  <a:solidFill>
                    <a:schemeClr val="accent2"/>
                  </a:solidFill>
                  <a:round/>
                </a:ln>
                <a:effectLst/>
              </c:spPr>
            </c:marker>
            <c:bubble3D val="0"/>
            <c:spPr>
              <a:ln w="22225" cap="sq" cmpd="sng" algn="ctr">
                <a:solidFill>
                  <a:schemeClr val="accent2"/>
                </a:solidFill>
                <a:prstDash val="solid"/>
                <a:bevel/>
                <a:tailEnd w="med" len="sm"/>
              </a:ln>
              <a:effectLst/>
            </c:spPr>
          </c:dPt>
          <c:dPt>
            <c:idx val="2"/>
            <c:marker>
              <c:symbol val="circle"/>
              <c:size val="5"/>
              <c:spPr>
                <a:solidFill>
                  <a:schemeClr val="tx1"/>
                </a:solidFill>
                <a:ln w="9525" cap="flat" cmpd="sng" algn="ctr">
                  <a:solidFill>
                    <a:schemeClr val="accent3"/>
                  </a:solidFill>
                  <a:round/>
                </a:ln>
                <a:effectLst/>
              </c:spPr>
            </c:marker>
            <c:bubble3D val="0"/>
            <c:spPr>
              <a:ln w="22225" cap="sq" cmpd="sng" algn="ctr">
                <a:solidFill>
                  <a:schemeClr val="accent3"/>
                </a:solidFill>
                <a:prstDash val="solid"/>
                <a:bevel/>
                <a:tailEnd w="med" len="sm"/>
              </a:ln>
              <a:effectLst/>
            </c:spPr>
          </c:dPt>
          <c:dPt>
            <c:idx val="3"/>
            <c:marker>
              <c:symbol val="circle"/>
              <c:size val="5"/>
              <c:spPr>
                <a:solidFill>
                  <a:schemeClr val="tx1"/>
                </a:solidFill>
                <a:ln w="9525" cap="flat" cmpd="sng" algn="ctr">
                  <a:solidFill>
                    <a:schemeClr val="accent4"/>
                  </a:solidFill>
                  <a:round/>
                </a:ln>
                <a:effectLst/>
              </c:spPr>
            </c:marker>
            <c:bubble3D val="0"/>
            <c:spPr>
              <a:ln w="22225" cap="sq" cmpd="sng" algn="ctr">
                <a:solidFill>
                  <a:schemeClr val="accent4"/>
                </a:solidFill>
                <a:prstDash val="solid"/>
                <a:bevel/>
                <a:tailEnd w="med" len="sm"/>
              </a:ln>
              <a:effectLst/>
            </c:spPr>
          </c:dPt>
          <c:dPt>
            <c:idx val="4"/>
            <c:marker>
              <c:symbol val="circle"/>
              <c:size val="5"/>
              <c:spPr>
                <a:solidFill>
                  <a:schemeClr val="tx1"/>
                </a:solidFill>
                <a:ln w="9525" cap="flat" cmpd="sng" algn="ctr">
                  <a:solidFill>
                    <a:schemeClr val="accent5"/>
                  </a:solidFill>
                  <a:round/>
                </a:ln>
                <a:effectLst/>
              </c:spPr>
            </c:marker>
            <c:bubble3D val="0"/>
            <c:spPr>
              <a:ln w="22225" cap="sq" cmpd="sng" algn="ctr">
                <a:solidFill>
                  <a:schemeClr val="accent5"/>
                </a:solidFill>
                <a:prstDash val="solid"/>
                <a:bevel/>
                <a:tailEnd w="med" len="sm"/>
              </a:ln>
              <a:effectLst/>
            </c:spPr>
          </c:dPt>
          <c:dPt>
            <c:idx val="5"/>
            <c:marker>
              <c:symbol val="circle"/>
              <c:size val="5"/>
              <c:spPr>
                <a:solidFill>
                  <a:schemeClr val="tx1"/>
                </a:solidFill>
                <a:ln w="9525" cap="flat" cmpd="sng" algn="ctr">
                  <a:solidFill>
                    <a:schemeClr val="accent6"/>
                  </a:solidFill>
                  <a:round/>
                </a:ln>
                <a:effectLst/>
              </c:spPr>
            </c:marker>
            <c:bubble3D val="0"/>
            <c:spPr>
              <a:ln w="22225" cap="sq" cmpd="sng" algn="ctr">
                <a:solidFill>
                  <a:schemeClr val="accent6"/>
                </a:solidFill>
                <a:prstDash val="solid"/>
                <a:bevel/>
                <a:tailEnd w="med" len="sm"/>
              </a:ln>
              <a:effectLst/>
            </c:spPr>
          </c:dPt>
          <c:dPt>
            <c:idx val="6"/>
            <c:marker>
              <c:symbol val="circle"/>
              <c:size val="5"/>
              <c:spPr>
                <a:solidFill>
                  <a:schemeClr val="tx1"/>
                </a:solidFill>
                <a:ln w="9525" cap="flat" cmpd="sng" algn="ctr">
                  <a:solidFill>
                    <a:schemeClr val="accent1">
                      <a:lumMod val="60000"/>
                    </a:schemeClr>
                  </a:solidFill>
                  <a:round/>
                </a:ln>
                <a:effectLst/>
              </c:spPr>
            </c:marker>
            <c:bubble3D val="0"/>
            <c:spPr>
              <a:ln w="22225" cap="sq" cmpd="sng" algn="ctr">
                <a:solidFill>
                  <a:schemeClr val="accent1">
                    <a:lumMod val="60000"/>
                  </a:schemeClr>
                </a:solidFill>
                <a:prstDash val="solid"/>
                <a:bevel/>
                <a:tailEnd w="med" len="sm"/>
              </a:ln>
              <a:effectLst/>
            </c:spPr>
          </c:dPt>
          <c:dPt>
            <c:idx val="7"/>
            <c:marker>
              <c:symbol val="circle"/>
              <c:size val="5"/>
              <c:spPr>
                <a:solidFill>
                  <a:schemeClr val="tx1"/>
                </a:solidFill>
                <a:ln w="9525" cap="flat" cmpd="sng" algn="ctr">
                  <a:solidFill>
                    <a:schemeClr val="accent2">
                      <a:lumMod val="60000"/>
                    </a:schemeClr>
                  </a:solidFill>
                  <a:round/>
                </a:ln>
                <a:effectLst/>
              </c:spPr>
            </c:marker>
            <c:bubble3D val="0"/>
            <c:spPr>
              <a:ln w="22225" cap="sq" cmpd="sng" algn="ctr">
                <a:solidFill>
                  <a:schemeClr val="accent2">
                    <a:lumMod val="60000"/>
                  </a:schemeClr>
                </a:solidFill>
                <a:prstDash val="solid"/>
                <a:bevel/>
                <a:tailEnd w="med" len="sm"/>
              </a:ln>
              <a:effectLst/>
            </c:spPr>
          </c:dPt>
          <c:dPt>
            <c:idx val="8"/>
            <c:marker>
              <c:symbol val="circle"/>
              <c:size val="5"/>
              <c:spPr>
                <a:solidFill>
                  <a:schemeClr val="tx1"/>
                </a:solidFill>
                <a:ln w="9525" cap="flat" cmpd="sng" algn="ctr">
                  <a:solidFill>
                    <a:schemeClr val="accent3">
                      <a:lumMod val="60000"/>
                    </a:schemeClr>
                  </a:solidFill>
                  <a:round/>
                </a:ln>
                <a:effectLst/>
              </c:spPr>
            </c:marker>
            <c:bubble3D val="0"/>
            <c:spPr>
              <a:ln w="22225" cap="sq" cmpd="sng" algn="ctr">
                <a:solidFill>
                  <a:schemeClr val="accent3">
                    <a:lumMod val="60000"/>
                  </a:schemeClr>
                </a:solidFill>
                <a:prstDash val="solid"/>
                <a:bevel/>
                <a:tailEnd w="med" len="sm"/>
              </a:ln>
              <a:effectLst/>
            </c:spPr>
          </c:dPt>
          <c:dPt>
            <c:idx val="9"/>
            <c:marker>
              <c:symbol val="circle"/>
              <c:size val="5"/>
              <c:spPr>
                <a:solidFill>
                  <a:schemeClr val="tx1"/>
                </a:solidFill>
                <a:ln w="9525" cap="flat" cmpd="sng" algn="ctr">
                  <a:solidFill>
                    <a:schemeClr val="accent4">
                      <a:lumMod val="60000"/>
                    </a:schemeClr>
                  </a:solidFill>
                  <a:round/>
                </a:ln>
                <a:effectLst/>
              </c:spPr>
            </c:marker>
            <c:bubble3D val="0"/>
            <c:spPr>
              <a:ln w="22225" cap="sq" cmpd="sng" algn="ctr">
                <a:solidFill>
                  <a:schemeClr val="accent4">
                    <a:lumMod val="60000"/>
                  </a:schemeClr>
                </a:solidFill>
                <a:prstDash val="solid"/>
                <a:bevel/>
                <a:tailEnd w="med" len="sm"/>
              </a:ln>
              <a:effectLst/>
            </c:spPr>
          </c:dPt>
          <c:dPt>
            <c:idx val="10"/>
            <c:marker>
              <c:symbol val="circle"/>
              <c:size val="5"/>
              <c:spPr>
                <a:solidFill>
                  <a:schemeClr val="tx1"/>
                </a:solidFill>
                <a:ln w="9525" cap="flat" cmpd="sng" algn="ctr">
                  <a:solidFill>
                    <a:schemeClr val="accent5">
                      <a:lumMod val="60000"/>
                    </a:schemeClr>
                  </a:solidFill>
                  <a:round/>
                </a:ln>
                <a:effectLst/>
              </c:spPr>
            </c:marker>
            <c:bubble3D val="0"/>
            <c:spPr>
              <a:ln w="22225" cap="sq" cmpd="sng" algn="ctr">
                <a:solidFill>
                  <a:schemeClr val="accent5">
                    <a:lumMod val="60000"/>
                  </a:schemeClr>
                </a:solidFill>
                <a:prstDash val="solid"/>
                <a:bevel/>
                <a:tailEnd w="med" len="sm"/>
              </a:ln>
              <a:effectLst/>
            </c:spPr>
          </c:dPt>
          <c:dPt>
            <c:idx val="11"/>
            <c:marker>
              <c:symbol val="circle"/>
              <c:size val="5"/>
              <c:spPr>
                <a:solidFill>
                  <a:schemeClr val="tx1"/>
                </a:solidFill>
                <a:ln w="9525" cap="flat" cmpd="sng" algn="ctr">
                  <a:solidFill>
                    <a:schemeClr val="accent6">
                      <a:lumMod val="60000"/>
                    </a:schemeClr>
                  </a:solidFill>
                  <a:round/>
                </a:ln>
                <a:effectLst/>
              </c:spPr>
            </c:marker>
            <c:bubble3D val="0"/>
            <c:spPr>
              <a:ln w="22225" cap="sq" cmpd="sng" algn="ctr">
                <a:solidFill>
                  <a:schemeClr val="accent6">
                    <a:lumMod val="60000"/>
                  </a:schemeClr>
                </a:solidFill>
                <a:prstDash val="solid"/>
                <a:bevel/>
                <a:tailEnd w="med" len="sm"/>
              </a:ln>
              <a:effectLst/>
            </c:spPr>
          </c:dPt>
          <c:dLbls>
            <c:spPr>
              <a:noFill/>
              <a:ln>
                <a:noFill/>
              </a:ln>
              <a:effectLst>
                <a:softEdge rad="127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CORRECCION!$C$17:$C$28</c:f>
              <c:strCache>
                <c:ptCount val="12"/>
                <c:pt idx="0">
                  <c:v>Esquizoide  </c:v>
                </c:pt>
                <c:pt idx="1">
                  <c:v>Evitativo</c:v>
                </c:pt>
                <c:pt idx="2">
                  <c:v>Melancólico </c:v>
                </c:pt>
                <c:pt idx="3">
                  <c:v>Dependiente</c:v>
                </c:pt>
                <c:pt idx="4">
                  <c:v>Histriónico</c:v>
                </c:pt>
                <c:pt idx="5">
                  <c:v>Tempestuoso</c:v>
                </c:pt>
                <c:pt idx="6">
                  <c:v>Narcisista</c:v>
                </c:pt>
                <c:pt idx="7">
                  <c:v>Antisocial</c:v>
                </c:pt>
                <c:pt idx="8">
                  <c:v>Sádico </c:v>
                </c:pt>
                <c:pt idx="9">
                  <c:v>Compulsivo</c:v>
                </c:pt>
                <c:pt idx="10">
                  <c:v>Negativista</c:v>
                </c:pt>
                <c:pt idx="11">
                  <c:v>Masoquista</c:v>
                </c:pt>
              </c:strCache>
            </c:strRef>
          </c:cat>
          <c:val>
            <c:numRef>
              <c:f>CORRECCION!$D$17:$D$28</c:f>
              <c:numCache>
                <c:formatCode>General</c:formatCode>
                <c:ptCount val="12"/>
                <c:pt idx="0">
                  <c:v>40</c:v>
                </c:pt>
                <c:pt idx="1">
                  <c:v>6</c:v>
                </c:pt>
                <c:pt idx="2">
                  <c:v>30</c:v>
                </c:pt>
                <c:pt idx="3">
                  <c:v>36</c:v>
                </c:pt>
                <c:pt idx="4">
                  <c:v>75</c:v>
                </c:pt>
                <c:pt idx="5">
                  <c:v>80</c:v>
                </c:pt>
                <c:pt idx="6">
                  <c:v>62</c:v>
                </c:pt>
                <c:pt idx="7">
                  <c:v>20</c:v>
                </c:pt>
                <c:pt idx="8">
                  <c:v>10</c:v>
                </c:pt>
                <c:pt idx="9">
                  <c:v>49</c:v>
                </c:pt>
                <c:pt idx="10">
                  <c:v>60</c:v>
                </c:pt>
                <c:pt idx="11">
                  <c:v>38</c:v>
                </c:pt>
              </c:numCache>
            </c:numRef>
          </c:val>
          <c:smooth val="1"/>
        </c:ser>
        <c:dLbls>
          <c:dLblPos val="ctr"/>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252480704"/>
        <c:axId val="252481096"/>
      </c:lineChart>
      <c:catAx>
        <c:axId val="2524807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s-PE"/>
          </a:p>
        </c:txPr>
        <c:crossAx val="252481096"/>
        <c:crosses val="autoZero"/>
        <c:auto val="1"/>
        <c:lblAlgn val="ctr"/>
        <c:lblOffset val="100"/>
        <c:noMultiLvlLbl val="0"/>
      </c:catAx>
      <c:valAx>
        <c:axId val="252481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PE"/>
          </a:p>
        </c:txPr>
        <c:crossAx val="25248070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ysClr val="windowText" lastClr="000000"/>
                </a:solidFill>
                <a:latin typeface="+mj-lt"/>
                <a:ea typeface="+mj-ea"/>
                <a:cs typeface="+mj-cs"/>
              </a:defRPr>
            </a:pPr>
            <a:r>
              <a:rPr lang="es-PE">
                <a:solidFill>
                  <a:sysClr val="windowText" lastClr="000000"/>
                </a:solidFill>
              </a:rPr>
              <a:t>Patologías Graves Personalidad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ysClr val="windowText" lastClr="000000"/>
              </a:solidFill>
              <a:latin typeface="+mj-lt"/>
              <a:ea typeface="+mj-ea"/>
              <a:cs typeface="+mj-cs"/>
            </a:defRPr>
          </a:pPr>
          <a:endParaRPr lang="es-PE"/>
        </a:p>
      </c:txPr>
    </c:title>
    <c:autoTitleDeleted val="0"/>
    <c:plotArea>
      <c:layout/>
      <c:lineChart>
        <c:grouping val="standard"/>
        <c:varyColors val="1"/>
        <c:ser>
          <c:idx val="0"/>
          <c:order val="0"/>
          <c:marker>
            <c:symbol val="circle"/>
            <c:size val="5"/>
            <c:spPr>
              <a:solidFill>
                <a:schemeClr val="tx1"/>
              </a:solidFill>
            </c:spPr>
          </c:marker>
          <c:dPt>
            <c:idx val="0"/>
            <c:marker>
              <c:symbol val="circle"/>
              <c:size val="5"/>
              <c:spPr>
                <a:solidFill>
                  <a:schemeClr val="tx1"/>
                </a:solidFill>
                <a:ln>
                  <a:noFill/>
                </a:ln>
                <a:effectLst/>
              </c:spPr>
            </c:marker>
            <c:bubble3D val="0"/>
            <c:spPr>
              <a:ln w="38100" cap="rnd">
                <a:solidFill>
                  <a:schemeClr val="accent1"/>
                </a:solidFill>
                <a:round/>
              </a:ln>
              <a:effectLst/>
            </c:spPr>
          </c:dPt>
          <c:dPt>
            <c:idx val="1"/>
            <c:marker>
              <c:symbol val="circle"/>
              <c:size val="5"/>
              <c:spPr>
                <a:solidFill>
                  <a:schemeClr val="tx1"/>
                </a:solidFill>
                <a:ln>
                  <a:noFill/>
                </a:ln>
                <a:effectLst/>
              </c:spPr>
            </c:marker>
            <c:bubble3D val="0"/>
            <c:spPr>
              <a:ln w="38100" cap="rnd">
                <a:solidFill>
                  <a:schemeClr val="accent2"/>
                </a:solidFill>
                <a:round/>
              </a:ln>
              <a:effectLst/>
            </c:spPr>
          </c:dPt>
          <c:dPt>
            <c:idx val="2"/>
            <c:marker>
              <c:symbol val="circle"/>
              <c:size val="5"/>
              <c:spPr>
                <a:solidFill>
                  <a:schemeClr val="tx1"/>
                </a:solidFill>
                <a:ln>
                  <a:noFill/>
                </a:ln>
                <a:effectLst/>
              </c:spPr>
            </c:marker>
            <c:bubble3D val="0"/>
            <c:spPr>
              <a:ln w="38100" cap="rnd">
                <a:solidFill>
                  <a:schemeClr val="accent3"/>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CORRECCION!$C$30:$C$32</c:f>
              <c:strCache>
                <c:ptCount val="3"/>
                <c:pt idx="0">
                  <c:v>Esquizotípico </c:v>
                </c:pt>
                <c:pt idx="1">
                  <c:v>Límite    </c:v>
                </c:pt>
                <c:pt idx="2">
                  <c:v>Paranoide</c:v>
                </c:pt>
              </c:strCache>
            </c:strRef>
          </c:cat>
          <c:val>
            <c:numRef>
              <c:f>CORRECCION!$D$30:$D$32</c:f>
              <c:numCache>
                <c:formatCode>General</c:formatCode>
                <c:ptCount val="3"/>
                <c:pt idx="0">
                  <c:v>12</c:v>
                </c:pt>
                <c:pt idx="1">
                  <c:v>45</c:v>
                </c:pt>
                <c:pt idx="2">
                  <c:v>66</c:v>
                </c:pt>
              </c:numCache>
            </c:numRef>
          </c:val>
          <c:smooth val="0"/>
        </c:ser>
        <c:dLbls>
          <c:showLegendKey val="0"/>
          <c:showVal val="1"/>
          <c:showCatName val="0"/>
          <c:showSerName val="0"/>
          <c:showPercent val="0"/>
          <c:showBubbleSize val="0"/>
        </c:dLbls>
        <c:marker val="1"/>
        <c:smooth val="0"/>
        <c:axId val="335324536"/>
        <c:axId val="335324928"/>
      </c:lineChart>
      <c:catAx>
        <c:axId val="33532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s-PE"/>
          </a:p>
        </c:txPr>
        <c:crossAx val="335324928"/>
        <c:crosses val="autoZero"/>
        <c:auto val="1"/>
        <c:lblAlgn val="ctr"/>
        <c:lblOffset val="100"/>
        <c:noMultiLvlLbl val="0"/>
      </c:catAx>
      <c:valAx>
        <c:axId val="33532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335324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s-PE" b="1">
                <a:solidFill>
                  <a:schemeClr val="tx1"/>
                </a:solidFill>
              </a:rPr>
              <a:t>Sindromes Clínicos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s-PE"/>
        </a:p>
      </c:txPr>
    </c:title>
    <c:autoTitleDeleted val="0"/>
    <c:plotArea>
      <c:layout/>
      <c:lineChart>
        <c:grouping val="standard"/>
        <c:varyColors val="1"/>
        <c:ser>
          <c:idx val="0"/>
          <c:order val="0"/>
          <c:spPr>
            <a:ln cap="sq">
              <a:prstDash val="solid"/>
              <a:bevel/>
              <a:tailEnd w="med" len="sm"/>
            </a:ln>
          </c:spPr>
          <c:marker>
            <c:symbol val="circle"/>
            <c:size val="5"/>
            <c:spPr>
              <a:solidFill>
                <a:schemeClr val="tx1"/>
              </a:solidFill>
            </c:spPr>
          </c:marker>
          <c:dPt>
            <c:idx val="0"/>
            <c:marker>
              <c:symbol val="circle"/>
              <c:size val="5"/>
              <c:spPr>
                <a:solidFill>
                  <a:schemeClr val="tx1"/>
                </a:solidFill>
                <a:ln w="9525" cap="flat" cmpd="sng" algn="ctr">
                  <a:solidFill>
                    <a:schemeClr val="accent1"/>
                  </a:solidFill>
                  <a:round/>
                </a:ln>
                <a:effectLst>
                  <a:outerShdw blurRad="50800" dist="50800" dir="5400000" algn="ctr" rotWithShape="0">
                    <a:schemeClr val="tx1"/>
                  </a:outerShdw>
                </a:effectLst>
              </c:spPr>
            </c:marker>
            <c:bubble3D val="0"/>
            <c:spPr>
              <a:ln w="22225" cap="sq" cmpd="sng" algn="ctr">
                <a:solidFill>
                  <a:schemeClr val="accent1"/>
                </a:solidFill>
                <a:prstDash val="solid"/>
                <a:bevel/>
                <a:tailEnd w="med" len="sm"/>
              </a:ln>
              <a:effectLst/>
            </c:spPr>
          </c:dPt>
          <c:dPt>
            <c:idx val="1"/>
            <c:marker>
              <c:symbol val="circle"/>
              <c:size val="5"/>
              <c:spPr>
                <a:solidFill>
                  <a:schemeClr val="tx1"/>
                </a:solidFill>
                <a:ln w="9525" cap="flat" cmpd="sng" algn="ctr">
                  <a:solidFill>
                    <a:schemeClr val="accent2"/>
                  </a:solidFill>
                  <a:round/>
                </a:ln>
                <a:effectLst/>
              </c:spPr>
            </c:marker>
            <c:bubble3D val="0"/>
            <c:spPr>
              <a:ln w="22225" cap="sq" cmpd="sng" algn="ctr">
                <a:solidFill>
                  <a:schemeClr val="accent2"/>
                </a:solidFill>
                <a:prstDash val="solid"/>
                <a:bevel/>
                <a:tailEnd w="med" len="sm"/>
              </a:ln>
              <a:effectLst/>
            </c:spPr>
          </c:dPt>
          <c:dPt>
            <c:idx val="2"/>
            <c:marker>
              <c:symbol val="circle"/>
              <c:size val="5"/>
              <c:spPr>
                <a:solidFill>
                  <a:schemeClr val="tx1"/>
                </a:solidFill>
                <a:ln w="9525" cap="flat" cmpd="sng" algn="ctr">
                  <a:solidFill>
                    <a:schemeClr val="accent3"/>
                  </a:solidFill>
                  <a:round/>
                </a:ln>
                <a:effectLst/>
              </c:spPr>
            </c:marker>
            <c:bubble3D val="0"/>
            <c:spPr>
              <a:ln w="22225" cap="sq" cmpd="sng" algn="ctr">
                <a:solidFill>
                  <a:schemeClr val="accent3"/>
                </a:solidFill>
                <a:prstDash val="solid"/>
                <a:bevel/>
                <a:tailEnd w="med" len="sm"/>
              </a:ln>
              <a:effectLst/>
            </c:spPr>
          </c:dPt>
          <c:dPt>
            <c:idx val="3"/>
            <c:marker>
              <c:symbol val="circle"/>
              <c:size val="5"/>
              <c:spPr>
                <a:solidFill>
                  <a:schemeClr val="tx1"/>
                </a:solidFill>
                <a:ln w="9525" cap="flat" cmpd="sng" algn="ctr">
                  <a:solidFill>
                    <a:schemeClr val="accent4"/>
                  </a:solidFill>
                  <a:round/>
                </a:ln>
                <a:effectLst/>
              </c:spPr>
            </c:marker>
            <c:bubble3D val="0"/>
            <c:spPr>
              <a:ln w="22225" cap="sq" cmpd="sng" algn="ctr">
                <a:solidFill>
                  <a:schemeClr val="accent4"/>
                </a:solidFill>
                <a:prstDash val="solid"/>
                <a:bevel/>
                <a:tailEnd w="med" len="sm"/>
              </a:ln>
              <a:effectLst/>
            </c:spPr>
          </c:dPt>
          <c:dPt>
            <c:idx val="4"/>
            <c:marker>
              <c:symbol val="circle"/>
              <c:size val="5"/>
              <c:spPr>
                <a:solidFill>
                  <a:schemeClr val="tx1"/>
                </a:solidFill>
                <a:ln w="9525" cap="flat" cmpd="sng" algn="ctr">
                  <a:solidFill>
                    <a:schemeClr val="accent5"/>
                  </a:solidFill>
                  <a:round/>
                </a:ln>
                <a:effectLst/>
              </c:spPr>
            </c:marker>
            <c:bubble3D val="0"/>
            <c:spPr>
              <a:ln w="22225" cap="sq" cmpd="sng" algn="ctr">
                <a:solidFill>
                  <a:schemeClr val="accent5"/>
                </a:solidFill>
                <a:prstDash val="solid"/>
                <a:bevel/>
                <a:tailEnd w="med" len="sm"/>
              </a:ln>
              <a:effectLst/>
            </c:spPr>
          </c:dPt>
          <c:dPt>
            <c:idx val="5"/>
            <c:marker>
              <c:symbol val="circle"/>
              <c:size val="5"/>
              <c:spPr>
                <a:solidFill>
                  <a:schemeClr val="tx1"/>
                </a:solidFill>
                <a:ln w="9525" cap="flat" cmpd="sng" algn="ctr">
                  <a:solidFill>
                    <a:schemeClr val="accent6"/>
                  </a:solidFill>
                  <a:round/>
                </a:ln>
                <a:effectLst/>
              </c:spPr>
            </c:marker>
            <c:bubble3D val="0"/>
            <c:spPr>
              <a:ln w="22225" cap="sq" cmpd="sng" algn="ctr">
                <a:solidFill>
                  <a:schemeClr val="accent6"/>
                </a:solidFill>
                <a:prstDash val="solid"/>
                <a:bevel/>
                <a:tailEnd w="med" len="sm"/>
              </a:ln>
              <a:effectLst/>
            </c:spPr>
          </c:dPt>
          <c:dPt>
            <c:idx val="6"/>
            <c:marker>
              <c:symbol val="circle"/>
              <c:size val="5"/>
              <c:spPr>
                <a:solidFill>
                  <a:schemeClr val="tx1"/>
                </a:solidFill>
                <a:ln w="9525" cap="flat" cmpd="sng" algn="ctr">
                  <a:solidFill>
                    <a:schemeClr val="accent1">
                      <a:lumMod val="60000"/>
                    </a:schemeClr>
                  </a:solidFill>
                  <a:round/>
                </a:ln>
                <a:effectLst/>
              </c:spPr>
            </c:marker>
            <c:bubble3D val="0"/>
            <c:spPr>
              <a:ln w="22225" cap="sq" cmpd="sng" algn="ctr">
                <a:solidFill>
                  <a:schemeClr val="accent1">
                    <a:lumMod val="60000"/>
                  </a:schemeClr>
                </a:solidFill>
                <a:prstDash val="solid"/>
                <a:bevel/>
                <a:tailEnd w="med" len="sm"/>
              </a:ln>
              <a:effectLst/>
            </c:spPr>
          </c:dPt>
          <c:dPt>
            <c:idx val="7"/>
            <c:marker>
              <c:symbol val="circle"/>
              <c:size val="5"/>
              <c:spPr>
                <a:solidFill>
                  <a:schemeClr val="tx1"/>
                </a:solidFill>
                <a:ln w="9525" cap="flat" cmpd="sng" algn="ctr">
                  <a:solidFill>
                    <a:schemeClr val="accent2">
                      <a:lumMod val="60000"/>
                    </a:schemeClr>
                  </a:solidFill>
                  <a:round/>
                </a:ln>
                <a:effectLst/>
              </c:spPr>
            </c:marker>
            <c:bubble3D val="0"/>
            <c:spPr>
              <a:ln w="22225" cap="sq" cmpd="sng" algn="ctr">
                <a:solidFill>
                  <a:schemeClr val="accent2">
                    <a:lumMod val="60000"/>
                  </a:schemeClr>
                </a:solidFill>
                <a:prstDash val="solid"/>
                <a:bevel/>
                <a:tailEnd w="med" len="sm"/>
              </a:ln>
              <a:effectLst/>
            </c:spPr>
          </c:dPt>
          <c:dPt>
            <c:idx val="8"/>
            <c:marker>
              <c:symbol val="circle"/>
              <c:size val="5"/>
              <c:spPr>
                <a:solidFill>
                  <a:schemeClr val="tx1"/>
                </a:solidFill>
                <a:ln w="9525" cap="flat" cmpd="sng" algn="ctr">
                  <a:solidFill>
                    <a:schemeClr val="accent3">
                      <a:lumMod val="60000"/>
                    </a:schemeClr>
                  </a:solidFill>
                  <a:round/>
                </a:ln>
                <a:effectLst/>
              </c:spPr>
            </c:marker>
            <c:bubble3D val="0"/>
            <c:spPr>
              <a:ln w="22225" cap="sq" cmpd="sng" algn="ctr">
                <a:solidFill>
                  <a:schemeClr val="accent3">
                    <a:lumMod val="60000"/>
                  </a:schemeClr>
                </a:solidFill>
                <a:prstDash val="solid"/>
                <a:bevel/>
                <a:tailEnd w="med" len="sm"/>
              </a:ln>
              <a:effectLst/>
            </c:spPr>
          </c:dPt>
          <c:dPt>
            <c:idx val="9"/>
            <c:marker>
              <c:symbol val="circle"/>
              <c:size val="5"/>
              <c:spPr>
                <a:solidFill>
                  <a:schemeClr val="tx1"/>
                </a:solidFill>
                <a:ln w="9525" cap="flat" cmpd="sng" algn="ctr">
                  <a:solidFill>
                    <a:schemeClr val="accent4">
                      <a:lumMod val="60000"/>
                    </a:schemeClr>
                  </a:solidFill>
                  <a:round/>
                </a:ln>
                <a:effectLst/>
              </c:spPr>
            </c:marker>
            <c:bubble3D val="0"/>
            <c:spPr>
              <a:ln w="22225" cap="sq" cmpd="sng" algn="ctr">
                <a:solidFill>
                  <a:schemeClr val="accent4">
                    <a:lumMod val="60000"/>
                  </a:schemeClr>
                </a:solidFill>
                <a:prstDash val="solid"/>
                <a:bevel/>
                <a:tailEnd w="med" len="sm"/>
              </a:ln>
              <a:effectLst/>
            </c:spPr>
          </c:dPt>
          <c:dPt>
            <c:idx val="10"/>
            <c:marker>
              <c:symbol val="circle"/>
              <c:size val="5"/>
              <c:spPr>
                <a:solidFill>
                  <a:schemeClr val="tx1"/>
                </a:solidFill>
                <a:ln w="9525" cap="flat" cmpd="sng" algn="ctr">
                  <a:solidFill>
                    <a:schemeClr val="accent5">
                      <a:lumMod val="60000"/>
                    </a:schemeClr>
                  </a:solidFill>
                  <a:round/>
                </a:ln>
                <a:effectLst/>
              </c:spPr>
            </c:marker>
            <c:bubble3D val="0"/>
            <c:spPr>
              <a:ln w="22225" cap="sq" cmpd="sng" algn="ctr">
                <a:solidFill>
                  <a:schemeClr val="accent5">
                    <a:lumMod val="60000"/>
                  </a:schemeClr>
                </a:solidFill>
                <a:prstDash val="solid"/>
                <a:bevel/>
                <a:tailEnd w="med" len="sm"/>
              </a:ln>
              <a:effectLst/>
            </c:spPr>
          </c:dPt>
          <c:dPt>
            <c:idx val="11"/>
            <c:marker>
              <c:symbol val="circle"/>
              <c:size val="5"/>
              <c:spPr>
                <a:solidFill>
                  <a:schemeClr val="tx1"/>
                </a:solidFill>
                <a:ln w="9525" cap="flat" cmpd="sng" algn="ctr">
                  <a:solidFill>
                    <a:schemeClr val="accent6">
                      <a:lumMod val="60000"/>
                    </a:schemeClr>
                  </a:solidFill>
                  <a:round/>
                </a:ln>
                <a:effectLst/>
              </c:spPr>
            </c:marker>
            <c:bubble3D val="0"/>
            <c:spPr>
              <a:ln w="22225" cap="sq" cmpd="sng" algn="ctr">
                <a:solidFill>
                  <a:schemeClr val="accent6">
                    <a:lumMod val="60000"/>
                  </a:schemeClr>
                </a:solidFill>
                <a:prstDash val="solid"/>
                <a:bevel/>
                <a:tailEnd w="med" len="sm"/>
              </a:ln>
              <a:effectLst/>
            </c:spPr>
          </c:dPt>
          <c:dLbls>
            <c:spPr>
              <a:noFill/>
              <a:ln>
                <a:noFill/>
              </a:ln>
              <a:effectLst>
                <a:softEdge rad="127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CORRECCION!$C$35:$C$44</c:f>
              <c:strCache>
                <c:ptCount val="10"/>
                <c:pt idx="0">
                  <c:v>Ansiedad Generalizada</c:v>
                </c:pt>
                <c:pt idx="1">
                  <c:v>Síntomas Somáticos </c:v>
                </c:pt>
                <c:pt idx="2">
                  <c:v>Espectro Bípolar</c:v>
                </c:pt>
                <c:pt idx="3">
                  <c:v>Depresión Persistente</c:v>
                </c:pt>
                <c:pt idx="4">
                  <c:v>Consumo de Alcohol</c:v>
                </c:pt>
                <c:pt idx="5">
                  <c:v>Consumo de Drogas</c:v>
                </c:pt>
                <c:pt idx="6">
                  <c:v>Estrés Postraumático</c:v>
                </c:pt>
                <c:pt idx="7">
                  <c:v>Espectro Esquizofrénico</c:v>
                </c:pt>
                <c:pt idx="8">
                  <c:v>Depresión Mayor</c:v>
                </c:pt>
                <c:pt idx="9">
                  <c:v>Delirante</c:v>
                </c:pt>
              </c:strCache>
            </c:strRef>
          </c:cat>
          <c:val>
            <c:numRef>
              <c:f>CORRECCION!$D$35:$D$44</c:f>
              <c:numCache>
                <c:formatCode>General</c:formatCode>
                <c:ptCount val="10"/>
                <c:pt idx="0">
                  <c:v>15</c:v>
                </c:pt>
                <c:pt idx="1">
                  <c:v>0</c:v>
                </c:pt>
                <c:pt idx="2">
                  <c:v>30</c:v>
                </c:pt>
                <c:pt idx="3">
                  <c:v>30</c:v>
                </c:pt>
                <c:pt idx="4">
                  <c:v>0</c:v>
                </c:pt>
                <c:pt idx="5">
                  <c:v>0</c:v>
                </c:pt>
                <c:pt idx="6">
                  <c:v>48</c:v>
                </c:pt>
                <c:pt idx="7">
                  <c:v>40</c:v>
                </c:pt>
                <c:pt idx="8">
                  <c:v>51</c:v>
                </c:pt>
                <c:pt idx="9">
                  <c:v>60</c:v>
                </c:pt>
              </c:numCache>
            </c:numRef>
          </c:val>
          <c:smooth val="1"/>
        </c:ser>
        <c:dLbls>
          <c:dLblPos val="ctr"/>
          <c:showLegendKey val="0"/>
          <c:showVal val="1"/>
          <c:showCatName val="0"/>
          <c:showSerName val="0"/>
          <c:showPercent val="0"/>
          <c:showBubbleSize val="0"/>
        </c:dLbls>
        <c:dropLines>
          <c:spPr>
            <a:ln w="9525" cap="flat" cmpd="sng" algn="ctr">
              <a:solidFill>
                <a:schemeClr val="tx1"/>
              </a:solidFill>
              <a:round/>
            </a:ln>
            <a:effectLst/>
          </c:spPr>
        </c:dropLines>
        <c:marker val="1"/>
        <c:smooth val="0"/>
        <c:axId val="335325712"/>
        <c:axId val="335326104"/>
      </c:lineChart>
      <c:catAx>
        <c:axId val="335325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ysClr val="windowText" lastClr="000000"/>
                </a:solidFill>
                <a:latin typeface="+mn-lt"/>
                <a:ea typeface="+mn-ea"/>
                <a:cs typeface="+mn-cs"/>
              </a:defRPr>
            </a:pPr>
            <a:endParaRPr lang="es-PE"/>
          </a:p>
        </c:txPr>
        <c:crossAx val="335326104"/>
        <c:crosses val="autoZero"/>
        <c:auto val="1"/>
        <c:lblAlgn val="ctr"/>
        <c:lblOffset val="100"/>
        <c:noMultiLvlLbl val="0"/>
      </c:catAx>
      <c:valAx>
        <c:axId val="335326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PE"/>
          </a:p>
        </c:txPr>
        <c:crossAx val="3353257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gif"/><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933451</xdr:colOff>
      <xdr:row>0</xdr:row>
      <xdr:rowOff>0</xdr:rowOff>
    </xdr:from>
    <xdr:to>
      <xdr:col>4</xdr:col>
      <xdr:colOff>144342</xdr:colOff>
      <xdr:row>7</xdr:row>
      <xdr:rowOff>92824</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dbfcd4df-f6ea-4aa8-9f94-dbe54a1cb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1266826" y="0"/>
          <a:ext cx="4648200" cy="1426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16785</xdr:colOff>
      <xdr:row>0</xdr:row>
      <xdr:rowOff>9040</xdr:rowOff>
    </xdr:from>
    <xdr:to>
      <xdr:col>14</xdr:col>
      <xdr:colOff>1467711</xdr:colOff>
      <xdr:row>6</xdr:row>
      <xdr:rowOff>171706</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04d92bb2-75bb-4bd0-9b44-fef737a30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16785" y="9040"/>
          <a:ext cx="4165551" cy="1315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58492</xdr:colOff>
      <xdr:row>15</xdr:row>
      <xdr:rowOff>214429</xdr:rowOff>
    </xdr:from>
    <xdr:to>
      <xdr:col>20</xdr:col>
      <xdr:colOff>66262</xdr:colOff>
      <xdr:row>27</xdr:row>
      <xdr:rowOff>215348</xdr:rowOff>
    </xdr:to>
    <xdr:graphicFrame macro="">
      <xdr:nvGraphicFramePr>
        <xdr:cNvPr id="3" name="Gráfico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9318</xdr:colOff>
      <xdr:row>28</xdr:row>
      <xdr:rowOff>207</xdr:rowOff>
    </xdr:from>
    <xdr:to>
      <xdr:col>20</xdr:col>
      <xdr:colOff>16565</xdr:colOff>
      <xdr:row>32</xdr:row>
      <xdr:rowOff>215348</xdr:rowOff>
    </xdr:to>
    <xdr:graphicFrame macro="">
      <xdr:nvGraphicFramePr>
        <xdr:cNvPr id="4" name="Gráfico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8873</xdr:colOff>
      <xdr:row>32</xdr:row>
      <xdr:rowOff>204107</xdr:rowOff>
    </xdr:from>
    <xdr:to>
      <xdr:col>20</xdr:col>
      <xdr:colOff>16565</xdr:colOff>
      <xdr:row>44</xdr:row>
      <xdr:rowOff>8282</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0.08025</cdr:x>
      <cdr:y>0.69241</cdr:y>
    </cdr:from>
    <cdr:to>
      <cdr:x>0.12873</cdr:x>
      <cdr:y>0.74137</cdr:y>
    </cdr:to>
    <cdr:sp macro="" textlink="">
      <cdr:nvSpPr>
        <cdr:cNvPr id="2" name="Rectángulo 1"/>
        <cdr:cNvSpPr/>
      </cdr:nvSpPr>
      <cdr:spPr>
        <a:xfrm xmlns:a="http://schemas.openxmlformats.org/drawingml/2006/main">
          <a:off x="381717" y="2127011"/>
          <a:ext cx="230605" cy="150395"/>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s-PE"/>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142875</xdr:colOff>
      <xdr:row>0</xdr:row>
      <xdr:rowOff>190499</xdr:rowOff>
    </xdr:from>
    <xdr:to>
      <xdr:col>4</xdr:col>
      <xdr:colOff>797034</xdr:colOff>
      <xdr:row>6</xdr:row>
      <xdr:rowOff>47624</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5ca69a1b-a449-4629-a172-82b7d57e7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142875" y="190499"/>
          <a:ext cx="3540234"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xdr:row>
      <xdr:rowOff>0</xdr:rowOff>
    </xdr:from>
    <xdr:to>
      <xdr:col>4</xdr:col>
      <xdr:colOff>304800</xdr:colOff>
      <xdr:row>4</xdr:row>
      <xdr:rowOff>114300</xdr:rowOff>
    </xdr:to>
    <xdr:sp macro="" textlink="">
      <xdr:nvSpPr>
        <xdr:cNvPr id="3073" name="AutoShape 1" descr="Imágenes de Papel Cuadriculado - Descarga gratuita en Freepik"/>
        <xdr:cNvSpPr>
          <a:spLocks noChangeAspect="1" noChangeArrowheads="1"/>
        </xdr:cNvSpPr>
      </xdr:nvSpPr>
      <xdr:spPr bwMode="auto">
        <a:xfrm>
          <a:off x="3086100" y="5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xdr:col>
      <xdr:colOff>347382</xdr:colOff>
      <xdr:row>6</xdr:row>
      <xdr:rowOff>11207</xdr:rowOff>
    </xdr:from>
    <xdr:to>
      <xdr:col>4</xdr:col>
      <xdr:colOff>347382</xdr:colOff>
      <xdr:row>68</xdr:row>
      <xdr:rowOff>136072</xdr:rowOff>
    </xdr:to>
    <xdr:cxnSp macro="">
      <xdr:nvCxnSpPr>
        <xdr:cNvPr id="4" name="Conector recto 3"/>
        <xdr:cNvCxnSpPr/>
      </xdr:nvCxnSpPr>
      <xdr:spPr>
        <a:xfrm flipV="1">
          <a:off x="3436203" y="1154207"/>
          <a:ext cx="0" cy="11976686"/>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678095</xdr:colOff>
      <xdr:row>6</xdr:row>
      <xdr:rowOff>11207</xdr:rowOff>
    </xdr:from>
    <xdr:to>
      <xdr:col>4</xdr:col>
      <xdr:colOff>678095</xdr:colOff>
      <xdr:row>68</xdr:row>
      <xdr:rowOff>136072</xdr:rowOff>
    </xdr:to>
    <xdr:cxnSp macro="">
      <xdr:nvCxnSpPr>
        <xdr:cNvPr id="8" name="Conector recto 7"/>
        <xdr:cNvCxnSpPr/>
      </xdr:nvCxnSpPr>
      <xdr:spPr>
        <a:xfrm flipV="1">
          <a:off x="3767508"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1017682</xdr:colOff>
      <xdr:row>6</xdr:row>
      <xdr:rowOff>11207</xdr:rowOff>
    </xdr:from>
    <xdr:to>
      <xdr:col>4</xdr:col>
      <xdr:colOff>1017682</xdr:colOff>
      <xdr:row>68</xdr:row>
      <xdr:rowOff>136072</xdr:rowOff>
    </xdr:to>
    <xdr:cxnSp macro="">
      <xdr:nvCxnSpPr>
        <xdr:cNvPr id="9" name="Conector recto 8"/>
        <xdr:cNvCxnSpPr/>
      </xdr:nvCxnSpPr>
      <xdr:spPr>
        <a:xfrm flipV="1">
          <a:off x="4107095"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1332421</xdr:colOff>
      <xdr:row>6</xdr:row>
      <xdr:rowOff>11207</xdr:rowOff>
    </xdr:from>
    <xdr:to>
      <xdr:col>4</xdr:col>
      <xdr:colOff>1332421</xdr:colOff>
      <xdr:row>68</xdr:row>
      <xdr:rowOff>136072</xdr:rowOff>
    </xdr:to>
    <xdr:cxnSp macro="">
      <xdr:nvCxnSpPr>
        <xdr:cNvPr id="10" name="Conector recto 9"/>
        <xdr:cNvCxnSpPr/>
      </xdr:nvCxnSpPr>
      <xdr:spPr>
        <a:xfrm flipV="1">
          <a:off x="4421834"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1680291</xdr:colOff>
      <xdr:row>6</xdr:row>
      <xdr:rowOff>11207</xdr:rowOff>
    </xdr:from>
    <xdr:to>
      <xdr:col>4</xdr:col>
      <xdr:colOff>1680291</xdr:colOff>
      <xdr:row>68</xdr:row>
      <xdr:rowOff>136072</xdr:rowOff>
    </xdr:to>
    <xdr:cxnSp macro="">
      <xdr:nvCxnSpPr>
        <xdr:cNvPr id="11" name="Conector recto 10"/>
        <xdr:cNvCxnSpPr/>
      </xdr:nvCxnSpPr>
      <xdr:spPr>
        <a:xfrm flipV="1">
          <a:off x="4769704"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2003313</xdr:colOff>
      <xdr:row>6</xdr:row>
      <xdr:rowOff>11207</xdr:rowOff>
    </xdr:from>
    <xdr:to>
      <xdr:col>4</xdr:col>
      <xdr:colOff>2003313</xdr:colOff>
      <xdr:row>68</xdr:row>
      <xdr:rowOff>136072</xdr:rowOff>
    </xdr:to>
    <xdr:cxnSp macro="">
      <xdr:nvCxnSpPr>
        <xdr:cNvPr id="12" name="Conector recto 11"/>
        <xdr:cNvCxnSpPr/>
      </xdr:nvCxnSpPr>
      <xdr:spPr>
        <a:xfrm flipV="1">
          <a:off x="5092726"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2342900</xdr:colOff>
      <xdr:row>6</xdr:row>
      <xdr:rowOff>11207</xdr:rowOff>
    </xdr:from>
    <xdr:to>
      <xdr:col>4</xdr:col>
      <xdr:colOff>2342900</xdr:colOff>
      <xdr:row>68</xdr:row>
      <xdr:rowOff>136072</xdr:rowOff>
    </xdr:to>
    <xdr:cxnSp macro="">
      <xdr:nvCxnSpPr>
        <xdr:cNvPr id="13" name="Conector recto 12"/>
        <xdr:cNvCxnSpPr/>
      </xdr:nvCxnSpPr>
      <xdr:spPr>
        <a:xfrm flipV="1">
          <a:off x="5432313"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2674204</xdr:colOff>
      <xdr:row>6</xdr:row>
      <xdr:rowOff>11207</xdr:rowOff>
    </xdr:from>
    <xdr:to>
      <xdr:col>4</xdr:col>
      <xdr:colOff>2674204</xdr:colOff>
      <xdr:row>68</xdr:row>
      <xdr:rowOff>136072</xdr:rowOff>
    </xdr:to>
    <xdr:cxnSp macro="">
      <xdr:nvCxnSpPr>
        <xdr:cNvPr id="14" name="Conector recto 13"/>
        <xdr:cNvCxnSpPr/>
      </xdr:nvCxnSpPr>
      <xdr:spPr>
        <a:xfrm flipV="1">
          <a:off x="5758839" y="1154207"/>
          <a:ext cx="0" cy="11972500"/>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3005508</xdr:colOff>
      <xdr:row>6</xdr:row>
      <xdr:rowOff>11207</xdr:rowOff>
    </xdr:from>
    <xdr:to>
      <xdr:col>4</xdr:col>
      <xdr:colOff>3005508</xdr:colOff>
      <xdr:row>68</xdr:row>
      <xdr:rowOff>136072</xdr:rowOff>
    </xdr:to>
    <xdr:cxnSp macro="">
      <xdr:nvCxnSpPr>
        <xdr:cNvPr id="15" name="Conector recto 14"/>
        <xdr:cNvCxnSpPr/>
      </xdr:nvCxnSpPr>
      <xdr:spPr>
        <a:xfrm flipV="1">
          <a:off x="6094921" y="1154207"/>
          <a:ext cx="0" cy="11977278"/>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54885</xdr:colOff>
      <xdr:row>0</xdr:row>
      <xdr:rowOff>123340</xdr:rowOff>
    </xdr:from>
    <xdr:to>
      <xdr:col>20</xdr:col>
      <xdr:colOff>89071</xdr:colOff>
      <xdr:row>7</xdr:row>
      <xdr:rowOff>95506</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04d92bb2-75bb-4bd0-9b44-fef737a30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771581" y="123340"/>
          <a:ext cx="4175490" cy="1313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83857</xdr:colOff>
      <xdr:row>15</xdr:row>
      <xdr:rowOff>214429</xdr:rowOff>
    </xdr:from>
    <xdr:to>
      <xdr:col>20</xdr:col>
      <xdr:colOff>83344</xdr:colOff>
      <xdr:row>27</xdr:row>
      <xdr:rowOff>215348</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9318</xdr:colOff>
      <xdr:row>28</xdr:row>
      <xdr:rowOff>207</xdr:rowOff>
    </xdr:from>
    <xdr:to>
      <xdr:col>20</xdr:col>
      <xdr:colOff>0</xdr:colOff>
      <xdr:row>32</xdr:row>
      <xdr:rowOff>215348</xdr:rowOff>
    </xdr:to>
    <xdr:graphicFrame macro="">
      <xdr:nvGraphicFramePr>
        <xdr:cNvPr id="8" name="Gráfico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8873</xdr:colOff>
      <xdr:row>32</xdr:row>
      <xdr:rowOff>204107</xdr:rowOff>
    </xdr:from>
    <xdr:to>
      <xdr:col>20</xdr:col>
      <xdr:colOff>0</xdr:colOff>
      <xdr:row>44</xdr:row>
      <xdr:rowOff>8282</xdr:rowOff>
    </xdr:to>
    <xdr:graphicFrame macro="">
      <xdr:nvGraphicFramePr>
        <xdr:cNvPr id="6" name="Gráfico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0.08025</cdr:x>
      <cdr:y>0.69241</cdr:y>
    </cdr:from>
    <cdr:to>
      <cdr:x>0.12873</cdr:x>
      <cdr:y>0.74137</cdr:y>
    </cdr:to>
    <cdr:sp macro="" textlink="">
      <cdr:nvSpPr>
        <cdr:cNvPr id="2" name="Rectángulo 1"/>
        <cdr:cNvSpPr/>
      </cdr:nvSpPr>
      <cdr:spPr>
        <a:xfrm xmlns:a="http://schemas.openxmlformats.org/drawingml/2006/main">
          <a:off x="381717" y="2127011"/>
          <a:ext cx="230605" cy="150395"/>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s-PE"/>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222102</xdr:colOff>
      <xdr:row>5</xdr:row>
      <xdr:rowOff>24674</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3e28dc5b-72b7-4f5c-aa60-3af0b57618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0" y="190500"/>
          <a:ext cx="2784327" cy="786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84139</xdr:colOff>
      <xdr:row>0</xdr:row>
      <xdr:rowOff>7937</xdr:rowOff>
    </xdr:from>
    <xdr:to>
      <xdr:col>4</xdr:col>
      <xdr:colOff>163868</xdr:colOff>
      <xdr:row>8</xdr:row>
      <xdr:rowOff>38099</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04d92bb2-75bb-4bd0-9b44-fef737a30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84139" y="7937"/>
          <a:ext cx="3310292" cy="105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361951</xdr:colOff>
      <xdr:row>0</xdr:row>
      <xdr:rowOff>0</xdr:rowOff>
    </xdr:from>
    <xdr:to>
      <xdr:col>6</xdr:col>
      <xdr:colOff>624243</xdr:colOff>
      <xdr:row>8</xdr:row>
      <xdr:rowOff>38100</xdr:rowOff>
    </xdr:to>
    <xdr:pic>
      <xdr:nvPicPr>
        <xdr:cNvPr id="2" name="Picture 1" descr="Resultado de imagen para millon IV logo">
          <a:extLst>
            <a:ext uri="{FF2B5EF4-FFF2-40B4-BE49-F238E27FC236}">
              <a16:creationId xmlns="" xmlns:r="http://schemas.openxmlformats.org/officeDocument/2006/relationships" xmlns:a14="http://schemas.microsoft.com/office/drawing/2010/main" xmlns:a16="http://schemas.microsoft.com/office/drawing/2014/main" xmlns:id="{04d92bb2-75bb-4bd0-9b44-fef737a30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066926" y="0"/>
          <a:ext cx="3310292"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BB209"/>
  <sheetViews>
    <sheetView zoomScale="154" zoomScaleNormal="154" workbookViewId="0">
      <selection activeCell="D51" sqref="D51"/>
    </sheetView>
  </sheetViews>
  <sheetFormatPr baseColWidth="10" defaultColWidth="9.140625" defaultRowHeight="15" x14ac:dyDescent="0.25"/>
  <cols>
    <col min="1" max="1" width="5" style="116" customWidth="1"/>
    <col min="2" max="2" width="74" style="122" customWidth="1"/>
    <col min="3" max="3" width="4" style="116" bestFit="1" customWidth="1"/>
    <col min="4" max="5" width="3.7109375" style="116" customWidth="1"/>
    <col min="6" max="33" width="1.42578125" style="113" hidden="1" customWidth="1"/>
    <col min="34" max="42" width="4.7109375" style="113" hidden="1" customWidth="1"/>
    <col min="43" max="54" width="4.7109375" style="116" hidden="1" customWidth="1"/>
    <col min="55" max="68" width="0" style="116" hidden="1" customWidth="1"/>
    <col min="69" max="16384" width="9.140625" style="116"/>
  </cols>
  <sheetData>
    <row r="1" spans="1:36" s="113" customFormat="1" x14ac:dyDescent="0.25">
      <c r="B1" s="117"/>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row>
    <row r="2" spans="1:36" s="113" customFormat="1" x14ac:dyDescent="0.25">
      <c r="B2" s="117"/>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row>
    <row r="3" spans="1:36" s="113" customFormat="1" x14ac:dyDescent="0.25">
      <c r="B3" s="117"/>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row>
    <row r="4" spans="1:36" s="113" customFormat="1" x14ac:dyDescent="0.25">
      <c r="B4" s="117"/>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row>
    <row r="5" spans="1:36" s="113" customFormat="1" x14ac:dyDescent="0.25">
      <c r="B5" s="117"/>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row>
    <row r="6" spans="1:36" s="113" customFormat="1" x14ac:dyDescent="0.25">
      <c r="B6" s="117"/>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row>
    <row r="7" spans="1:36" s="113" customFormat="1" x14ac:dyDescent="0.25">
      <c r="B7" s="117"/>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row>
    <row r="8" spans="1:36" s="113" customFormat="1" x14ac:dyDescent="0.25">
      <c r="B8" s="117"/>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row>
    <row r="9" spans="1:36" s="113" customFormat="1" ht="30.75" customHeight="1" x14ac:dyDescent="0.25">
      <c r="B9" s="118" t="s">
        <v>439</v>
      </c>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spans="1:36" s="113" customFormat="1" ht="18.75" x14ac:dyDescent="0.25">
      <c r="B10" s="119"/>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row>
    <row r="11" spans="1:36" s="113" customFormat="1" ht="143.25" customHeight="1" x14ac:dyDescent="0.25">
      <c r="A11" s="130" t="s">
        <v>195</v>
      </c>
      <c r="B11" s="130"/>
      <c r="C11" s="130"/>
      <c r="D11" s="130"/>
      <c r="E11" s="13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row>
    <row r="12" spans="1:36" s="113" customFormat="1" ht="15.75" thickBot="1" x14ac:dyDescent="0.3">
      <c r="A12" s="128" t="s">
        <v>192</v>
      </c>
      <c r="B12" s="129"/>
      <c r="C12" s="112"/>
      <c r="D12" s="17" t="s">
        <v>193</v>
      </c>
      <c r="E12" s="18" t="s">
        <v>194</v>
      </c>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row>
    <row r="13" spans="1:36" ht="15.75" thickBot="1" x14ac:dyDescent="0.3">
      <c r="A13" s="19">
        <v>1</v>
      </c>
      <c r="B13" s="120" t="s">
        <v>3</v>
      </c>
      <c r="C13" s="19">
        <v>1</v>
      </c>
      <c r="D13" s="114"/>
      <c r="E13" s="115">
        <v>1</v>
      </c>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v>1</v>
      </c>
      <c r="AH13" s="20"/>
      <c r="AI13" s="20"/>
      <c r="AJ13" s="20"/>
    </row>
    <row r="14" spans="1:36" ht="15.75" thickBot="1" x14ac:dyDescent="0.3">
      <c r="A14" s="19">
        <v>2</v>
      </c>
      <c r="B14" s="120" t="s">
        <v>4</v>
      </c>
      <c r="C14" s="19">
        <v>2</v>
      </c>
      <c r="D14" s="114">
        <v>1</v>
      </c>
      <c r="E14" s="115"/>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row>
    <row r="15" spans="1:36" ht="15.75" thickBot="1" x14ac:dyDescent="0.3">
      <c r="A15" s="19">
        <v>3</v>
      </c>
      <c r="B15" s="120" t="s">
        <v>5</v>
      </c>
      <c r="C15" s="19">
        <v>3</v>
      </c>
      <c r="D15" s="114"/>
      <c r="E15" s="115">
        <v>1</v>
      </c>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row>
    <row r="16" spans="1:36" ht="15.75" thickBot="1" x14ac:dyDescent="0.3">
      <c r="A16" s="19">
        <v>4</v>
      </c>
      <c r="B16" s="120" t="s">
        <v>6</v>
      </c>
      <c r="C16" s="19">
        <v>4</v>
      </c>
      <c r="D16" s="114"/>
      <c r="E16" s="115">
        <v>1</v>
      </c>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row>
    <row r="17" spans="1:36" ht="15.75" thickBot="1" x14ac:dyDescent="0.3">
      <c r="A17" s="19">
        <v>5</v>
      </c>
      <c r="B17" s="120" t="s">
        <v>7</v>
      </c>
      <c r="C17" s="19">
        <v>5</v>
      </c>
      <c r="D17" s="114"/>
      <c r="E17" s="115">
        <v>1</v>
      </c>
      <c r="F17" s="20">
        <f>(2*(D18+D27+D55+D102+D131+D151+D161+D192)+D29+D36+D42+D82+D104+E166+D202)</f>
        <v>6</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ht="15.75" thickBot="1" x14ac:dyDescent="0.3">
      <c r="A18" s="19">
        <v>6</v>
      </c>
      <c r="B18" s="120" t="s">
        <v>8</v>
      </c>
      <c r="C18" s="19">
        <v>6</v>
      </c>
      <c r="D18" s="114"/>
      <c r="E18" s="115">
        <v>1</v>
      </c>
      <c r="F18" s="20">
        <f>(2*(D17+D24+D38+D111+D147+D207)+(D35+D36+D58+D64+E79+D104+D105+D124+E166+D190+D196+D205))</f>
        <v>1</v>
      </c>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spans="1:36" ht="15.75" thickBot="1" x14ac:dyDescent="0.3">
      <c r="A19" s="19">
        <v>7</v>
      </c>
      <c r="B19" s="120" t="s">
        <v>9</v>
      </c>
      <c r="C19" s="19">
        <v>7</v>
      </c>
      <c r="D19" s="114"/>
      <c r="E19" s="115">
        <v>1</v>
      </c>
      <c r="F19" s="20">
        <f>(2*(D35+D63+D83+D105+D123+D181+D187+D196+D205)+(D29+D34+D51+E65+D71+D82+D102+D138+D182+D190))</f>
        <v>6</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spans="1:36" ht="15.75" thickBot="1" x14ac:dyDescent="0.3">
      <c r="A20" s="19">
        <v>8</v>
      </c>
      <c r="B20" s="120" t="s">
        <v>10</v>
      </c>
      <c r="C20" s="19">
        <v>8</v>
      </c>
      <c r="D20" s="114">
        <v>1</v>
      </c>
      <c r="E20" s="115"/>
      <c r="F20" s="20">
        <f>(2*(D16+D54+D72+D89+D121+D145+D174+D185+D206)+(D17+D35+E79+D84+D187))</f>
        <v>6</v>
      </c>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row>
    <row r="21" spans="1:36" ht="15.75" thickBot="1" x14ac:dyDescent="0.3">
      <c r="A21" s="19">
        <v>9</v>
      </c>
      <c r="B21" s="121" t="s">
        <v>254</v>
      </c>
      <c r="C21" s="19">
        <v>9</v>
      </c>
      <c r="D21" s="114"/>
      <c r="E21" s="115">
        <v>1</v>
      </c>
      <c r="F21" s="20">
        <f>(2*(D22+D42+D58+D96+D129+D166+D183)+E18+D20+E27+E36+E38+D87+E151+D167+E190+E207)</f>
        <v>15</v>
      </c>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row>
    <row r="22" spans="1:36" ht="15.75" thickBot="1" x14ac:dyDescent="0.3">
      <c r="A22" s="19">
        <v>10</v>
      </c>
      <c r="B22" s="120" t="s">
        <v>11</v>
      </c>
      <c r="C22" s="19">
        <v>10</v>
      </c>
      <c r="D22" s="114"/>
      <c r="E22" s="115">
        <v>1</v>
      </c>
      <c r="F22" s="20">
        <f>(2*(D20+D32+D65+D87+D141+D167+D186+D197)+(E38+D42+D58+D79+D96+E132+D154+D166+D190))</f>
        <v>22</v>
      </c>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row>
    <row r="23" spans="1:36" ht="30.75" thickBot="1" x14ac:dyDescent="0.3">
      <c r="A23" s="19">
        <v>11</v>
      </c>
      <c r="B23" s="120" t="s">
        <v>12</v>
      </c>
      <c r="C23" s="19">
        <v>11</v>
      </c>
      <c r="D23" s="114"/>
      <c r="E23" s="115">
        <v>1</v>
      </c>
      <c r="F23" s="20">
        <f>(2*(D41+D50+D66+D79+D99+D118+D144+D154+D171+D201)+(D22+D31+D95+D129+D183+D203))</f>
        <v>6</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row>
    <row r="24" spans="1:36" ht="30.75" thickBot="1" x14ac:dyDescent="0.3">
      <c r="A24" s="19">
        <v>12</v>
      </c>
      <c r="B24" s="120" t="s">
        <v>0</v>
      </c>
      <c r="C24" s="19">
        <v>12</v>
      </c>
      <c r="D24" s="114"/>
      <c r="E24" s="115">
        <v>1</v>
      </c>
      <c r="F24" s="20">
        <f>(2*(D23+D31+D77+D95+D159+D195+D203)+(D48+D50+E60+D117+D164+E170+D171))</f>
        <v>1</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row>
    <row r="25" spans="1:36" ht="15.75" thickBot="1" x14ac:dyDescent="0.3">
      <c r="A25" s="19">
        <v>13</v>
      </c>
      <c r="B25" s="120" t="s">
        <v>13</v>
      </c>
      <c r="C25" s="19">
        <v>13</v>
      </c>
      <c r="D25" s="114"/>
      <c r="E25" s="115">
        <v>1</v>
      </c>
      <c r="F25" s="20">
        <f>(2*(D21+D62+D78+D109+D115+D127+D153+D164)+(D23+D28+D33+D86+D157+D184))</f>
        <v>1</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row>
    <row r="26" spans="1:36" ht="15.75" thickBot="1" x14ac:dyDescent="0.3">
      <c r="A26" s="19">
        <v>14</v>
      </c>
      <c r="B26" s="120" t="s">
        <v>14</v>
      </c>
      <c r="C26" s="19">
        <v>14</v>
      </c>
      <c r="D26" s="114"/>
      <c r="E26" s="115">
        <v>1</v>
      </c>
      <c r="F26" s="20">
        <f>(2*(D14+D47+D60+D75+D85+D140+D152+D170+D191+D200)+(E95+E159+E164))</f>
        <v>13</v>
      </c>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row>
    <row r="27" spans="1:36" ht="15.75" thickBot="1" x14ac:dyDescent="0.3">
      <c r="A27" s="19">
        <v>15</v>
      </c>
      <c r="B27" s="120" t="s">
        <v>15</v>
      </c>
      <c r="C27" s="19">
        <v>15</v>
      </c>
      <c r="D27" s="114">
        <v>1</v>
      </c>
      <c r="E27" s="115"/>
      <c r="F27" s="20">
        <f>(2*(D29+D44+D94+D108+D134+D149+D179+D199)+(D33+D49+D64+D91+D100+D109+D112+D180+D184+D196))</f>
        <v>9</v>
      </c>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row>
    <row r="28" spans="1:36" ht="15.75" thickBot="1" x14ac:dyDescent="0.3">
      <c r="A28" s="19">
        <v>16</v>
      </c>
      <c r="B28" s="120" t="s">
        <v>16</v>
      </c>
      <c r="C28" s="19">
        <v>16</v>
      </c>
      <c r="D28" s="114"/>
      <c r="E28" s="115">
        <v>1</v>
      </c>
      <c r="F28" s="20">
        <f>(2*(D51+D71+D97+D112+D138+D178+D204)+(D16+D24+E32+D35+D82+E87+D105+D168+D176+D190+D207))</f>
        <v>5</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row>
    <row r="29" spans="1:36" ht="15.75" thickBot="1" x14ac:dyDescent="0.3">
      <c r="A29" s="19">
        <v>17</v>
      </c>
      <c r="B29" s="120" t="s">
        <v>17</v>
      </c>
      <c r="C29" s="19">
        <v>17</v>
      </c>
      <c r="D29" s="114"/>
      <c r="E29" s="115">
        <v>1</v>
      </c>
      <c r="F29" s="20">
        <f>(2*(D25+D36+D56+D104+D124+D168+D177+D202)+(D30+D70+D82+D102+D105+D133+D135+D138+D160+D175+D179+D184+D207))</f>
        <v>2</v>
      </c>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row>
    <row r="30" spans="1:36" ht="30.75" thickBot="1" x14ac:dyDescent="0.3">
      <c r="A30" s="19">
        <v>18</v>
      </c>
      <c r="B30" s="120" t="s">
        <v>18</v>
      </c>
      <c r="C30" s="19">
        <v>18</v>
      </c>
      <c r="D30" s="114"/>
      <c r="E30" s="115">
        <v>1</v>
      </c>
      <c r="F30" s="20">
        <f>(2*(D28+D30+D49+D82+D146+D176+D190)+(D16+D71+D92+D94+D105+D112+D123+D138+D149+D168+D178+D204+D205))</f>
        <v>6</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row>
    <row r="31" spans="1:36" ht="15.75" thickBot="1" x14ac:dyDescent="0.3">
      <c r="A31" s="19">
        <v>19</v>
      </c>
      <c r="B31" s="120" t="s">
        <v>1</v>
      </c>
      <c r="C31" s="19">
        <v>19</v>
      </c>
      <c r="D31" s="114"/>
      <c r="E31" s="115">
        <v>1</v>
      </c>
      <c r="F31" s="20">
        <f>(2*(D33+D64+D91+D100+D116+D148+D165+D184)+(D25+D36+D80+D108+D160+D179+D192+D207))</f>
        <v>9</v>
      </c>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36" ht="15.75" thickBot="1" x14ac:dyDescent="0.3">
      <c r="A32" s="19">
        <v>20</v>
      </c>
      <c r="B32" s="120" t="s">
        <v>19</v>
      </c>
      <c r="C32" s="19">
        <v>20</v>
      </c>
      <c r="D32" s="114">
        <v>1</v>
      </c>
      <c r="E32" s="115"/>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row>
    <row r="33" spans="1:36" ht="30.75" thickBot="1" x14ac:dyDescent="0.3">
      <c r="A33" s="19">
        <v>21</v>
      </c>
      <c r="B33" s="120" t="s">
        <v>20</v>
      </c>
      <c r="C33" s="19">
        <v>21</v>
      </c>
      <c r="D33" s="114">
        <v>1</v>
      </c>
      <c r="E33" s="115"/>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row>
    <row r="34" spans="1:36" ht="15.75" thickBot="1" x14ac:dyDescent="0.3">
      <c r="A34" s="19">
        <v>22</v>
      </c>
      <c r="B34" s="120" t="s">
        <v>21</v>
      </c>
      <c r="C34" s="19">
        <v>22</v>
      </c>
      <c r="D34" s="114"/>
      <c r="E34" s="115">
        <v>1</v>
      </c>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row>
    <row r="35" spans="1:36" ht="15.75" thickBot="1" x14ac:dyDescent="0.3">
      <c r="A35" s="19">
        <v>23</v>
      </c>
      <c r="B35" s="120" t="s">
        <v>22</v>
      </c>
      <c r="C35" s="19">
        <v>23</v>
      </c>
      <c r="D35" s="114"/>
      <c r="E35" s="115">
        <v>1</v>
      </c>
      <c r="F35" s="20">
        <f>(2*(D45+D84+D101+D125+D135+D155)+(D43+D53+D56+D63+D103+D120+D121))</f>
        <v>2</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row>
    <row r="36" spans="1:36" ht="15.75" thickBot="1" x14ac:dyDescent="0.3">
      <c r="A36" s="19">
        <v>24</v>
      </c>
      <c r="B36" s="120" t="s">
        <v>23</v>
      </c>
      <c r="C36" s="19">
        <v>24</v>
      </c>
      <c r="D36" s="114"/>
      <c r="E36" s="115">
        <v>1</v>
      </c>
      <c r="F36" s="20">
        <f>(2*(D19+D40+D53+D132+D158)+(D13+E32+D69+D125+D130))</f>
        <v>0</v>
      </c>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row>
    <row r="37" spans="1:36" ht="15.75" thickBot="1" x14ac:dyDescent="0.3">
      <c r="A37" s="19">
        <v>25</v>
      </c>
      <c r="B37" s="120" t="s">
        <v>24</v>
      </c>
      <c r="C37" s="19">
        <v>25</v>
      </c>
      <c r="D37" s="114"/>
      <c r="E37" s="115">
        <v>1</v>
      </c>
      <c r="F37" s="20">
        <f>(2*(D15+D39+D68+D120+D175+D189)+(D49+D62+D66+D94+D95+D117+D167))</f>
        <v>3</v>
      </c>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row>
    <row r="38" spans="1:36" ht="15.75" thickBot="1" x14ac:dyDescent="0.3">
      <c r="A38" s="19">
        <v>26</v>
      </c>
      <c r="B38" s="120" t="s">
        <v>25</v>
      </c>
      <c r="C38" s="19">
        <v>26</v>
      </c>
      <c r="D38" s="114"/>
      <c r="E38" s="115">
        <v>1</v>
      </c>
      <c r="F38" s="20">
        <f>(2*(D26+D46+D76+D130+D163+D182)+(D29+D40+D51+D63+D83+E87+D89+D97+D105+D113+D123+D126+D132+D190+D205))</f>
        <v>6</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row>
    <row r="39" spans="1:36" ht="15.75" thickBot="1" x14ac:dyDescent="0.3">
      <c r="A39" s="19">
        <v>27</v>
      </c>
      <c r="B39" s="120" t="s">
        <v>26</v>
      </c>
      <c r="C39" s="19">
        <v>27</v>
      </c>
      <c r="D39" s="114"/>
      <c r="E39" s="115">
        <v>1</v>
      </c>
      <c r="F39" s="20">
        <f>(2*(D37+D57+D106+D142+D173)+(D77+D95+D138))</f>
        <v>0</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row>
    <row r="40" spans="1:36" ht="15.75" thickBot="1" x14ac:dyDescent="0.3">
      <c r="A40" s="19">
        <v>28</v>
      </c>
      <c r="B40" s="120" t="s">
        <v>2</v>
      </c>
      <c r="C40" s="19">
        <v>28</v>
      </c>
      <c r="D40" s="114"/>
      <c r="E40" s="115">
        <v>1</v>
      </c>
      <c r="F40" s="20">
        <f>(2*(D48+D73+D93+D117+D128+D136+D156)+(D23+D77+D164+D170))</f>
        <v>0</v>
      </c>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row>
    <row r="41" spans="1:36" ht="15.75" thickBot="1" x14ac:dyDescent="0.3">
      <c r="A41" s="19">
        <v>29</v>
      </c>
      <c r="B41" s="120" t="s">
        <v>27</v>
      </c>
      <c r="C41" s="19">
        <v>29</v>
      </c>
      <c r="D41" s="114"/>
      <c r="E41" s="115">
        <v>1</v>
      </c>
      <c r="F41" s="20">
        <f>(2*(D74+D88+D103+D137+D162)+(D56+D59+D69+D86+D101+D122+D125+D155+D169))</f>
        <v>4</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row>
    <row r="42" spans="1:36" ht="15.75" thickBot="1" x14ac:dyDescent="0.3">
      <c r="A42" s="19">
        <v>30</v>
      </c>
      <c r="B42" s="120" t="s">
        <v>28</v>
      </c>
      <c r="C42" s="19">
        <v>30</v>
      </c>
      <c r="D42" s="114">
        <v>1</v>
      </c>
      <c r="E42" s="115"/>
      <c r="F42" s="20">
        <f>(2*(D45+D70+D92+D133+D143+D150)+(D30+D36+D64+D94+D101+D104+D107+D116+D135+D148+D160+D168+D177+D184+D194))</f>
        <v>6</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row>
    <row r="43" spans="1:36" ht="15.75" thickBot="1" x14ac:dyDescent="0.3">
      <c r="A43" s="19">
        <v>31</v>
      </c>
      <c r="B43" s="120" t="s">
        <v>29</v>
      </c>
      <c r="C43" s="19">
        <v>31</v>
      </c>
      <c r="D43" s="114"/>
      <c r="E43" s="115">
        <v>1</v>
      </c>
      <c r="F43" s="20">
        <f>(2*(D13+D34+D69+D90+D113+D119+D126)+(D40+D53+D71+D76+D82+D92+D123+D130+D132+D182))</f>
        <v>6</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row>
    <row r="44" spans="1:36" ht="15.75" thickBot="1" x14ac:dyDescent="0.3">
      <c r="A44" s="19">
        <v>32</v>
      </c>
      <c r="B44" s="120" t="s">
        <v>30</v>
      </c>
      <c r="C44" s="19">
        <v>32</v>
      </c>
      <c r="D44" s="114">
        <v>1</v>
      </c>
      <c r="E44" s="115"/>
      <c r="F44" s="20">
        <f>(2*(D80+D107+D139+D160+D194)+(D25+D66+D91+D100+D124+D133+D148+D184+D201))</f>
        <v>2</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row>
    <row r="45" spans="1:36" ht="15.75" thickBot="1" x14ac:dyDescent="0.3">
      <c r="A45" s="19">
        <v>33</v>
      </c>
      <c r="B45" s="120" t="s">
        <v>31</v>
      </c>
      <c r="C45" s="19">
        <v>33</v>
      </c>
      <c r="D45" s="114">
        <v>1</v>
      </c>
      <c r="E45" s="115"/>
      <c r="F45" s="20" t="s">
        <v>282</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row>
    <row r="46" spans="1:36" ht="30.75" thickBot="1" x14ac:dyDescent="0.3">
      <c r="A46" s="19">
        <v>34</v>
      </c>
      <c r="B46" s="120" t="s">
        <v>32</v>
      </c>
      <c r="C46" s="19">
        <v>34</v>
      </c>
      <c r="D46" s="114"/>
      <c r="E46" s="115">
        <v>1</v>
      </c>
      <c r="F46" s="20">
        <f>D61+D110+D172</f>
        <v>1</v>
      </c>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row>
    <row r="47" spans="1:36" ht="15.75" thickBot="1" x14ac:dyDescent="0.3">
      <c r="A47" s="19">
        <v>35</v>
      </c>
      <c r="B47" s="120" t="s">
        <v>33</v>
      </c>
      <c r="C47" s="19">
        <v>35</v>
      </c>
      <c r="D47" s="114">
        <v>1</v>
      </c>
      <c r="E47" s="115"/>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row>
    <row r="48" spans="1:36" ht="15.75" thickBot="1" x14ac:dyDescent="0.3">
      <c r="A48" s="19">
        <v>36</v>
      </c>
      <c r="B48" s="120" t="s">
        <v>34</v>
      </c>
      <c r="C48" s="19">
        <v>36</v>
      </c>
      <c r="D48" s="114"/>
      <c r="E48" s="115">
        <v>1</v>
      </c>
      <c r="F48" s="126" t="s">
        <v>256</v>
      </c>
      <c r="G48" s="127"/>
      <c r="H48" s="125" t="s">
        <v>257</v>
      </c>
      <c r="I48" s="125"/>
      <c r="J48" s="125" t="s">
        <v>258</v>
      </c>
      <c r="K48" s="125"/>
      <c r="L48" s="125" t="s">
        <v>259</v>
      </c>
      <c r="M48" s="125"/>
      <c r="N48" s="125" t="s">
        <v>260</v>
      </c>
      <c r="O48" s="125"/>
      <c r="P48" s="125" t="s">
        <v>261</v>
      </c>
      <c r="Q48" s="125"/>
      <c r="R48" s="125" t="s">
        <v>262</v>
      </c>
      <c r="S48" s="125"/>
      <c r="T48" s="125" t="s">
        <v>263</v>
      </c>
      <c r="U48" s="125"/>
      <c r="V48" s="125" t="s">
        <v>264</v>
      </c>
      <c r="W48" s="125"/>
      <c r="X48" s="20"/>
      <c r="Y48" s="20"/>
      <c r="Z48" s="20"/>
      <c r="AA48" s="20"/>
      <c r="AB48" s="20"/>
      <c r="AC48" s="20"/>
      <c r="AD48" s="20"/>
      <c r="AE48" s="20"/>
      <c r="AF48" s="20"/>
      <c r="AG48" s="20"/>
      <c r="AH48" s="20"/>
      <c r="AI48" s="20"/>
      <c r="AJ48" s="20"/>
    </row>
    <row r="49" spans="1:36" ht="15.75" thickBot="1" x14ac:dyDescent="0.3">
      <c r="A49" s="19">
        <v>37</v>
      </c>
      <c r="B49" s="120" t="s">
        <v>35</v>
      </c>
      <c r="C49" s="19">
        <v>37</v>
      </c>
      <c r="D49" s="114"/>
      <c r="E49" s="115">
        <v>1</v>
      </c>
      <c r="F49" s="20">
        <f>D34+D182</f>
        <v>1</v>
      </c>
      <c r="G49" s="20">
        <f>E34+E182</f>
        <v>1</v>
      </c>
      <c r="H49" s="20">
        <f>D137+D155</f>
        <v>1</v>
      </c>
      <c r="I49" s="20">
        <f>E137+E155</f>
        <v>1</v>
      </c>
      <c r="J49" s="20">
        <f>D59+D169</f>
        <v>2</v>
      </c>
      <c r="K49" s="20">
        <f>E59+E169</f>
        <v>0</v>
      </c>
      <c r="L49" s="20">
        <f>D52+D193</f>
        <v>0</v>
      </c>
      <c r="M49" s="20">
        <f>E52+E193</f>
        <v>2</v>
      </c>
      <c r="N49" s="20">
        <f>D93+D128</f>
        <v>0</v>
      </c>
      <c r="O49" s="20">
        <f>E93+E128</f>
        <v>2</v>
      </c>
      <c r="P49" s="20">
        <f>D97+D138</f>
        <v>1</v>
      </c>
      <c r="Q49" s="20">
        <f>E97+E138</f>
        <v>1</v>
      </c>
      <c r="R49" s="20">
        <f>D88+D162</f>
        <v>0</v>
      </c>
      <c r="S49" s="20">
        <f>E88+E162</f>
        <v>2</v>
      </c>
      <c r="T49" s="20">
        <f>D37+D106</f>
        <v>0</v>
      </c>
      <c r="U49" s="20">
        <f>E37+E106</f>
        <v>2</v>
      </c>
      <c r="V49" s="20">
        <f>D56+D133</f>
        <v>0</v>
      </c>
      <c r="W49" s="20">
        <f>E56+E133</f>
        <v>2</v>
      </c>
      <c r="X49" s="20"/>
      <c r="Y49" s="20"/>
      <c r="Z49" s="20"/>
      <c r="AA49" s="20"/>
      <c r="AB49" s="20"/>
      <c r="AC49" s="20"/>
      <c r="AD49" s="20"/>
      <c r="AE49" s="20"/>
      <c r="AF49" s="20"/>
      <c r="AG49" s="20"/>
      <c r="AH49" s="20"/>
      <c r="AI49" s="20"/>
      <c r="AJ49" s="20"/>
    </row>
    <row r="50" spans="1:36" ht="15.75" thickBot="1" x14ac:dyDescent="0.3">
      <c r="A50" s="19">
        <v>38</v>
      </c>
      <c r="B50" s="120" t="s">
        <v>36</v>
      </c>
      <c r="C50" s="19">
        <v>38</v>
      </c>
      <c r="D50" s="114"/>
      <c r="E50" s="115">
        <v>1</v>
      </c>
      <c r="F50" s="20">
        <f>IF(F49=1,1,0)</f>
        <v>1</v>
      </c>
      <c r="G50" s="20">
        <f t="shared" ref="G50:W50" si="0">IF(G49=1,1,0)</f>
        <v>1</v>
      </c>
      <c r="H50" s="20">
        <f t="shared" si="0"/>
        <v>1</v>
      </c>
      <c r="I50" s="20">
        <f t="shared" si="0"/>
        <v>1</v>
      </c>
      <c r="J50" s="20">
        <f t="shared" si="0"/>
        <v>0</v>
      </c>
      <c r="K50" s="20">
        <f t="shared" si="0"/>
        <v>0</v>
      </c>
      <c r="L50" s="20">
        <f t="shared" si="0"/>
        <v>0</v>
      </c>
      <c r="M50" s="20">
        <f t="shared" si="0"/>
        <v>0</v>
      </c>
      <c r="N50" s="20">
        <f t="shared" si="0"/>
        <v>0</v>
      </c>
      <c r="O50" s="20">
        <f t="shared" si="0"/>
        <v>0</v>
      </c>
      <c r="P50" s="20">
        <f t="shared" si="0"/>
        <v>1</v>
      </c>
      <c r="Q50" s="20">
        <f t="shared" si="0"/>
        <v>1</v>
      </c>
      <c r="R50" s="20">
        <f t="shared" si="0"/>
        <v>0</v>
      </c>
      <c r="S50" s="20">
        <f t="shared" si="0"/>
        <v>0</v>
      </c>
      <c r="T50" s="20">
        <f t="shared" si="0"/>
        <v>0</v>
      </c>
      <c r="U50" s="20">
        <f t="shared" si="0"/>
        <v>0</v>
      </c>
      <c r="V50" s="20">
        <f t="shared" si="0"/>
        <v>0</v>
      </c>
      <c r="W50" s="20">
        <f t="shared" si="0"/>
        <v>0</v>
      </c>
      <c r="X50" s="20"/>
      <c r="Y50" s="20"/>
      <c r="Z50" s="20"/>
      <c r="AA50" s="20"/>
      <c r="AB50" s="20"/>
      <c r="AC50" s="20"/>
      <c r="AD50" s="20"/>
      <c r="AE50" s="20"/>
      <c r="AF50" s="20"/>
      <c r="AG50" s="20"/>
      <c r="AH50" s="20"/>
      <c r="AI50" s="20"/>
      <c r="AJ50" s="20"/>
    </row>
    <row r="51" spans="1:36" ht="15.75" thickBot="1" x14ac:dyDescent="0.3">
      <c r="A51" s="19">
        <v>39</v>
      </c>
      <c r="B51" s="120" t="s">
        <v>37</v>
      </c>
      <c r="C51" s="19">
        <v>39</v>
      </c>
      <c r="D51" s="114"/>
      <c r="E51" s="115">
        <v>1</v>
      </c>
      <c r="F51" s="20">
        <f>((F50+G50)/2)</f>
        <v>1</v>
      </c>
      <c r="G51" s="20"/>
      <c r="H51" s="20">
        <f>((H50+I50)/2)</f>
        <v>1</v>
      </c>
      <c r="I51" s="20"/>
      <c r="J51" s="20">
        <f>((J50+K50)/2)</f>
        <v>0</v>
      </c>
      <c r="K51" s="20"/>
      <c r="L51" s="20">
        <f>((L50+M50)/2)</f>
        <v>0</v>
      </c>
      <c r="M51" s="20"/>
      <c r="N51" s="20">
        <f>((N50+O50)/2)</f>
        <v>0</v>
      </c>
      <c r="O51" s="20"/>
      <c r="P51" s="20">
        <f>((P50+Q50)/2)</f>
        <v>1</v>
      </c>
      <c r="Q51" s="20"/>
      <c r="R51" s="20">
        <f>((R50+S50)/2)</f>
        <v>0</v>
      </c>
      <c r="S51" s="20"/>
      <c r="T51" s="20">
        <f>((T50+U50)/2)</f>
        <v>0</v>
      </c>
      <c r="U51" s="20"/>
      <c r="V51" s="20">
        <f>((V50+W50)/2)</f>
        <v>0</v>
      </c>
      <c r="W51" s="20"/>
      <c r="X51" s="20"/>
      <c r="Y51" s="20"/>
      <c r="Z51" s="20"/>
      <c r="AA51" s="20"/>
      <c r="AB51" s="20"/>
      <c r="AC51" s="20"/>
      <c r="AD51" s="20"/>
      <c r="AE51" s="20"/>
      <c r="AF51" s="20"/>
      <c r="AG51" s="20"/>
      <c r="AH51" s="20"/>
      <c r="AI51" s="20"/>
      <c r="AJ51" s="20"/>
    </row>
    <row r="52" spans="1:36" ht="15.75" thickBot="1" x14ac:dyDescent="0.3">
      <c r="A52" s="19">
        <v>40</v>
      </c>
      <c r="B52" s="120" t="s">
        <v>38</v>
      </c>
      <c r="C52" s="19">
        <v>40</v>
      </c>
      <c r="D52" s="114"/>
      <c r="E52" s="115">
        <v>1</v>
      </c>
      <c r="F52" s="126" t="s">
        <v>265</v>
      </c>
      <c r="G52" s="127"/>
      <c r="H52" s="125" t="s">
        <v>266</v>
      </c>
      <c r="I52" s="125"/>
      <c r="J52" s="125" t="s">
        <v>267</v>
      </c>
      <c r="K52" s="125"/>
      <c r="L52" s="125" t="s">
        <v>268</v>
      </c>
      <c r="M52" s="125"/>
      <c r="N52" s="125" t="s">
        <v>269</v>
      </c>
      <c r="O52" s="125"/>
      <c r="P52" s="125" t="s">
        <v>270</v>
      </c>
      <c r="Q52" s="125"/>
      <c r="R52" s="125" t="s">
        <v>271</v>
      </c>
      <c r="S52" s="125"/>
      <c r="T52" s="125" t="s">
        <v>272</v>
      </c>
      <c r="U52" s="125"/>
      <c r="V52" s="125" t="s">
        <v>273</v>
      </c>
      <c r="W52" s="125"/>
      <c r="X52" s="20"/>
      <c r="Y52" s="20"/>
      <c r="Z52" s="20"/>
      <c r="AA52" s="20"/>
      <c r="AB52" s="20"/>
      <c r="AC52" s="20"/>
      <c r="AD52" s="20"/>
      <c r="AE52" s="20"/>
      <c r="AF52" s="20"/>
      <c r="AG52" s="20"/>
      <c r="AH52" s="20"/>
      <c r="AI52" s="20"/>
      <c r="AJ52" s="20"/>
    </row>
    <row r="53" spans="1:36" ht="18" customHeight="1" thickBot="1" x14ac:dyDescent="0.3">
      <c r="A53" s="19">
        <v>41</v>
      </c>
      <c r="B53" s="120" t="s">
        <v>39</v>
      </c>
      <c r="C53" s="19">
        <v>41</v>
      </c>
      <c r="D53" s="114"/>
      <c r="E53" s="115">
        <v>1</v>
      </c>
      <c r="F53" s="20">
        <f>D51+D71</f>
        <v>0</v>
      </c>
      <c r="G53" s="20">
        <f>E51+E71</f>
        <v>2</v>
      </c>
      <c r="H53" s="20">
        <f>D29+D196</f>
        <v>0</v>
      </c>
      <c r="I53" s="20">
        <f>E29+E196</f>
        <v>2</v>
      </c>
      <c r="J53" s="20">
        <f>D45+D101</f>
        <v>1</v>
      </c>
      <c r="K53" s="20">
        <f>E45+E101</f>
        <v>1</v>
      </c>
      <c r="L53" s="20">
        <f>D90+D176</f>
        <v>0</v>
      </c>
      <c r="M53" s="20">
        <f>E90+E176</f>
        <v>2</v>
      </c>
      <c r="N53" s="20">
        <f>D50+D183</f>
        <v>0</v>
      </c>
      <c r="O53" s="20">
        <f>E50+E183</f>
        <v>2</v>
      </c>
      <c r="P53" s="20">
        <f>D86+D127</f>
        <v>0</v>
      </c>
      <c r="Q53" s="20">
        <f>E86+E127</f>
        <v>2</v>
      </c>
      <c r="R53" s="20">
        <f>D58+D166</f>
        <v>1</v>
      </c>
      <c r="S53" s="20">
        <f>E58+E166</f>
        <v>1</v>
      </c>
      <c r="T53" s="20">
        <f>D38+D111</f>
        <v>0</v>
      </c>
      <c r="U53" s="20">
        <f>E38+E111</f>
        <v>2</v>
      </c>
      <c r="V53" s="20">
        <f>D32+D186</f>
        <v>2</v>
      </c>
      <c r="W53" s="20">
        <f>E32+E186</f>
        <v>0</v>
      </c>
      <c r="X53" s="20"/>
      <c r="Y53" s="20"/>
      <c r="Z53" s="20"/>
      <c r="AA53" s="20"/>
      <c r="AB53" s="20"/>
      <c r="AC53" s="20"/>
      <c r="AD53" s="20"/>
      <c r="AE53" s="20"/>
      <c r="AF53" s="20"/>
      <c r="AG53" s="20"/>
      <c r="AH53" s="20"/>
      <c r="AI53" s="20"/>
      <c r="AJ53" s="20"/>
    </row>
    <row r="54" spans="1:36" ht="15.75" thickBot="1" x14ac:dyDescent="0.3">
      <c r="A54" s="19">
        <v>42</v>
      </c>
      <c r="B54" s="120" t="s">
        <v>40</v>
      </c>
      <c r="C54" s="19">
        <v>42</v>
      </c>
      <c r="D54" s="114"/>
      <c r="E54" s="115">
        <v>1</v>
      </c>
      <c r="F54" s="20">
        <f>IF(F53=1,1,0)</f>
        <v>0</v>
      </c>
      <c r="G54" s="20">
        <f t="shared" ref="G54:W54" si="1">IF(G53=1,1,0)</f>
        <v>0</v>
      </c>
      <c r="H54" s="20">
        <f t="shared" si="1"/>
        <v>0</v>
      </c>
      <c r="I54" s="20">
        <f t="shared" si="1"/>
        <v>0</v>
      </c>
      <c r="J54" s="20">
        <f t="shared" si="1"/>
        <v>1</v>
      </c>
      <c r="K54" s="20">
        <f t="shared" si="1"/>
        <v>1</v>
      </c>
      <c r="L54" s="20">
        <f t="shared" si="1"/>
        <v>0</v>
      </c>
      <c r="M54" s="20">
        <f t="shared" si="1"/>
        <v>0</v>
      </c>
      <c r="N54" s="20">
        <f t="shared" si="1"/>
        <v>0</v>
      </c>
      <c r="O54" s="20">
        <f t="shared" si="1"/>
        <v>0</v>
      </c>
      <c r="P54" s="20">
        <f t="shared" si="1"/>
        <v>0</v>
      </c>
      <c r="Q54" s="20">
        <f t="shared" si="1"/>
        <v>0</v>
      </c>
      <c r="R54" s="20">
        <f t="shared" si="1"/>
        <v>1</v>
      </c>
      <c r="S54" s="20">
        <f t="shared" si="1"/>
        <v>1</v>
      </c>
      <c r="T54" s="20">
        <f t="shared" si="1"/>
        <v>0</v>
      </c>
      <c r="U54" s="20">
        <f t="shared" si="1"/>
        <v>0</v>
      </c>
      <c r="V54" s="20">
        <f t="shared" si="1"/>
        <v>0</v>
      </c>
      <c r="W54" s="20">
        <f t="shared" si="1"/>
        <v>0</v>
      </c>
      <c r="X54" s="20"/>
      <c r="Y54" s="20"/>
      <c r="Z54" s="20"/>
      <c r="AA54" s="20"/>
      <c r="AB54" s="20"/>
      <c r="AC54" s="20"/>
      <c r="AD54" s="20"/>
      <c r="AE54" s="20"/>
      <c r="AF54" s="20"/>
      <c r="AG54" s="20"/>
      <c r="AH54" s="20"/>
      <c r="AI54" s="20"/>
      <c r="AJ54" s="20"/>
    </row>
    <row r="55" spans="1:36" ht="15.75" thickBot="1" x14ac:dyDescent="0.3">
      <c r="A55" s="19">
        <v>43</v>
      </c>
      <c r="B55" s="120" t="s">
        <v>41</v>
      </c>
      <c r="C55" s="19">
        <v>43</v>
      </c>
      <c r="D55" s="114">
        <v>1</v>
      </c>
      <c r="E55" s="115"/>
      <c r="F55" s="20">
        <f>((F54+G54)/2)</f>
        <v>0</v>
      </c>
      <c r="G55" s="20"/>
      <c r="H55" s="20">
        <f>((H54+I54)/2)</f>
        <v>0</v>
      </c>
      <c r="I55" s="20"/>
      <c r="J55" s="20">
        <f>((J54+K54)/2)</f>
        <v>1</v>
      </c>
      <c r="K55" s="20"/>
      <c r="L55" s="20">
        <f>((L54+M54)/2)</f>
        <v>0</v>
      </c>
      <c r="M55" s="20"/>
      <c r="N55" s="20">
        <f>((N54+O54)/2)</f>
        <v>0</v>
      </c>
      <c r="O55" s="20"/>
      <c r="P55" s="20">
        <f>((P54+Q54)/2)</f>
        <v>0</v>
      </c>
      <c r="Q55" s="20"/>
      <c r="R55" s="20">
        <f>((R54+S54)/2)</f>
        <v>1</v>
      </c>
      <c r="S55" s="20"/>
      <c r="T55" s="20">
        <f>((T54+U54)/2)</f>
        <v>0</v>
      </c>
      <c r="U55" s="20"/>
      <c r="V55" s="20">
        <f>((V54+W54)/2)</f>
        <v>0</v>
      </c>
      <c r="W55" s="20"/>
      <c r="X55" s="20"/>
      <c r="Y55" s="20"/>
      <c r="Z55" s="20"/>
      <c r="AA55" s="20"/>
      <c r="AB55" s="20"/>
      <c r="AC55" s="20"/>
      <c r="AD55" s="20"/>
      <c r="AE55" s="20"/>
      <c r="AF55" s="20"/>
      <c r="AG55" s="20"/>
      <c r="AH55" s="20"/>
      <c r="AI55" s="20"/>
      <c r="AJ55" s="20"/>
    </row>
    <row r="56" spans="1:36" ht="15.75" thickBot="1" x14ac:dyDescent="0.3">
      <c r="A56" s="19">
        <v>44</v>
      </c>
      <c r="B56" s="120" t="s">
        <v>42</v>
      </c>
      <c r="C56" s="19">
        <v>44</v>
      </c>
      <c r="D56" s="114"/>
      <c r="E56" s="115">
        <v>1</v>
      </c>
      <c r="F56" s="126" t="s">
        <v>274</v>
      </c>
      <c r="G56" s="127"/>
      <c r="H56" s="125" t="s">
        <v>275</v>
      </c>
      <c r="I56" s="125"/>
      <c r="J56" s="125" t="s">
        <v>276</v>
      </c>
      <c r="K56" s="125"/>
      <c r="L56" s="125" t="s">
        <v>277</v>
      </c>
      <c r="M56" s="125"/>
      <c r="N56" s="125" t="s">
        <v>278</v>
      </c>
      <c r="O56" s="125"/>
      <c r="P56" s="125" t="s">
        <v>279</v>
      </c>
      <c r="Q56" s="125"/>
      <c r="R56" s="125" t="s">
        <v>280</v>
      </c>
      <c r="S56" s="125"/>
      <c r="T56" s="20"/>
      <c r="U56" s="20"/>
      <c r="V56" s="20"/>
      <c r="W56" s="20"/>
      <c r="X56" s="20"/>
      <c r="Y56" s="20"/>
      <c r="Z56" s="20"/>
      <c r="AA56" s="20"/>
      <c r="AB56" s="20"/>
      <c r="AC56" s="20"/>
      <c r="AD56" s="20"/>
      <c r="AE56" s="20"/>
      <c r="AF56" s="20"/>
      <c r="AG56" s="20"/>
      <c r="AH56" s="20"/>
      <c r="AI56" s="20"/>
      <c r="AJ56" s="20"/>
    </row>
    <row r="57" spans="1:36" ht="15.75" thickBot="1" x14ac:dyDescent="0.3">
      <c r="A57" s="19">
        <v>45</v>
      </c>
      <c r="B57" s="120" t="s">
        <v>43</v>
      </c>
      <c r="C57" s="19">
        <v>45</v>
      </c>
      <c r="D57" s="114"/>
      <c r="E57" s="115">
        <v>1</v>
      </c>
      <c r="F57" s="20">
        <f>D44+D134</f>
        <v>1</v>
      </c>
      <c r="G57" s="20">
        <f>E44+E134</f>
        <v>1</v>
      </c>
      <c r="H57" s="20">
        <f>D25+D124</f>
        <v>0</v>
      </c>
      <c r="I57" s="20">
        <f>E25+E124</f>
        <v>2</v>
      </c>
      <c r="J57" s="20">
        <f>D67+D122</f>
        <v>0</v>
      </c>
      <c r="K57" s="20">
        <f>E67+E122</f>
        <v>2</v>
      </c>
      <c r="L57" s="20">
        <f>D185+D206</f>
        <v>2</v>
      </c>
      <c r="M57" s="20">
        <f>E185+E206</f>
        <v>0</v>
      </c>
      <c r="N57" s="20">
        <f>D107+D139</f>
        <v>0</v>
      </c>
      <c r="O57" s="20">
        <f>E107+E139</f>
        <v>2</v>
      </c>
      <c r="P57" s="20">
        <f>D72+D174</f>
        <v>0</v>
      </c>
      <c r="Q57" s="20">
        <f>E72+E174</f>
        <v>2</v>
      </c>
      <c r="R57" s="20">
        <f>D27+D161</f>
        <v>1</v>
      </c>
      <c r="S57" s="20">
        <f>E27+E161</f>
        <v>1</v>
      </c>
      <c r="T57" s="20"/>
      <c r="U57" s="20"/>
      <c r="V57" s="20"/>
      <c r="W57" s="20"/>
      <c r="X57" s="20"/>
      <c r="Y57" s="20"/>
      <c r="Z57" s="20"/>
      <c r="AA57" s="20"/>
      <c r="AB57" s="20"/>
      <c r="AC57" s="20"/>
      <c r="AD57" s="20"/>
      <c r="AE57" s="20"/>
      <c r="AF57" s="20"/>
      <c r="AG57" s="20"/>
      <c r="AH57" s="20"/>
      <c r="AI57" s="20"/>
      <c r="AJ57" s="20"/>
    </row>
    <row r="58" spans="1:36" ht="15.75" thickBot="1" x14ac:dyDescent="0.3">
      <c r="A58" s="19">
        <v>46</v>
      </c>
      <c r="B58" s="120" t="s">
        <v>44</v>
      </c>
      <c r="C58" s="19">
        <v>46</v>
      </c>
      <c r="D58" s="114"/>
      <c r="E58" s="115">
        <v>1</v>
      </c>
      <c r="F58" s="20">
        <f>IF(F57=1,1,0)</f>
        <v>1</v>
      </c>
      <c r="G58" s="20">
        <f t="shared" ref="G58:S58" si="2">IF(G57=1,1,0)</f>
        <v>1</v>
      </c>
      <c r="H58" s="20">
        <f t="shared" si="2"/>
        <v>0</v>
      </c>
      <c r="I58" s="20">
        <f t="shared" si="2"/>
        <v>0</v>
      </c>
      <c r="J58" s="20">
        <f t="shared" si="2"/>
        <v>0</v>
      </c>
      <c r="K58" s="20">
        <f t="shared" si="2"/>
        <v>0</v>
      </c>
      <c r="L58" s="20">
        <f t="shared" si="2"/>
        <v>0</v>
      </c>
      <c r="M58" s="20">
        <f t="shared" si="2"/>
        <v>0</v>
      </c>
      <c r="N58" s="20">
        <f t="shared" si="2"/>
        <v>0</v>
      </c>
      <c r="O58" s="20">
        <f t="shared" si="2"/>
        <v>0</v>
      </c>
      <c r="P58" s="20">
        <f t="shared" si="2"/>
        <v>0</v>
      </c>
      <c r="Q58" s="20">
        <f t="shared" si="2"/>
        <v>0</v>
      </c>
      <c r="R58" s="20">
        <f t="shared" si="2"/>
        <v>1</v>
      </c>
      <c r="S58" s="20">
        <f t="shared" si="2"/>
        <v>1</v>
      </c>
      <c r="T58" s="20"/>
      <c r="U58" s="20"/>
      <c r="V58" s="20"/>
      <c r="W58" s="20"/>
      <c r="X58" s="20"/>
      <c r="Y58" s="20"/>
      <c r="Z58" s="20"/>
      <c r="AA58" s="20"/>
      <c r="AB58" s="20"/>
      <c r="AC58" s="20"/>
      <c r="AD58" s="20"/>
      <c r="AE58" s="20"/>
      <c r="AF58" s="20"/>
      <c r="AG58" s="20"/>
      <c r="AH58" s="20"/>
      <c r="AI58" s="20"/>
      <c r="AJ58" s="20"/>
    </row>
    <row r="59" spans="1:36" ht="15.75" thickBot="1" x14ac:dyDescent="0.3">
      <c r="A59" s="19">
        <v>47</v>
      </c>
      <c r="B59" s="120" t="s">
        <v>45</v>
      </c>
      <c r="C59" s="19">
        <v>47</v>
      </c>
      <c r="D59" s="114">
        <v>1</v>
      </c>
      <c r="E59" s="115"/>
      <c r="F59" s="20">
        <f>((F58+G58)/2)</f>
        <v>1</v>
      </c>
      <c r="G59" s="20"/>
      <c r="H59" s="20">
        <f>((H58+I58)/2)</f>
        <v>0</v>
      </c>
      <c r="I59" s="20"/>
      <c r="J59" s="20">
        <f>((J58+K58)/2)</f>
        <v>0</v>
      </c>
      <c r="K59" s="20"/>
      <c r="L59" s="20">
        <f>((L58+M58)/2)</f>
        <v>0</v>
      </c>
      <c r="M59" s="20"/>
      <c r="N59" s="20">
        <f>((N58+O58)/2)</f>
        <v>0</v>
      </c>
      <c r="O59" s="20"/>
      <c r="P59" s="20">
        <f>((P58+Q58)/2)</f>
        <v>0</v>
      </c>
      <c r="Q59" s="20"/>
      <c r="R59" s="20">
        <f>((R58+S58)/2)</f>
        <v>1</v>
      </c>
      <c r="S59" s="20"/>
      <c r="T59" s="20"/>
      <c r="U59" s="20"/>
      <c r="V59" s="20"/>
      <c r="W59" s="20"/>
      <c r="X59" s="20"/>
      <c r="Y59" s="20"/>
      <c r="Z59" s="20"/>
      <c r="AA59" s="20"/>
      <c r="AB59" s="20"/>
      <c r="AC59" s="20"/>
      <c r="AD59" s="20"/>
      <c r="AE59" s="20"/>
      <c r="AF59" s="20"/>
      <c r="AG59" s="20"/>
      <c r="AH59" s="20"/>
      <c r="AI59" s="20"/>
      <c r="AJ59" s="20"/>
    </row>
    <row r="60" spans="1:36" ht="15.75" thickBot="1" x14ac:dyDescent="0.3">
      <c r="A60" s="19">
        <v>48</v>
      </c>
      <c r="B60" s="120" t="s">
        <v>46</v>
      </c>
      <c r="C60" s="19">
        <v>48</v>
      </c>
      <c r="D60" s="114">
        <v>1</v>
      </c>
      <c r="E60" s="115"/>
      <c r="F60" s="20"/>
      <c r="G60" s="20"/>
      <c r="H60" s="20"/>
      <c r="I60" s="20"/>
      <c r="J60" s="20" t="s">
        <v>281</v>
      </c>
      <c r="K60" s="20">
        <f>(SUM(F51:W51)+SUM(F55:W55)+SUM(F59:S59))</f>
        <v>7</v>
      </c>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row>
    <row r="61" spans="1:36" ht="15.75" thickBot="1" x14ac:dyDescent="0.3">
      <c r="A61" s="19">
        <v>49</v>
      </c>
      <c r="B61" s="120" t="s">
        <v>47</v>
      </c>
      <c r="C61" s="19">
        <v>49</v>
      </c>
      <c r="D61" s="114"/>
      <c r="E61" s="115">
        <v>1</v>
      </c>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row>
    <row r="62" spans="1:36" ht="15.75" thickBot="1" x14ac:dyDescent="0.3">
      <c r="A62" s="19">
        <v>50</v>
      </c>
      <c r="B62" s="120" t="s">
        <v>48</v>
      </c>
      <c r="C62" s="19">
        <v>50</v>
      </c>
      <c r="D62" s="114"/>
      <c r="E62" s="115">
        <v>1</v>
      </c>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row>
    <row r="63" spans="1:36" ht="15.75" thickBot="1" x14ac:dyDescent="0.3">
      <c r="A63" s="19">
        <v>51</v>
      </c>
      <c r="B63" s="120" t="s">
        <v>49</v>
      </c>
      <c r="C63" s="19">
        <v>51</v>
      </c>
      <c r="D63" s="114"/>
      <c r="E63" s="115">
        <v>1</v>
      </c>
      <c r="F63" s="20"/>
      <c r="G63" s="20">
        <f>E14+D16+E17+D18+E20+D21+D22+D23+D24+D27+D28+D29+D31+E32+D33+D34+D35+D36+D38+E41+E42+D44+D47+D48+D49+D50+D51+D54+D55+E58+E60+D62+D63+D64+E65+D66+D71+D72+E75+D77+D78+E79+D82+D83+D84+E85+D86+E87+D89+D91+D94+D95+E96+D97+D99+D100+D102+D104+D105+D108+D109+D111+D112+D115+D117+D118+D121+D123+D124+D127+D129+D131+D132+D134+D138+D140+D141+D144+D145+D147+D149+D151+D152+D153+E154+D157+D159+D161+D164+E166+E167+D168+E170+D171+D174+D176+D178+D179+D180+D181+D182+D183+D184+D185+E186+D187+D190+D191+D192+D195+D196+E197+D199+D200+D201+D202+D203+D204+D205+D206+D207</f>
        <v>26</v>
      </c>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row>
    <row r="64" spans="1:36" ht="30.75" thickBot="1" x14ac:dyDescent="0.3">
      <c r="A64" s="19">
        <v>52</v>
      </c>
      <c r="B64" s="120" t="s">
        <v>50</v>
      </c>
      <c r="C64" s="19">
        <v>52</v>
      </c>
      <c r="D64" s="114">
        <v>1</v>
      </c>
      <c r="E64" s="115"/>
      <c r="F64" s="20"/>
      <c r="G64" s="20">
        <f>D14+D15+D20+D32+D42+D58+E77+D79+E83+D85+D87+D96+E102+E111+D166+D167+D170+E171+E174+E185+D186+D197+E199+D200</f>
        <v>18</v>
      </c>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row>
    <row r="65" spans="1:36" ht="15.75" thickBot="1" x14ac:dyDescent="0.3">
      <c r="A65" s="19">
        <v>53</v>
      </c>
      <c r="B65" s="120" t="s">
        <v>51</v>
      </c>
      <c r="C65" s="19">
        <v>53</v>
      </c>
      <c r="D65" s="114">
        <v>1</v>
      </c>
      <c r="E65" s="115"/>
      <c r="F65" s="20"/>
      <c r="G65" s="20">
        <f>D13+D26+D28+D29+D30+D34+D40+D43+D44+D46+D49+D51+D53+D56+D63+D76+D86+D90+D92+D113+D119+D121+D124+D125+D132+D163+D176+D182+D190+D205</f>
        <v>4</v>
      </c>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row>
    <row r="66" spans="1:36" ht="15.75" thickBot="1" x14ac:dyDescent="0.3">
      <c r="A66" s="19">
        <v>54</v>
      </c>
      <c r="B66" s="120" t="s">
        <v>53</v>
      </c>
      <c r="C66" s="19">
        <v>54</v>
      </c>
      <c r="D66" s="114">
        <v>1</v>
      </c>
      <c r="E66" s="115"/>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row>
    <row r="67" spans="1:36" ht="15.75" thickBot="1" x14ac:dyDescent="0.3">
      <c r="A67" s="19">
        <v>55</v>
      </c>
      <c r="B67" s="120" t="s">
        <v>52</v>
      </c>
      <c r="C67" s="19">
        <v>55</v>
      </c>
      <c r="D67" s="114"/>
      <c r="E67" s="115">
        <v>1</v>
      </c>
      <c r="F67" s="20"/>
      <c r="G67" s="20">
        <v>1.1000000000000001</v>
      </c>
      <c r="H67" s="20" t="s">
        <v>285</v>
      </c>
      <c r="I67" s="20">
        <f>D24+D27+D36+D116+D161+E166+D192+E197+D202</f>
        <v>1</v>
      </c>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row>
    <row r="68" spans="1:36" ht="30.75" thickBot="1" x14ac:dyDescent="0.3">
      <c r="A68" s="19">
        <v>56</v>
      </c>
      <c r="B68" s="120" t="s">
        <v>54</v>
      </c>
      <c r="C68" s="19">
        <v>56</v>
      </c>
      <c r="D68" s="114"/>
      <c r="E68" s="115">
        <v>1</v>
      </c>
      <c r="F68" s="20"/>
      <c r="G68" s="20"/>
      <c r="H68" s="20" t="s">
        <v>286</v>
      </c>
      <c r="I68" s="20">
        <f>D38+E42+E58+E79+D111+D151+D187+D190+D207</f>
        <v>1</v>
      </c>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row>
    <row r="69" spans="1:36" ht="30.75" thickBot="1" x14ac:dyDescent="0.3">
      <c r="A69" s="19">
        <v>57</v>
      </c>
      <c r="B69" s="120" t="s">
        <v>55</v>
      </c>
      <c r="C69" s="19">
        <v>57</v>
      </c>
      <c r="D69" s="114"/>
      <c r="E69" s="115">
        <v>1</v>
      </c>
      <c r="F69" s="20"/>
      <c r="G69" s="20"/>
      <c r="H69" s="20" t="s">
        <v>287</v>
      </c>
      <c r="I69" s="20">
        <f>D18+D29+D55+D82+D102+D104+D123+D130+D131</f>
        <v>3</v>
      </c>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row>
    <row r="70" spans="1:36" ht="15.75" thickBot="1" x14ac:dyDescent="0.3">
      <c r="A70" s="19">
        <v>58</v>
      </c>
      <c r="B70" s="120" t="s">
        <v>56</v>
      </c>
      <c r="C70" s="19">
        <v>58</v>
      </c>
      <c r="D70" s="114"/>
      <c r="E70" s="115">
        <v>1</v>
      </c>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row>
    <row r="71" spans="1:36" ht="15.75" thickBot="1" x14ac:dyDescent="0.3">
      <c r="A71" s="19">
        <v>59</v>
      </c>
      <c r="B71" s="120" t="s">
        <v>57</v>
      </c>
      <c r="C71" s="19">
        <v>59</v>
      </c>
      <c r="D71" s="114"/>
      <c r="E71" s="115">
        <v>1</v>
      </c>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row>
    <row r="72" spans="1:36" ht="15.75" thickBot="1" x14ac:dyDescent="0.3">
      <c r="A72" s="19">
        <v>60</v>
      </c>
      <c r="B72" s="120" t="s">
        <v>58</v>
      </c>
      <c r="C72" s="19">
        <v>60</v>
      </c>
      <c r="D72" s="114"/>
      <c r="E72" s="115">
        <v>1</v>
      </c>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row>
    <row r="73" spans="1:36" ht="15.75" thickBot="1" x14ac:dyDescent="0.3">
      <c r="A73" s="19">
        <v>61</v>
      </c>
      <c r="B73" s="120" t="s">
        <v>59</v>
      </c>
      <c r="C73" s="19">
        <v>61</v>
      </c>
      <c r="D73" s="114"/>
      <c r="E73" s="115">
        <v>1</v>
      </c>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row>
    <row r="74" spans="1:36" ht="30.75" thickBot="1" x14ac:dyDescent="0.3">
      <c r="A74" s="19">
        <v>62</v>
      </c>
      <c r="B74" s="120" t="s">
        <v>60</v>
      </c>
      <c r="C74" s="19">
        <v>62</v>
      </c>
      <c r="D74" s="114"/>
      <c r="E74" s="115">
        <v>1</v>
      </c>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row>
    <row r="75" spans="1:36" ht="15.75" thickBot="1" x14ac:dyDescent="0.3">
      <c r="A75" s="19">
        <v>63</v>
      </c>
      <c r="B75" s="120" t="s">
        <v>61</v>
      </c>
      <c r="C75" s="19">
        <v>63</v>
      </c>
      <c r="D75" s="114">
        <v>1</v>
      </c>
      <c r="E75" s="115"/>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row>
    <row r="76" spans="1:36" ht="30.75" thickBot="1" x14ac:dyDescent="0.3">
      <c r="A76" s="19">
        <v>64</v>
      </c>
      <c r="B76" s="120" t="s">
        <v>62</v>
      </c>
      <c r="C76" s="19">
        <v>64</v>
      </c>
      <c r="D76" s="114"/>
      <c r="E76" s="115">
        <v>1</v>
      </c>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row>
    <row r="77" spans="1:36" ht="15.75" thickBot="1" x14ac:dyDescent="0.3">
      <c r="A77" s="19">
        <v>65</v>
      </c>
      <c r="B77" s="120" t="s">
        <v>63</v>
      </c>
      <c r="C77" s="19">
        <v>65</v>
      </c>
      <c r="D77" s="114"/>
      <c r="E77" s="115">
        <v>1</v>
      </c>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row>
    <row r="78" spans="1:36" ht="15.75" thickBot="1" x14ac:dyDescent="0.3">
      <c r="A78" s="19">
        <v>66</v>
      </c>
      <c r="B78" s="120" t="s">
        <v>79</v>
      </c>
      <c r="C78" s="19">
        <v>66</v>
      </c>
      <c r="D78" s="114"/>
      <c r="E78" s="115">
        <v>1</v>
      </c>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row>
    <row r="79" spans="1:36" ht="15.75" thickBot="1" x14ac:dyDescent="0.3">
      <c r="A79" s="19">
        <v>67</v>
      </c>
      <c r="B79" s="120" t="s">
        <v>78</v>
      </c>
      <c r="C79" s="19">
        <v>67</v>
      </c>
      <c r="D79" s="114">
        <v>1</v>
      </c>
      <c r="E79" s="115"/>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row>
    <row r="80" spans="1:36" ht="15.75" thickBot="1" x14ac:dyDescent="0.3">
      <c r="A80" s="19">
        <v>68</v>
      </c>
      <c r="B80" s="120" t="s">
        <v>77</v>
      </c>
      <c r="C80" s="19">
        <v>68</v>
      </c>
      <c r="D80" s="114"/>
      <c r="E80" s="115">
        <v>1</v>
      </c>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row>
    <row r="81" spans="1:36" ht="15.75" thickBot="1" x14ac:dyDescent="0.3">
      <c r="A81" s="19">
        <v>69</v>
      </c>
      <c r="B81" s="120" t="s">
        <v>76</v>
      </c>
      <c r="C81" s="19">
        <v>69</v>
      </c>
      <c r="D81" s="114"/>
      <c r="E81" s="115">
        <v>1</v>
      </c>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row>
    <row r="82" spans="1:36" ht="30.75" thickBot="1" x14ac:dyDescent="0.3">
      <c r="A82" s="19">
        <v>70</v>
      </c>
      <c r="B82" s="120" t="s">
        <v>75</v>
      </c>
      <c r="C82" s="19">
        <v>70</v>
      </c>
      <c r="D82" s="114">
        <v>1</v>
      </c>
      <c r="E82" s="115"/>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row>
    <row r="83" spans="1:36" ht="15.75" thickBot="1" x14ac:dyDescent="0.3">
      <c r="A83" s="19">
        <v>71</v>
      </c>
      <c r="B83" s="120" t="s">
        <v>74</v>
      </c>
      <c r="C83" s="19">
        <v>71</v>
      </c>
      <c r="D83" s="114">
        <v>1</v>
      </c>
      <c r="E83" s="115"/>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row>
    <row r="84" spans="1:36" ht="30.75" thickBot="1" x14ac:dyDescent="0.3">
      <c r="A84" s="19">
        <v>72</v>
      </c>
      <c r="B84" s="120" t="s">
        <v>73</v>
      </c>
      <c r="C84" s="19">
        <v>72</v>
      </c>
      <c r="D84" s="114"/>
      <c r="E84" s="115">
        <v>1</v>
      </c>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row>
    <row r="85" spans="1:36" ht="15.75" thickBot="1" x14ac:dyDescent="0.3">
      <c r="A85" s="19">
        <v>73</v>
      </c>
      <c r="B85" s="120" t="s">
        <v>72</v>
      </c>
      <c r="C85" s="19">
        <v>73</v>
      </c>
      <c r="D85" s="114">
        <v>1</v>
      </c>
      <c r="E85" s="115"/>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row>
    <row r="86" spans="1:36" ht="15.75" thickBot="1" x14ac:dyDescent="0.3">
      <c r="A86" s="19">
        <v>74</v>
      </c>
      <c r="B86" s="120" t="s">
        <v>71</v>
      </c>
      <c r="C86" s="19">
        <v>74</v>
      </c>
      <c r="D86" s="114"/>
      <c r="E86" s="115">
        <v>1</v>
      </c>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row>
    <row r="87" spans="1:36" ht="15.75" thickBot="1" x14ac:dyDescent="0.3">
      <c r="A87" s="19">
        <v>75</v>
      </c>
      <c r="B87" s="120" t="s">
        <v>70</v>
      </c>
      <c r="C87" s="19">
        <v>75</v>
      </c>
      <c r="D87" s="114">
        <v>1</v>
      </c>
      <c r="E87" s="115"/>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row>
    <row r="88" spans="1:36" ht="30.75" thickBot="1" x14ac:dyDescent="0.3">
      <c r="A88" s="19">
        <v>76</v>
      </c>
      <c r="B88" s="120" t="s">
        <v>69</v>
      </c>
      <c r="C88" s="19">
        <v>76</v>
      </c>
      <c r="D88" s="114"/>
      <c r="E88" s="115">
        <v>1</v>
      </c>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row>
    <row r="89" spans="1:36" ht="15.75" thickBot="1" x14ac:dyDescent="0.3">
      <c r="A89" s="19">
        <v>77</v>
      </c>
      <c r="B89" s="120" t="s">
        <v>68</v>
      </c>
      <c r="C89" s="19">
        <v>77</v>
      </c>
      <c r="D89" s="114"/>
      <c r="E89" s="115">
        <v>1</v>
      </c>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row>
    <row r="90" spans="1:36" ht="15.75" thickBot="1" x14ac:dyDescent="0.3">
      <c r="A90" s="19">
        <v>78</v>
      </c>
      <c r="B90" s="120" t="s">
        <v>67</v>
      </c>
      <c r="C90" s="19">
        <v>78</v>
      </c>
      <c r="D90" s="114"/>
      <c r="E90" s="115">
        <v>1</v>
      </c>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row>
    <row r="91" spans="1:36" ht="15.75" thickBot="1" x14ac:dyDescent="0.3">
      <c r="A91" s="19">
        <v>79</v>
      </c>
      <c r="B91" s="120" t="s">
        <v>66</v>
      </c>
      <c r="C91" s="19">
        <v>79</v>
      </c>
      <c r="D91" s="114"/>
      <c r="E91" s="115">
        <v>1</v>
      </c>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row>
    <row r="92" spans="1:36" ht="15.75" thickBot="1" x14ac:dyDescent="0.3">
      <c r="A92" s="19">
        <v>80</v>
      </c>
      <c r="B92" s="120" t="s">
        <v>65</v>
      </c>
      <c r="C92" s="19">
        <v>80</v>
      </c>
      <c r="D92" s="114">
        <v>1</v>
      </c>
      <c r="E92" s="115"/>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row>
    <row r="93" spans="1:36" ht="15.75" thickBot="1" x14ac:dyDescent="0.3">
      <c r="A93" s="19">
        <v>81</v>
      </c>
      <c r="B93" s="120" t="s">
        <v>64</v>
      </c>
      <c r="C93" s="19">
        <v>81</v>
      </c>
      <c r="D93" s="114"/>
      <c r="E93" s="115">
        <v>1</v>
      </c>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row>
    <row r="94" spans="1:36" ht="15.75" thickBot="1" x14ac:dyDescent="0.3">
      <c r="A94" s="19">
        <v>82</v>
      </c>
      <c r="B94" s="120" t="s">
        <v>80</v>
      </c>
      <c r="C94" s="19">
        <v>82</v>
      </c>
      <c r="D94" s="114">
        <v>1</v>
      </c>
      <c r="E94" s="115"/>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row>
    <row r="95" spans="1:36" ht="15.75" thickBot="1" x14ac:dyDescent="0.3">
      <c r="A95" s="19">
        <v>83</v>
      </c>
      <c r="B95" s="120" t="s">
        <v>81</v>
      </c>
      <c r="C95" s="19">
        <v>83</v>
      </c>
      <c r="D95" s="114"/>
      <c r="E95" s="115">
        <v>1</v>
      </c>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row>
    <row r="96" spans="1:36" ht="15.75" thickBot="1" x14ac:dyDescent="0.3">
      <c r="A96" s="19">
        <v>84</v>
      </c>
      <c r="B96" s="120" t="s">
        <v>82</v>
      </c>
      <c r="C96" s="19">
        <v>84</v>
      </c>
      <c r="D96" s="114">
        <v>1</v>
      </c>
      <c r="E96" s="115"/>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row>
    <row r="97" spans="1:36" ht="15.75" thickBot="1" x14ac:dyDescent="0.3">
      <c r="A97" s="19">
        <v>85</v>
      </c>
      <c r="B97" s="120" t="s">
        <v>83</v>
      </c>
      <c r="C97" s="19">
        <v>85</v>
      </c>
      <c r="D97" s="114">
        <v>1</v>
      </c>
      <c r="E97" s="115"/>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row>
    <row r="98" spans="1:36" ht="15.75" thickBot="1" x14ac:dyDescent="0.3">
      <c r="A98" s="19">
        <v>86</v>
      </c>
      <c r="B98" s="120" t="s">
        <v>84</v>
      </c>
      <c r="C98" s="19">
        <v>86</v>
      </c>
      <c r="D98" s="114"/>
      <c r="E98" s="115">
        <v>1</v>
      </c>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row>
    <row r="99" spans="1:36" ht="15.75" thickBot="1" x14ac:dyDescent="0.3">
      <c r="A99" s="19">
        <v>87</v>
      </c>
      <c r="B99" s="120" t="s">
        <v>85</v>
      </c>
      <c r="C99" s="19">
        <v>87</v>
      </c>
      <c r="D99" s="114"/>
      <c r="E99" s="115">
        <v>1</v>
      </c>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row>
    <row r="100" spans="1:36" ht="30.75" thickBot="1" x14ac:dyDescent="0.3">
      <c r="A100" s="19">
        <v>88</v>
      </c>
      <c r="B100" s="120" t="s">
        <v>86</v>
      </c>
      <c r="C100" s="19">
        <v>88</v>
      </c>
      <c r="D100" s="114">
        <v>1</v>
      </c>
      <c r="E100" s="115"/>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row>
    <row r="101" spans="1:36" ht="15.75" thickBot="1" x14ac:dyDescent="0.3">
      <c r="A101" s="19">
        <v>89</v>
      </c>
      <c r="B101" s="120" t="s">
        <v>87</v>
      </c>
      <c r="C101" s="19">
        <v>89</v>
      </c>
      <c r="D101" s="114"/>
      <c r="E101" s="115">
        <v>1</v>
      </c>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row>
    <row r="102" spans="1:36" ht="15.75" thickBot="1" x14ac:dyDescent="0.3">
      <c r="A102" s="19">
        <v>90</v>
      </c>
      <c r="B102" s="120" t="s">
        <v>88</v>
      </c>
      <c r="C102" s="19">
        <v>90</v>
      </c>
      <c r="D102" s="114"/>
      <c r="E102" s="115">
        <v>1</v>
      </c>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row>
    <row r="103" spans="1:36" ht="30.75" thickBot="1" x14ac:dyDescent="0.3">
      <c r="A103" s="19">
        <v>91</v>
      </c>
      <c r="B103" s="120" t="s">
        <v>89</v>
      </c>
      <c r="C103" s="19">
        <v>91</v>
      </c>
      <c r="D103" s="114"/>
      <c r="E103" s="115">
        <v>1</v>
      </c>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row>
    <row r="104" spans="1:36" ht="30.75" thickBot="1" x14ac:dyDescent="0.3">
      <c r="A104" s="19">
        <v>92</v>
      </c>
      <c r="B104" s="120" t="s">
        <v>90</v>
      </c>
      <c r="C104" s="19">
        <v>92</v>
      </c>
      <c r="D104" s="114"/>
      <c r="E104" s="115">
        <v>1</v>
      </c>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row>
    <row r="105" spans="1:36" ht="15.75" thickBot="1" x14ac:dyDescent="0.3">
      <c r="A105" s="19">
        <v>93</v>
      </c>
      <c r="B105" s="120" t="s">
        <v>91</v>
      </c>
      <c r="C105" s="19">
        <v>93</v>
      </c>
      <c r="D105" s="114"/>
      <c r="E105" s="115">
        <v>1</v>
      </c>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row>
    <row r="106" spans="1:36" ht="15.75" thickBot="1" x14ac:dyDescent="0.3">
      <c r="A106" s="19">
        <v>94</v>
      </c>
      <c r="B106" s="120" t="s">
        <v>92</v>
      </c>
      <c r="C106" s="19">
        <v>94</v>
      </c>
      <c r="D106" s="114"/>
      <c r="E106" s="115">
        <v>1</v>
      </c>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row>
    <row r="107" spans="1:36" ht="15.75" thickBot="1" x14ac:dyDescent="0.3">
      <c r="A107" s="19">
        <v>95</v>
      </c>
      <c r="B107" s="120" t="s">
        <v>93</v>
      </c>
      <c r="C107" s="19">
        <v>95</v>
      </c>
      <c r="D107" s="114"/>
      <c r="E107" s="115">
        <v>1</v>
      </c>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row>
    <row r="108" spans="1:36" ht="30.75" thickBot="1" x14ac:dyDescent="0.3">
      <c r="A108" s="19">
        <v>96</v>
      </c>
      <c r="B108" s="120" t="s">
        <v>94</v>
      </c>
      <c r="C108" s="19">
        <v>96</v>
      </c>
      <c r="D108" s="114"/>
      <c r="E108" s="115">
        <v>1</v>
      </c>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row>
    <row r="109" spans="1:36" ht="15.75" thickBot="1" x14ac:dyDescent="0.3">
      <c r="A109" s="19">
        <v>97</v>
      </c>
      <c r="B109" s="120" t="s">
        <v>95</v>
      </c>
      <c r="C109" s="19">
        <v>97</v>
      </c>
      <c r="D109" s="114"/>
      <c r="E109" s="115">
        <v>1</v>
      </c>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row>
    <row r="110" spans="1:36" ht="15.75" thickBot="1" x14ac:dyDescent="0.3">
      <c r="A110" s="19">
        <v>98</v>
      </c>
      <c r="B110" s="120" t="s">
        <v>96</v>
      </c>
      <c r="C110" s="19">
        <v>98</v>
      </c>
      <c r="D110" s="114">
        <v>1</v>
      </c>
      <c r="E110" s="115"/>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row>
    <row r="111" spans="1:36" ht="15.75" thickBot="1" x14ac:dyDescent="0.3">
      <c r="A111" s="19">
        <v>99</v>
      </c>
      <c r="B111" s="120" t="s">
        <v>97</v>
      </c>
      <c r="C111" s="19">
        <v>99</v>
      </c>
      <c r="D111" s="114"/>
      <c r="E111" s="115">
        <v>1</v>
      </c>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row>
    <row r="112" spans="1:36" ht="15.75" thickBot="1" x14ac:dyDescent="0.3">
      <c r="A112" s="19">
        <v>100</v>
      </c>
      <c r="B112" s="120" t="s">
        <v>98</v>
      </c>
      <c r="C112" s="19">
        <v>100</v>
      </c>
      <c r="D112" s="114"/>
      <c r="E112" s="115">
        <v>1</v>
      </c>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row>
    <row r="113" spans="1:36" ht="15.75" thickBot="1" x14ac:dyDescent="0.3">
      <c r="A113" s="19">
        <v>101</v>
      </c>
      <c r="B113" s="120" t="s">
        <v>99</v>
      </c>
      <c r="C113" s="19">
        <v>101</v>
      </c>
      <c r="D113" s="114">
        <v>1</v>
      </c>
      <c r="E113" s="115"/>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row>
    <row r="114" spans="1:36" ht="30.75" thickBot="1" x14ac:dyDescent="0.3">
      <c r="A114" s="19">
        <v>102</v>
      </c>
      <c r="B114" s="120" t="s">
        <v>100</v>
      </c>
      <c r="C114" s="19">
        <v>102</v>
      </c>
      <c r="D114" s="114"/>
      <c r="E114" s="115">
        <v>1</v>
      </c>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row>
    <row r="115" spans="1:36" ht="15.75" thickBot="1" x14ac:dyDescent="0.3">
      <c r="A115" s="19">
        <v>103</v>
      </c>
      <c r="B115" s="120" t="s">
        <v>101</v>
      </c>
      <c r="C115" s="19">
        <v>103</v>
      </c>
      <c r="D115" s="114"/>
      <c r="E115" s="115">
        <v>1</v>
      </c>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row>
    <row r="116" spans="1:36" ht="30.75" thickBot="1" x14ac:dyDescent="0.3">
      <c r="A116" s="19">
        <v>104</v>
      </c>
      <c r="B116" s="120" t="s">
        <v>102</v>
      </c>
      <c r="C116" s="19">
        <v>104</v>
      </c>
      <c r="D116" s="114"/>
      <c r="E116" s="115">
        <v>1</v>
      </c>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row>
    <row r="117" spans="1:36" ht="15.75" thickBot="1" x14ac:dyDescent="0.3">
      <c r="A117" s="19">
        <v>105</v>
      </c>
      <c r="B117" s="120" t="s">
        <v>103</v>
      </c>
      <c r="C117" s="19">
        <v>105</v>
      </c>
      <c r="D117" s="114"/>
      <c r="E117" s="115">
        <v>1</v>
      </c>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row>
    <row r="118" spans="1:36" ht="15.75" thickBot="1" x14ac:dyDescent="0.3">
      <c r="A118" s="19">
        <v>106</v>
      </c>
      <c r="B118" s="120" t="s">
        <v>104</v>
      </c>
      <c r="C118" s="19">
        <v>106</v>
      </c>
      <c r="D118" s="114"/>
      <c r="E118" s="115">
        <v>1</v>
      </c>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row>
    <row r="119" spans="1:36" ht="15.75" thickBot="1" x14ac:dyDescent="0.3">
      <c r="A119" s="19">
        <v>107</v>
      </c>
      <c r="B119" s="120" t="s">
        <v>105</v>
      </c>
      <c r="C119" s="19">
        <v>107</v>
      </c>
      <c r="D119" s="114"/>
      <c r="E119" s="115">
        <v>1</v>
      </c>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row>
    <row r="120" spans="1:36" ht="30.75" thickBot="1" x14ac:dyDescent="0.3">
      <c r="A120" s="19">
        <v>108</v>
      </c>
      <c r="B120" s="120" t="s">
        <v>106</v>
      </c>
      <c r="C120" s="19">
        <v>108</v>
      </c>
      <c r="D120" s="114"/>
      <c r="E120" s="115">
        <v>1</v>
      </c>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row>
    <row r="121" spans="1:36" ht="15.75" thickBot="1" x14ac:dyDescent="0.3">
      <c r="A121" s="19">
        <v>109</v>
      </c>
      <c r="B121" s="120" t="s">
        <v>107</v>
      </c>
      <c r="C121" s="19">
        <v>109</v>
      </c>
      <c r="D121" s="114"/>
      <c r="E121" s="115">
        <v>1</v>
      </c>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row>
    <row r="122" spans="1:36" ht="15.75" thickBot="1" x14ac:dyDescent="0.3">
      <c r="A122" s="19">
        <v>110</v>
      </c>
      <c r="B122" s="120" t="s">
        <v>108</v>
      </c>
      <c r="C122" s="19">
        <v>110</v>
      </c>
      <c r="D122" s="114"/>
      <c r="E122" s="115">
        <v>1</v>
      </c>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row>
    <row r="123" spans="1:36" ht="15.75" thickBot="1" x14ac:dyDescent="0.3">
      <c r="A123" s="19">
        <v>111</v>
      </c>
      <c r="B123" s="120" t="s">
        <v>109</v>
      </c>
      <c r="C123" s="19">
        <v>111</v>
      </c>
      <c r="D123" s="114">
        <v>1</v>
      </c>
      <c r="E123" s="115"/>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row>
    <row r="124" spans="1:36" ht="15.75" thickBot="1" x14ac:dyDescent="0.3">
      <c r="A124" s="19">
        <v>112</v>
      </c>
      <c r="B124" s="120" t="s">
        <v>110</v>
      </c>
      <c r="C124" s="19">
        <v>112</v>
      </c>
      <c r="D124" s="114"/>
      <c r="E124" s="115">
        <v>1</v>
      </c>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row>
    <row r="125" spans="1:36" ht="15.75" thickBot="1" x14ac:dyDescent="0.3">
      <c r="A125" s="19">
        <v>113</v>
      </c>
      <c r="B125" s="120" t="s">
        <v>111</v>
      </c>
      <c r="C125" s="19">
        <v>113</v>
      </c>
      <c r="D125" s="114"/>
      <c r="E125" s="115">
        <v>1</v>
      </c>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row>
    <row r="126" spans="1:36" ht="15.75" thickBot="1" x14ac:dyDescent="0.3">
      <c r="A126" s="19">
        <v>114</v>
      </c>
      <c r="B126" s="120" t="s">
        <v>112</v>
      </c>
      <c r="C126" s="19">
        <v>114</v>
      </c>
      <c r="D126" s="114"/>
      <c r="E126" s="115">
        <v>1</v>
      </c>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row>
    <row r="127" spans="1:36" ht="15.75" thickBot="1" x14ac:dyDescent="0.3">
      <c r="A127" s="19">
        <v>115</v>
      </c>
      <c r="B127" s="120" t="s">
        <v>113</v>
      </c>
      <c r="C127" s="19">
        <v>115</v>
      </c>
      <c r="D127" s="114"/>
      <c r="E127" s="115">
        <v>1</v>
      </c>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row>
    <row r="128" spans="1:36" ht="15.75" thickBot="1" x14ac:dyDescent="0.3">
      <c r="A128" s="19">
        <v>116</v>
      </c>
      <c r="B128" s="120" t="s">
        <v>114</v>
      </c>
      <c r="C128" s="19">
        <v>116</v>
      </c>
      <c r="D128" s="114"/>
      <c r="E128" s="115">
        <v>1</v>
      </c>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row>
    <row r="129" spans="1:36" ht="15.75" thickBot="1" x14ac:dyDescent="0.3">
      <c r="A129" s="19">
        <v>117</v>
      </c>
      <c r="B129" s="120" t="s">
        <v>115</v>
      </c>
      <c r="C129" s="19">
        <v>117</v>
      </c>
      <c r="D129" s="114"/>
      <c r="E129" s="115">
        <v>1</v>
      </c>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row>
    <row r="130" spans="1:36" ht="15.75" thickBot="1" x14ac:dyDescent="0.3">
      <c r="A130" s="19">
        <v>118</v>
      </c>
      <c r="B130" s="120" t="s">
        <v>116</v>
      </c>
      <c r="C130" s="19">
        <v>118</v>
      </c>
      <c r="D130" s="114"/>
      <c r="E130" s="115">
        <v>1</v>
      </c>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row>
    <row r="131" spans="1:36" ht="15.75" thickBot="1" x14ac:dyDescent="0.3">
      <c r="A131" s="19">
        <v>119</v>
      </c>
      <c r="B131" s="120" t="s">
        <v>117</v>
      </c>
      <c r="C131" s="19">
        <v>119</v>
      </c>
      <c r="D131" s="114"/>
      <c r="E131" s="115">
        <v>1</v>
      </c>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row>
    <row r="132" spans="1:36" ht="15.75" thickBot="1" x14ac:dyDescent="0.3">
      <c r="A132" s="19">
        <v>120</v>
      </c>
      <c r="B132" s="120" t="s">
        <v>118</v>
      </c>
      <c r="C132" s="19">
        <v>120</v>
      </c>
      <c r="D132" s="114"/>
      <c r="E132" s="115">
        <v>1</v>
      </c>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row>
    <row r="133" spans="1:36" ht="30.75" thickBot="1" x14ac:dyDescent="0.3">
      <c r="A133" s="19">
        <v>121</v>
      </c>
      <c r="B133" s="120" t="s">
        <v>119</v>
      </c>
      <c r="C133" s="19">
        <v>121</v>
      </c>
      <c r="D133" s="114"/>
      <c r="E133" s="115">
        <v>1</v>
      </c>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row>
    <row r="134" spans="1:36" ht="15.75" thickBot="1" x14ac:dyDescent="0.3">
      <c r="A134" s="19">
        <v>122</v>
      </c>
      <c r="B134" s="120" t="s">
        <v>120</v>
      </c>
      <c r="C134" s="19">
        <v>122</v>
      </c>
      <c r="D134" s="114"/>
      <c r="E134" s="115">
        <v>1</v>
      </c>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row>
    <row r="135" spans="1:36" ht="30.75" thickBot="1" x14ac:dyDescent="0.3">
      <c r="A135" s="19">
        <v>123</v>
      </c>
      <c r="B135" s="120" t="s">
        <v>121</v>
      </c>
      <c r="C135" s="19">
        <v>123</v>
      </c>
      <c r="D135" s="114"/>
      <c r="E135" s="115">
        <v>1</v>
      </c>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row>
    <row r="136" spans="1:36" ht="15.75" thickBot="1" x14ac:dyDescent="0.3">
      <c r="A136" s="19">
        <v>124</v>
      </c>
      <c r="B136" s="120" t="s">
        <v>122</v>
      </c>
      <c r="C136" s="19">
        <v>124</v>
      </c>
      <c r="D136" s="114"/>
      <c r="E136" s="115">
        <v>1</v>
      </c>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row>
    <row r="137" spans="1:36" ht="30.75" thickBot="1" x14ac:dyDescent="0.3">
      <c r="A137" s="19">
        <v>125</v>
      </c>
      <c r="B137" s="120" t="s">
        <v>123</v>
      </c>
      <c r="C137" s="19">
        <v>125</v>
      </c>
      <c r="D137" s="114">
        <v>1</v>
      </c>
      <c r="E137" s="115"/>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row>
    <row r="138" spans="1:36" ht="15.75" thickBot="1" x14ac:dyDescent="0.3">
      <c r="A138" s="19">
        <v>126</v>
      </c>
      <c r="B138" s="120" t="s">
        <v>124</v>
      </c>
      <c r="C138" s="19">
        <v>126</v>
      </c>
      <c r="D138" s="114"/>
      <c r="E138" s="115">
        <v>1</v>
      </c>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row>
    <row r="139" spans="1:36" ht="15.75" thickBot="1" x14ac:dyDescent="0.3">
      <c r="A139" s="19">
        <v>127</v>
      </c>
      <c r="B139" s="120" t="s">
        <v>125</v>
      </c>
      <c r="C139" s="19">
        <v>127</v>
      </c>
      <c r="D139" s="114"/>
      <c r="E139" s="115">
        <v>1</v>
      </c>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row>
    <row r="140" spans="1:36" ht="15.75" thickBot="1" x14ac:dyDescent="0.3">
      <c r="A140" s="19">
        <v>128</v>
      </c>
      <c r="B140" s="120" t="s">
        <v>126</v>
      </c>
      <c r="C140" s="19">
        <v>128</v>
      </c>
      <c r="D140" s="114"/>
      <c r="E140" s="115">
        <v>1</v>
      </c>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row>
    <row r="141" spans="1:36" ht="15.75" thickBot="1" x14ac:dyDescent="0.3">
      <c r="A141" s="19">
        <v>129</v>
      </c>
      <c r="B141" s="120" t="s">
        <v>127</v>
      </c>
      <c r="C141" s="19">
        <v>129</v>
      </c>
      <c r="D141" s="114">
        <v>1</v>
      </c>
      <c r="E141" s="115"/>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row>
    <row r="142" spans="1:36" ht="30.75" thickBot="1" x14ac:dyDescent="0.3">
      <c r="A142" s="19">
        <v>130</v>
      </c>
      <c r="B142" s="120" t="s">
        <v>128</v>
      </c>
      <c r="C142" s="19">
        <v>130</v>
      </c>
      <c r="D142" s="114"/>
      <c r="E142" s="115">
        <v>1</v>
      </c>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row>
    <row r="143" spans="1:36" ht="15.75" thickBot="1" x14ac:dyDescent="0.3">
      <c r="A143" s="19">
        <v>131</v>
      </c>
      <c r="B143" s="120" t="s">
        <v>129</v>
      </c>
      <c r="C143" s="19">
        <v>131</v>
      </c>
      <c r="D143" s="114"/>
      <c r="E143" s="115">
        <v>1</v>
      </c>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row>
    <row r="144" spans="1:36" ht="15.75" thickBot="1" x14ac:dyDescent="0.3">
      <c r="A144" s="19">
        <v>132</v>
      </c>
      <c r="B144" s="120" t="s">
        <v>130</v>
      </c>
      <c r="C144" s="19">
        <v>132</v>
      </c>
      <c r="D144" s="114">
        <v>1</v>
      </c>
      <c r="E144" s="115"/>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row>
    <row r="145" spans="1:36" ht="15.75" thickBot="1" x14ac:dyDescent="0.3">
      <c r="A145" s="19">
        <v>133</v>
      </c>
      <c r="B145" s="120" t="s">
        <v>131</v>
      </c>
      <c r="C145" s="19">
        <v>133</v>
      </c>
      <c r="D145" s="114">
        <v>1</v>
      </c>
      <c r="E145" s="115"/>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row>
    <row r="146" spans="1:36" ht="15.75" thickBot="1" x14ac:dyDescent="0.3">
      <c r="A146" s="19">
        <v>134</v>
      </c>
      <c r="B146" s="120" t="s">
        <v>132</v>
      </c>
      <c r="C146" s="19">
        <v>134</v>
      </c>
      <c r="D146" s="114"/>
      <c r="E146" s="115">
        <v>1</v>
      </c>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row>
    <row r="147" spans="1:36" ht="15.75" thickBot="1" x14ac:dyDescent="0.3">
      <c r="A147" s="19">
        <v>135</v>
      </c>
      <c r="B147" s="120" t="s">
        <v>133</v>
      </c>
      <c r="C147" s="19">
        <v>135</v>
      </c>
      <c r="D147" s="114"/>
      <c r="E147" s="115">
        <v>1</v>
      </c>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row>
    <row r="148" spans="1:36" ht="15.75" thickBot="1" x14ac:dyDescent="0.3">
      <c r="A148" s="19">
        <v>136</v>
      </c>
      <c r="B148" s="120" t="s">
        <v>134</v>
      </c>
      <c r="C148" s="19">
        <v>136</v>
      </c>
      <c r="D148" s="114"/>
      <c r="E148" s="115">
        <v>1</v>
      </c>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row>
    <row r="149" spans="1:36" ht="15.75" thickBot="1" x14ac:dyDescent="0.3">
      <c r="A149" s="19">
        <v>137</v>
      </c>
      <c r="B149" s="120" t="s">
        <v>135</v>
      </c>
      <c r="C149" s="19">
        <v>137</v>
      </c>
      <c r="D149" s="114"/>
      <c r="E149" s="115">
        <v>1</v>
      </c>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row>
    <row r="150" spans="1:36" ht="15.75" thickBot="1" x14ac:dyDescent="0.3">
      <c r="A150" s="19">
        <v>138</v>
      </c>
      <c r="B150" s="120" t="s">
        <v>136</v>
      </c>
      <c r="C150" s="19">
        <v>138</v>
      </c>
      <c r="D150" s="114"/>
      <c r="E150" s="115">
        <v>1</v>
      </c>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row>
    <row r="151" spans="1:36" ht="15.75" thickBot="1" x14ac:dyDescent="0.3">
      <c r="A151" s="19">
        <v>139</v>
      </c>
      <c r="B151" s="120" t="s">
        <v>137</v>
      </c>
      <c r="C151" s="19">
        <v>139</v>
      </c>
      <c r="D151" s="114"/>
      <c r="E151" s="115">
        <v>1</v>
      </c>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row>
    <row r="152" spans="1:36" ht="15.75" thickBot="1" x14ac:dyDescent="0.3">
      <c r="A152" s="19">
        <v>140</v>
      </c>
      <c r="B152" s="120" t="s">
        <v>138</v>
      </c>
      <c r="C152" s="19">
        <v>140</v>
      </c>
      <c r="D152" s="114"/>
      <c r="E152" s="115">
        <v>1</v>
      </c>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row>
    <row r="153" spans="1:36" ht="15.75" thickBot="1" x14ac:dyDescent="0.3">
      <c r="A153" s="19">
        <v>141</v>
      </c>
      <c r="B153" s="120" t="s">
        <v>139</v>
      </c>
      <c r="C153" s="19">
        <v>141</v>
      </c>
      <c r="D153" s="114"/>
      <c r="E153" s="115">
        <v>1</v>
      </c>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row>
    <row r="154" spans="1:36" ht="15.75" thickBot="1" x14ac:dyDescent="0.3">
      <c r="A154" s="19">
        <v>142</v>
      </c>
      <c r="B154" s="120" t="s">
        <v>140</v>
      </c>
      <c r="C154" s="19">
        <v>142</v>
      </c>
      <c r="D154" s="114"/>
      <c r="E154" s="115">
        <v>1</v>
      </c>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row>
    <row r="155" spans="1:36" ht="30.75" thickBot="1" x14ac:dyDescent="0.3">
      <c r="A155" s="19">
        <v>143</v>
      </c>
      <c r="B155" s="120" t="s">
        <v>141</v>
      </c>
      <c r="C155" s="19">
        <v>143</v>
      </c>
      <c r="D155" s="114"/>
      <c r="E155" s="115">
        <v>1</v>
      </c>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row>
    <row r="156" spans="1:36" ht="15.75" thickBot="1" x14ac:dyDescent="0.3">
      <c r="A156" s="19">
        <v>144</v>
      </c>
      <c r="B156" s="120" t="s">
        <v>142</v>
      </c>
      <c r="C156" s="19">
        <v>144</v>
      </c>
      <c r="D156" s="114"/>
      <c r="E156" s="115">
        <v>1</v>
      </c>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row>
    <row r="157" spans="1:36" ht="30.75" thickBot="1" x14ac:dyDescent="0.3">
      <c r="A157" s="19">
        <v>145</v>
      </c>
      <c r="B157" s="120" t="s">
        <v>143</v>
      </c>
      <c r="C157" s="19">
        <v>145</v>
      </c>
      <c r="D157" s="114"/>
      <c r="E157" s="115">
        <v>1</v>
      </c>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row>
    <row r="158" spans="1:36" ht="15.75" thickBot="1" x14ac:dyDescent="0.3">
      <c r="A158" s="19">
        <v>146</v>
      </c>
      <c r="B158" s="120" t="s">
        <v>144</v>
      </c>
      <c r="C158" s="19">
        <v>146</v>
      </c>
      <c r="D158" s="114"/>
      <c r="E158" s="115">
        <v>1</v>
      </c>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row>
    <row r="159" spans="1:36" ht="15.75" thickBot="1" x14ac:dyDescent="0.3">
      <c r="A159" s="19">
        <v>147</v>
      </c>
      <c r="B159" s="120" t="s">
        <v>145</v>
      </c>
      <c r="C159" s="19">
        <v>147</v>
      </c>
      <c r="D159" s="114"/>
      <c r="E159" s="115">
        <v>1</v>
      </c>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row>
    <row r="160" spans="1:36" ht="15.75" thickBot="1" x14ac:dyDescent="0.3">
      <c r="A160" s="19">
        <v>148</v>
      </c>
      <c r="B160" s="120" t="s">
        <v>146</v>
      </c>
      <c r="C160" s="19">
        <v>148</v>
      </c>
      <c r="D160" s="114"/>
      <c r="E160" s="115">
        <v>1</v>
      </c>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row>
    <row r="161" spans="1:36" ht="15.75" thickBot="1" x14ac:dyDescent="0.3">
      <c r="A161" s="19">
        <v>149</v>
      </c>
      <c r="B161" s="120" t="s">
        <v>147</v>
      </c>
      <c r="C161" s="19">
        <v>149</v>
      </c>
      <c r="D161" s="114"/>
      <c r="E161" s="115">
        <v>1</v>
      </c>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row>
    <row r="162" spans="1:36" ht="30.75" thickBot="1" x14ac:dyDescent="0.3">
      <c r="A162" s="19">
        <v>150</v>
      </c>
      <c r="B162" s="120" t="s">
        <v>148</v>
      </c>
      <c r="C162" s="19">
        <v>150</v>
      </c>
      <c r="D162" s="114"/>
      <c r="E162" s="115">
        <v>1</v>
      </c>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row>
    <row r="163" spans="1:36" ht="15.75" thickBot="1" x14ac:dyDescent="0.3">
      <c r="A163" s="19">
        <v>151</v>
      </c>
      <c r="B163" s="120" t="s">
        <v>149</v>
      </c>
      <c r="C163" s="19">
        <v>151</v>
      </c>
      <c r="D163" s="114"/>
      <c r="E163" s="115">
        <v>1</v>
      </c>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row>
    <row r="164" spans="1:36" ht="15.75" thickBot="1" x14ac:dyDescent="0.3">
      <c r="A164" s="19">
        <v>152</v>
      </c>
      <c r="B164" s="120" t="s">
        <v>150</v>
      </c>
      <c r="C164" s="19">
        <v>152</v>
      </c>
      <c r="D164" s="114"/>
      <c r="E164" s="115">
        <v>1</v>
      </c>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row>
    <row r="165" spans="1:36" ht="15.75" thickBot="1" x14ac:dyDescent="0.3">
      <c r="A165" s="19">
        <v>153</v>
      </c>
      <c r="B165" s="120" t="s">
        <v>151</v>
      </c>
      <c r="C165" s="19">
        <v>153</v>
      </c>
      <c r="D165" s="114">
        <v>1</v>
      </c>
      <c r="E165" s="115"/>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row>
    <row r="166" spans="1:36" ht="15.75" thickBot="1" x14ac:dyDescent="0.3">
      <c r="A166" s="19">
        <v>154</v>
      </c>
      <c r="B166" s="120" t="s">
        <v>152</v>
      </c>
      <c r="C166" s="19">
        <v>154</v>
      </c>
      <c r="D166" s="114">
        <v>1</v>
      </c>
      <c r="E166" s="115"/>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row>
    <row r="167" spans="1:36" ht="15.75" thickBot="1" x14ac:dyDescent="0.3">
      <c r="A167" s="19">
        <v>155</v>
      </c>
      <c r="B167" s="120" t="s">
        <v>153</v>
      </c>
      <c r="C167" s="19">
        <v>155</v>
      </c>
      <c r="D167" s="114">
        <v>1</v>
      </c>
      <c r="E167" s="115"/>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row>
    <row r="168" spans="1:36" ht="15.75" thickBot="1" x14ac:dyDescent="0.3">
      <c r="A168" s="19">
        <v>156</v>
      </c>
      <c r="B168" s="120" t="s">
        <v>154</v>
      </c>
      <c r="C168" s="19">
        <v>156</v>
      </c>
      <c r="D168" s="114"/>
      <c r="E168" s="115">
        <v>1</v>
      </c>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row>
    <row r="169" spans="1:36" ht="15.75" thickBot="1" x14ac:dyDescent="0.3">
      <c r="A169" s="19">
        <v>157</v>
      </c>
      <c r="B169" s="120" t="s">
        <v>155</v>
      </c>
      <c r="C169" s="19">
        <v>157</v>
      </c>
      <c r="D169" s="114">
        <v>1</v>
      </c>
      <c r="E169" s="115"/>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row>
    <row r="170" spans="1:36" ht="15.75" thickBot="1" x14ac:dyDescent="0.3">
      <c r="A170" s="19">
        <v>158</v>
      </c>
      <c r="B170" s="120" t="s">
        <v>156</v>
      </c>
      <c r="C170" s="19">
        <v>158</v>
      </c>
      <c r="D170" s="114"/>
      <c r="E170" s="115">
        <v>1</v>
      </c>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row>
    <row r="171" spans="1:36" ht="15.75" thickBot="1" x14ac:dyDescent="0.3">
      <c r="A171" s="19">
        <v>159</v>
      </c>
      <c r="B171" s="120" t="s">
        <v>157</v>
      </c>
      <c r="C171" s="19">
        <v>159</v>
      </c>
      <c r="D171" s="114"/>
      <c r="E171" s="115">
        <v>1</v>
      </c>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row>
    <row r="172" spans="1:36" ht="15.75" thickBot="1" x14ac:dyDescent="0.3">
      <c r="A172" s="19">
        <v>160</v>
      </c>
      <c r="B172" s="120" t="s">
        <v>158</v>
      </c>
      <c r="C172" s="19">
        <v>160</v>
      </c>
      <c r="D172" s="114"/>
      <c r="E172" s="115">
        <v>1</v>
      </c>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row>
    <row r="173" spans="1:36" ht="15.75" thickBot="1" x14ac:dyDescent="0.3">
      <c r="A173" s="19">
        <v>161</v>
      </c>
      <c r="B173" s="120" t="s">
        <v>159</v>
      </c>
      <c r="C173" s="19">
        <v>161</v>
      </c>
      <c r="D173" s="114"/>
      <c r="E173" s="115">
        <v>1</v>
      </c>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row>
    <row r="174" spans="1:36" ht="15.75" thickBot="1" x14ac:dyDescent="0.3">
      <c r="A174" s="19">
        <v>162</v>
      </c>
      <c r="B174" s="120" t="s">
        <v>160</v>
      </c>
      <c r="C174" s="19">
        <v>162</v>
      </c>
      <c r="D174" s="114"/>
      <c r="E174" s="115">
        <v>1</v>
      </c>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row>
    <row r="175" spans="1:36" ht="15.75" thickBot="1" x14ac:dyDescent="0.3">
      <c r="A175" s="19">
        <v>163</v>
      </c>
      <c r="B175" s="120" t="s">
        <v>161</v>
      </c>
      <c r="C175" s="19">
        <v>163</v>
      </c>
      <c r="D175" s="114"/>
      <c r="E175" s="115">
        <v>1</v>
      </c>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row>
    <row r="176" spans="1:36" ht="15.75" thickBot="1" x14ac:dyDescent="0.3">
      <c r="A176" s="19">
        <v>164</v>
      </c>
      <c r="B176" s="120" t="s">
        <v>162</v>
      </c>
      <c r="C176" s="19">
        <v>164</v>
      </c>
      <c r="D176" s="114"/>
      <c r="E176" s="115">
        <v>1</v>
      </c>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row>
    <row r="177" spans="1:36" ht="15.75" thickBot="1" x14ac:dyDescent="0.3">
      <c r="A177" s="19">
        <v>165</v>
      </c>
      <c r="B177" s="120" t="s">
        <v>163</v>
      </c>
      <c r="C177" s="19">
        <v>165</v>
      </c>
      <c r="D177" s="114"/>
      <c r="E177" s="115">
        <v>1</v>
      </c>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row>
    <row r="178" spans="1:36" ht="15.75" thickBot="1" x14ac:dyDescent="0.3">
      <c r="A178" s="19">
        <v>166</v>
      </c>
      <c r="B178" s="120" t="s">
        <v>164</v>
      </c>
      <c r="C178" s="19">
        <v>166</v>
      </c>
      <c r="D178" s="114"/>
      <c r="E178" s="115">
        <v>1</v>
      </c>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row>
    <row r="179" spans="1:36" ht="15.75" thickBot="1" x14ac:dyDescent="0.3">
      <c r="A179" s="19">
        <v>167</v>
      </c>
      <c r="B179" s="120" t="s">
        <v>165</v>
      </c>
      <c r="C179" s="19">
        <v>167</v>
      </c>
      <c r="D179" s="114">
        <v>1</v>
      </c>
      <c r="E179" s="115"/>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row>
    <row r="180" spans="1:36" ht="15.75" thickBot="1" x14ac:dyDescent="0.3">
      <c r="A180" s="19">
        <v>168</v>
      </c>
      <c r="B180" s="120" t="s">
        <v>166</v>
      </c>
      <c r="C180" s="19">
        <v>168</v>
      </c>
      <c r="D180" s="114"/>
      <c r="E180" s="115">
        <v>1</v>
      </c>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row>
    <row r="181" spans="1:36" ht="15.75" thickBot="1" x14ac:dyDescent="0.3">
      <c r="A181" s="19">
        <v>169</v>
      </c>
      <c r="B181" s="120" t="s">
        <v>167</v>
      </c>
      <c r="C181" s="19">
        <v>169</v>
      </c>
      <c r="D181" s="114"/>
      <c r="E181" s="115">
        <v>1</v>
      </c>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row>
    <row r="182" spans="1:36" ht="30.75" thickBot="1" x14ac:dyDescent="0.3">
      <c r="A182" s="19">
        <v>170</v>
      </c>
      <c r="B182" s="120" t="s">
        <v>168</v>
      </c>
      <c r="C182" s="19">
        <v>170</v>
      </c>
      <c r="D182" s="114">
        <v>1</v>
      </c>
      <c r="E182" s="115"/>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row>
    <row r="183" spans="1:36" ht="15.75" thickBot="1" x14ac:dyDescent="0.3">
      <c r="A183" s="19">
        <v>171</v>
      </c>
      <c r="B183" s="120" t="s">
        <v>169</v>
      </c>
      <c r="C183" s="19">
        <v>171</v>
      </c>
      <c r="D183" s="114"/>
      <c r="E183" s="115">
        <v>1</v>
      </c>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row>
    <row r="184" spans="1:36" ht="15.75" thickBot="1" x14ac:dyDescent="0.3">
      <c r="A184" s="19">
        <v>172</v>
      </c>
      <c r="B184" s="120" t="s">
        <v>170</v>
      </c>
      <c r="C184" s="19">
        <v>172</v>
      </c>
      <c r="D184" s="114"/>
      <c r="E184" s="115">
        <v>1</v>
      </c>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row>
    <row r="185" spans="1:36" ht="15.75" thickBot="1" x14ac:dyDescent="0.3">
      <c r="A185" s="19">
        <v>173</v>
      </c>
      <c r="B185" s="120" t="s">
        <v>171</v>
      </c>
      <c r="C185" s="19">
        <v>173</v>
      </c>
      <c r="D185" s="114">
        <v>1</v>
      </c>
      <c r="E185" s="115"/>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row>
    <row r="186" spans="1:36" ht="15.75" thickBot="1" x14ac:dyDescent="0.3">
      <c r="A186" s="19">
        <v>174</v>
      </c>
      <c r="B186" s="120" t="s">
        <v>172</v>
      </c>
      <c r="C186" s="19">
        <v>174</v>
      </c>
      <c r="D186" s="114">
        <v>1</v>
      </c>
      <c r="E186" s="115"/>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row>
    <row r="187" spans="1:36" ht="15.75" thickBot="1" x14ac:dyDescent="0.3">
      <c r="A187" s="19">
        <v>175</v>
      </c>
      <c r="B187" s="120" t="s">
        <v>173</v>
      </c>
      <c r="C187" s="19">
        <v>175</v>
      </c>
      <c r="D187" s="114"/>
      <c r="E187" s="115">
        <v>1</v>
      </c>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row>
    <row r="188" spans="1:36" ht="30.75" thickBot="1" x14ac:dyDescent="0.3">
      <c r="A188" s="19">
        <v>176</v>
      </c>
      <c r="B188" s="120" t="s">
        <v>174</v>
      </c>
      <c r="C188" s="19">
        <v>176</v>
      </c>
      <c r="D188" s="114"/>
      <c r="E188" s="115">
        <v>1</v>
      </c>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row>
    <row r="189" spans="1:36" ht="30.75" thickBot="1" x14ac:dyDescent="0.3">
      <c r="A189" s="19">
        <v>177</v>
      </c>
      <c r="B189" s="120" t="s">
        <v>175</v>
      </c>
      <c r="C189" s="19">
        <v>177</v>
      </c>
      <c r="D189" s="114"/>
      <c r="E189" s="115">
        <v>1</v>
      </c>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row>
    <row r="190" spans="1:36" ht="15.75" thickBot="1" x14ac:dyDescent="0.3">
      <c r="A190" s="19">
        <v>178</v>
      </c>
      <c r="B190" s="120" t="s">
        <v>176</v>
      </c>
      <c r="C190" s="19">
        <v>178</v>
      </c>
      <c r="D190" s="114"/>
      <c r="E190" s="115">
        <v>1</v>
      </c>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row>
    <row r="191" spans="1:36" ht="15.75" thickBot="1" x14ac:dyDescent="0.3">
      <c r="A191" s="19">
        <v>179</v>
      </c>
      <c r="B191" s="120" t="s">
        <v>177</v>
      </c>
      <c r="C191" s="19">
        <v>179</v>
      </c>
      <c r="D191" s="114"/>
      <c r="E191" s="115">
        <v>1</v>
      </c>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row>
    <row r="192" spans="1:36" ht="15.75" thickBot="1" x14ac:dyDescent="0.3">
      <c r="A192" s="19">
        <v>180</v>
      </c>
      <c r="B192" s="120" t="s">
        <v>178</v>
      </c>
      <c r="C192" s="19">
        <v>180</v>
      </c>
      <c r="D192" s="114"/>
      <c r="E192" s="115">
        <v>1</v>
      </c>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row>
    <row r="193" spans="1:36" ht="15.75" thickBot="1" x14ac:dyDescent="0.3">
      <c r="A193" s="19">
        <v>181</v>
      </c>
      <c r="B193" s="120" t="s">
        <v>179</v>
      </c>
      <c r="C193" s="19">
        <v>181</v>
      </c>
      <c r="D193" s="114"/>
      <c r="E193" s="115">
        <v>1</v>
      </c>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row>
    <row r="194" spans="1:36" ht="15.75" thickBot="1" x14ac:dyDescent="0.3">
      <c r="A194" s="19">
        <v>182</v>
      </c>
      <c r="B194" s="120" t="s">
        <v>180</v>
      </c>
      <c r="C194" s="19">
        <v>182</v>
      </c>
      <c r="D194" s="114"/>
      <c r="E194" s="115">
        <v>1</v>
      </c>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row>
    <row r="195" spans="1:36" ht="15.75" thickBot="1" x14ac:dyDescent="0.3">
      <c r="A195" s="19">
        <v>183</v>
      </c>
      <c r="B195" s="120" t="s">
        <v>181</v>
      </c>
      <c r="C195" s="19">
        <v>183</v>
      </c>
      <c r="D195" s="114"/>
      <c r="E195" s="115">
        <v>1</v>
      </c>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row>
    <row r="196" spans="1:36" ht="15.75" thickBot="1" x14ac:dyDescent="0.3">
      <c r="A196" s="19">
        <v>184</v>
      </c>
      <c r="B196" s="120" t="s">
        <v>182</v>
      </c>
      <c r="C196" s="19">
        <v>184</v>
      </c>
      <c r="D196" s="114"/>
      <c r="E196" s="115">
        <v>1</v>
      </c>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row>
    <row r="197" spans="1:36" ht="15.75" thickBot="1" x14ac:dyDescent="0.3">
      <c r="A197" s="19">
        <v>185</v>
      </c>
      <c r="B197" s="120" t="s">
        <v>183</v>
      </c>
      <c r="C197" s="19">
        <v>185</v>
      </c>
      <c r="D197" s="114">
        <v>1</v>
      </c>
      <c r="E197" s="115"/>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row>
    <row r="198" spans="1:36" ht="15.75" thickBot="1" x14ac:dyDescent="0.3">
      <c r="A198" s="19">
        <v>186</v>
      </c>
      <c r="B198" s="120" t="s">
        <v>184</v>
      </c>
      <c r="C198" s="19">
        <v>186</v>
      </c>
      <c r="D198" s="114"/>
      <c r="E198" s="115">
        <v>1</v>
      </c>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row>
    <row r="199" spans="1:36" ht="15.75" thickBot="1" x14ac:dyDescent="0.3">
      <c r="A199" s="19">
        <v>187</v>
      </c>
      <c r="B199" s="120" t="s">
        <v>185</v>
      </c>
      <c r="C199" s="19">
        <v>187</v>
      </c>
      <c r="D199" s="114"/>
      <c r="E199" s="115">
        <v>1</v>
      </c>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row>
    <row r="200" spans="1:36" ht="15.75" thickBot="1" x14ac:dyDescent="0.3">
      <c r="A200" s="19">
        <v>188</v>
      </c>
      <c r="B200" s="120" t="s">
        <v>186</v>
      </c>
      <c r="C200" s="19">
        <v>188</v>
      </c>
      <c r="D200" s="114"/>
      <c r="E200" s="115">
        <v>1</v>
      </c>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row>
    <row r="201" spans="1:36" ht="15.75" thickBot="1" x14ac:dyDescent="0.3">
      <c r="A201" s="19">
        <v>189</v>
      </c>
      <c r="B201" s="120" t="s">
        <v>187</v>
      </c>
      <c r="C201" s="19">
        <v>189</v>
      </c>
      <c r="D201" s="114"/>
      <c r="E201" s="115">
        <v>1</v>
      </c>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row>
    <row r="202" spans="1:36" ht="15.75" thickBot="1" x14ac:dyDescent="0.3">
      <c r="A202" s="19">
        <v>190</v>
      </c>
      <c r="B202" s="120" t="s">
        <v>188</v>
      </c>
      <c r="C202" s="19">
        <v>190</v>
      </c>
      <c r="D202" s="114"/>
      <c r="E202" s="115">
        <v>1</v>
      </c>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row>
    <row r="203" spans="1:36" ht="15.75" thickBot="1" x14ac:dyDescent="0.3">
      <c r="A203" s="19">
        <v>191</v>
      </c>
      <c r="B203" s="120" t="s">
        <v>189</v>
      </c>
      <c r="C203" s="19">
        <v>191</v>
      </c>
      <c r="D203" s="114"/>
      <c r="E203" s="115">
        <v>1</v>
      </c>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row>
    <row r="204" spans="1:36" ht="15.75" thickBot="1" x14ac:dyDescent="0.3">
      <c r="A204" s="19">
        <v>192</v>
      </c>
      <c r="B204" s="120" t="s">
        <v>255</v>
      </c>
      <c r="C204" s="19">
        <v>192</v>
      </c>
      <c r="D204" s="114">
        <v>1</v>
      </c>
      <c r="E204" s="115"/>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row>
    <row r="205" spans="1:36" ht="15.75" thickBot="1" x14ac:dyDescent="0.3">
      <c r="A205" s="19">
        <v>193</v>
      </c>
      <c r="B205" s="120" t="s">
        <v>283</v>
      </c>
      <c r="C205" s="19">
        <v>193</v>
      </c>
      <c r="D205" s="114"/>
      <c r="E205" s="115">
        <v>1</v>
      </c>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row>
    <row r="206" spans="1:36" ht="15.75" thickBot="1" x14ac:dyDescent="0.3">
      <c r="A206" s="19">
        <v>194</v>
      </c>
      <c r="B206" s="120" t="s">
        <v>190</v>
      </c>
      <c r="C206" s="19">
        <v>194</v>
      </c>
      <c r="D206" s="114">
        <v>1</v>
      </c>
      <c r="E206" s="115"/>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row>
    <row r="207" spans="1:36" ht="15.75" thickBot="1" x14ac:dyDescent="0.3">
      <c r="A207" s="19">
        <v>195</v>
      </c>
      <c r="B207" s="120" t="s">
        <v>191</v>
      </c>
      <c r="C207" s="19">
        <v>195</v>
      </c>
      <c r="D207" s="114"/>
      <c r="E207" s="115">
        <v>1</v>
      </c>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row>
    <row r="208" spans="1:36" x14ac:dyDescent="0.25">
      <c r="A208" s="113"/>
      <c r="B208" s="117"/>
      <c r="C208" s="113"/>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row>
    <row r="209" spans="1:36" x14ac:dyDescent="0.25">
      <c r="A209" s="113"/>
      <c r="B209" s="117"/>
      <c r="C209" s="113"/>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row>
  </sheetData>
  <sheetProtection password="DCB1" sheet="1" objects="1" scenarios="1" selectLockedCells="1"/>
  <protectedRanges>
    <protectedRange sqref="D13:E207" name="Rango1"/>
  </protectedRanges>
  <mergeCells count="27">
    <mergeCell ref="P56:Q56"/>
    <mergeCell ref="R56:S56"/>
    <mergeCell ref="F56:G56"/>
    <mergeCell ref="H56:I56"/>
    <mergeCell ref="J56:K56"/>
    <mergeCell ref="L56:M56"/>
    <mergeCell ref="N56:O56"/>
    <mergeCell ref="P52:Q52"/>
    <mergeCell ref="R52:S52"/>
    <mergeCell ref="T52:U52"/>
    <mergeCell ref="V52:W52"/>
    <mergeCell ref="L48:M48"/>
    <mergeCell ref="N48:O48"/>
    <mergeCell ref="P48:Q48"/>
    <mergeCell ref="R48:S48"/>
    <mergeCell ref="T48:U48"/>
    <mergeCell ref="F52:G52"/>
    <mergeCell ref="H52:I52"/>
    <mergeCell ref="J52:K52"/>
    <mergeCell ref="L52:M52"/>
    <mergeCell ref="N52:O52"/>
    <mergeCell ref="H48:I48"/>
    <mergeCell ref="F48:G48"/>
    <mergeCell ref="A12:B12"/>
    <mergeCell ref="A11:E11"/>
    <mergeCell ref="V48:W48"/>
    <mergeCell ref="J48:K4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B4:X44"/>
  <sheetViews>
    <sheetView tabSelected="1" zoomScaleNormal="100" workbookViewId="0">
      <selection activeCell="P7" sqref="P7"/>
    </sheetView>
  </sheetViews>
  <sheetFormatPr baseColWidth="10" defaultColWidth="9.140625" defaultRowHeight="15" x14ac:dyDescent="0.25"/>
  <cols>
    <col min="1" max="1" width="2.28515625" style="61" customWidth="1"/>
    <col min="2" max="2" width="3" style="61" customWidth="1"/>
    <col min="3" max="3" width="26.28515625" style="61" customWidth="1"/>
    <col min="4" max="4" width="9.140625" style="61"/>
    <col min="5" max="7" width="0" style="61" hidden="1" customWidth="1"/>
    <col min="8" max="8" width="12.5703125" style="61" hidden="1" customWidth="1"/>
    <col min="9" max="13" width="0" style="61" hidden="1" customWidth="1"/>
    <col min="14" max="14" width="0.28515625" style="61" hidden="1" customWidth="1"/>
    <col min="15" max="15" width="25.140625" style="75" customWidth="1"/>
    <col min="16" max="20" width="9.140625" style="61"/>
    <col min="21" max="21" width="2.5703125" style="61" customWidth="1"/>
    <col min="22" max="16384" width="9.140625" style="61"/>
  </cols>
  <sheetData>
    <row r="4" spans="2:24" ht="15.75" x14ac:dyDescent="0.25">
      <c r="C4" s="89"/>
    </row>
    <row r="5" spans="2:24" x14ac:dyDescent="0.25">
      <c r="P5" s="124" t="str">
        <f>APLICACION!B9</f>
        <v>Nombre :Estefania Milagros Negron Huapaya</v>
      </c>
    </row>
    <row r="8" spans="2:24" x14ac:dyDescent="0.25">
      <c r="C8" s="21"/>
    </row>
    <row r="9" spans="2:24" ht="18.75" x14ac:dyDescent="0.25">
      <c r="B9" s="134" t="s">
        <v>295</v>
      </c>
      <c r="C9" s="135" t="s">
        <v>196</v>
      </c>
      <c r="D9" s="51" t="s">
        <v>253</v>
      </c>
      <c r="E9" s="51"/>
    </row>
    <row r="10" spans="2:24" ht="21" customHeight="1" x14ac:dyDescent="0.25">
      <c r="B10" s="62" t="s">
        <v>193</v>
      </c>
      <c r="C10" s="23" t="s">
        <v>252</v>
      </c>
      <c r="D10" s="63">
        <f>APLICACION!F46</f>
        <v>1</v>
      </c>
      <c r="E10" s="63"/>
      <c r="F10" s="64"/>
      <c r="O10" s="136" t="str">
        <f>'Interpretacion '!R8</f>
        <v>válido pero dudable, cuestionable.</v>
      </c>
      <c r="P10" s="137"/>
      <c r="Q10" s="137"/>
      <c r="R10" s="137"/>
      <c r="S10" s="137"/>
      <c r="T10" s="138"/>
    </row>
    <row r="11" spans="2:24" ht="21" customHeight="1" x14ac:dyDescent="0.25">
      <c r="B11" s="62" t="s">
        <v>244</v>
      </c>
      <c r="C11" s="23" t="s">
        <v>251</v>
      </c>
      <c r="D11" s="65">
        <f>APLICACION!K60</f>
        <v>7</v>
      </c>
      <c r="E11" s="65"/>
      <c r="F11" s="64"/>
      <c r="O11" s="136" t="str">
        <f>'Interpretacion '!R9</f>
        <v>consistente.</v>
      </c>
      <c r="P11" s="137"/>
      <c r="Q11" s="137"/>
      <c r="R11" s="137"/>
      <c r="S11" s="137"/>
      <c r="T11" s="138"/>
    </row>
    <row r="12" spans="2:24" ht="21" customHeight="1" x14ac:dyDescent="0.25">
      <c r="B12" s="62" t="s">
        <v>245</v>
      </c>
      <c r="C12" s="23" t="s">
        <v>250</v>
      </c>
      <c r="D12" s="65">
        <f>VLOOKUP(K12,RESULTADOS!A3:B117,2,FALSE)</f>
        <v>30</v>
      </c>
      <c r="E12" s="65"/>
      <c r="K12" s="65">
        <f>APLICACION!G63</f>
        <v>26</v>
      </c>
      <c r="O12" s="136" t="str">
        <f>'Interpretacion '!R10</f>
        <v>clínicamente interpretable</v>
      </c>
      <c r="P12" s="137"/>
      <c r="Q12" s="137"/>
      <c r="R12" s="137"/>
      <c r="S12" s="137"/>
      <c r="T12" s="138"/>
    </row>
    <row r="13" spans="2:24" ht="55.5" customHeight="1" x14ac:dyDescent="0.25">
      <c r="B13" s="62" t="s">
        <v>246</v>
      </c>
      <c r="C13" s="23" t="s">
        <v>249</v>
      </c>
      <c r="D13" s="65">
        <f>VLOOKUP(K13,RESULTADOS!A3:C27,3,FALSE)</f>
        <v>78</v>
      </c>
      <c r="E13" s="65"/>
      <c r="K13" s="65">
        <f>APLICACION!G64</f>
        <v>18</v>
      </c>
      <c r="O13" s="139" t="str">
        <f>'Interpretacion '!R11</f>
        <v>Tendencia a parecer socialmente agradable, moralmente admirable o emocionalmente equilibrado. Tendencia a mostrar una imagen de sí mismo positiva e interesante. Cuanto más alta sea la puntuación, más probable es que el paciente haya ocultado ciertos aspectos de sus dificultades psicológicas o interpersonales.</v>
      </c>
      <c r="P13" s="140"/>
      <c r="Q13" s="140"/>
      <c r="R13" s="140"/>
      <c r="S13" s="140"/>
      <c r="T13" s="141"/>
    </row>
    <row r="14" spans="2:24" ht="27" customHeight="1" x14ac:dyDescent="0.25">
      <c r="B14" s="62" t="s">
        <v>247</v>
      </c>
      <c r="C14" s="23" t="s">
        <v>248</v>
      </c>
      <c r="D14" s="65">
        <f>VLOOKUP('RESULTADOS '!K14,RESULTADOS!A3:D33,4,FALSE)</f>
        <v>37</v>
      </c>
      <c r="E14" s="65"/>
      <c r="K14" s="65">
        <f>APLICACION!G65</f>
        <v>4</v>
      </c>
      <c r="O14" s="142" t="str">
        <f>'Interpretacion '!R12</f>
        <v>Tendencia del sujeto a menospreciarse o subestimarse manifestando más problemas emocionales y perso¬nales de los que un análisis posterior pueda reflejar.</v>
      </c>
      <c r="P14" s="143"/>
      <c r="Q14" s="143"/>
      <c r="R14" s="143"/>
      <c r="S14" s="143"/>
      <c r="T14" s="144"/>
    </row>
    <row r="15" spans="2:24" ht="24" customHeight="1" x14ac:dyDescent="0.25">
      <c r="B15" s="66"/>
      <c r="C15" s="66"/>
      <c r="D15" s="66"/>
      <c r="E15" s="66"/>
      <c r="F15" s="66"/>
      <c r="G15" s="66"/>
      <c r="H15" s="66"/>
      <c r="I15" s="66"/>
      <c r="J15" s="66"/>
      <c r="K15" s="66"/>
      <c r="L15" s="66"/>
      <c r="M15" s="66"/>
      <c r="N15" s="66"/>
      <c r="O15" s="66"/>
      <c r="P15" s="66"/>
      <c r="Q15" s="66"/>
      <c r="R15" s="66"/>
      <c r="S15" s="66"/>
      <c r="T15" s="66"/>
      <c r="U15" s="66"/>
      <c r="V15" s="66"/>
      <c r="W15" s="66"/>
      <c r="X15" s="66"/>
    </row>
    <row r="16" spans="2:24" s="69" customFormat="1" ht="18" customHeight="1" thickBot="1" x14ac:dyDescent="0.3">
      <c r="B16" s="131" t="s">
        <v>206</v>
      </c>
      <c r="C16" s="131"/>
      <c r="D16" s="67" t="s">
        <v>284</v>
      </c>
      <c r="E16" s="68"/>
      <c r="G16" s="51"/>
      <c r="H16" s="51" t="s">
        <v>294</v>
      </c>
      <c r="L16" s="68" t="s">
        <v>253</v>
      </c>
      <c r="O16" s="132"/>
      <c r="P16" s="132"/>
      <c r="Q16" s="70"/>
      <c r="R16" s="70"/>
    </row>
    <row r="17" spans="2:18" s="69" customFormat="1" ht="18" customHeight="1" x14ac:dyDescent="0.25">
      <c r="B17" s="62">
        <v>1</v>
      </c>
      <c r="C17" s="23" t="s">
        <v>207</v>
      </c>
      <c r="D17" s="71">
        <f>CORRECCION!D17</f>
        <v>40</v>
      </c>
      <c r="E17" s="72">
        <v>3</v>
      </c>
      <c r="G17" s="73">
        <v>2</v>
      </c>
      <c r="H17" s="65">
        <f t="shared" ref="H17:H28" si="0">IFERROR(VLOOKUP(D17,TABLAPER,G17,FALSE),"")</f>
        <v>31</v>
      </c>
      <c r="L17" s="65">
        <f>APLICACION!F17</f>
        <v>6</v>
      </c>
      <c r="O17" s="105" t="str">
        <f>CORRECCION!O17</f>
        <v>No presenta</v>
      </c>
      <c r="P17" s="70"/>
      <c r="Q17" s="70"/>
      <c r="R17" s="70"/>
    </row>
    <row r="18" spans="2:18" s="69" customFormat="1" ht="18" customHeight="1" x14ac:dyDescent="0.2">
      <c r="B18" s="62" t="s">
        <v>200</v>
      </c>
      <c r="C18" s="23" t="s">
        <v>208</v>
      </c>
      <c r="D18" s="74">
        <f>CORRECCION!D18</f>
        <v>6</v>
      </c>
      <c r="E18" s="72">
        <v>4</v>
      </c>
      <c r="G18" s="73">
        <v>3</v>
      </c>
      <c r="H18" s="65">
        <f t="shared" si="0"/>
        <v>5</v>
      </c>
      <c r="L18" s="65">
        <f>APLICACION!F18</f>
        <v>1</v>
      </c>
      <c r="O18" s="105" t="str">
        <f>CORRECCION!O18</f>
        <v>No presenta</v>
      </c>
      <c r="P18" s="75"/>
    </row>
    <row r="19" spans="2:18" s="69" customFormat="1" ht="18" customHeight="1" x14ac:dyDescent="0.25">
      <c r="B19" s="62" t="s">
        <v>201</v>
      </c>
      <c r="C19" s="23" t="s">
        <v>209</v>
      </c>
      <c r="D19" s="74">
        <f>CORRECCION!D19</f>
        <v>30</v>
      </c>
      <c r="E19" s="72">
        <v>5</v>
      </c>
      <c r="G19" s="73">
        <v>4</v>
      </c>
      <c r="H19" s="65">
        <f t="shared" si="0"/>
        <v>28</v>
      </c>
      <c r="L19" s="65">
        <f>APLICACION!F19</f>
        <v>6</v>
      </c>
      <c r="O19" s="105" t="str">
        <f>CORRECCION!O19</f>
        <v>No presenta</v>
      </c>
    </row>
    <row r="20" spans="2:18" s="69" customFormat="1" ht="18" customHeight="1" x14ac:dyDescent="0.25">
      <c r="B20" s="62">
        <v>3</v>
      </c>
      <c r="C20" s="23" t="s">
        <v>210</v>
      </c>
      <c r="D20" s="74">
        <f>CORRECCION!D20</f>
        <v>36</v>
      </c>
      <c r="E20" s="72">
        <v>6</v>
      </c>
      <c r="G20" s="73">
        <v>5</v>
      </c>
      <c r="H20" s="65">
        <f t="shared" si="0"/>
        <v>25</v>
      </c>
      <c r="L20" s="65">
        <f>APLICACION!F20</f>
        <v>6</v>
      </c>
      <c r="O20" s="105" t="str">
        <f>CORRECCION!O20</f>
        <v>No presenta</v>
      </c>
    </row>
    <row r="21" spans="2:18" s="69" customFormat="1" ht="18" customHeight="1" x14ac:dyDescent="0.25">
      <c r="B21" s="62" t="s">
        <v>211</v>
      </c>
      <c r="C21" s="23" t="s">
        <v>212</v>
      </c>
      <c r="D21" s="74">
        <f>CORRECCION!D21</f>
        <v>75</v>
      </c>
      <c r="E21" s="72">
        <v>7</v>
      </c>
      <c r="G21" s="73">
        <v>6</v>
      </c>
      <c r="H21" s="65">
        <f t="shared" si="0"/>
        <v>83</v>
      </c>
      <c r="L21" s="65">
        <f>APLICACION!F21</f>
        <v>15</v>
      </c>
      <c r="O21" s="105" t="str">
        <f>CORRECCION!O21</f>
        <v>Patrones menos adaptativos y Trastornos</v>
      </c>
    </row>
    <row r="22" spans="2:18" s="69" customFormat="1" ht="18" customHeight="1" x14ac:dyDescent="0.25">
      <c r="B22" s="62" t="s">
        <v>213</v>
      </c>
      <c r="C22" s="23" t="s">
        <v>214</v>
      </c>
      <c r="D22" s="74">
        <f>CORRECCION!D22</f>
        <v>80</v>
      </c>
      <c r="E22" s="72">
        <v>8</v>
      </c>
      <c r="G22" s="73">
        <v>7</v>
      </c>
      <c r="H22" s="65">
        <f t="shared" si="0"/>
        <v>93</v>
      </c>
      <c r="L22" s="65">
        <f>APLICACION!F22</f>
        <v>22</v>
      </c>
      <c r="O22" s="105"/>
    </row>
    <row r="23" spans="2:18" s="69" customFormat="1" ht="18" customHeight="1" x14ac:dyDescent="0.25">
      <c r="B23" s="62">
        <v>5</v>
      </c>
      <c r="C23" s="23" t="s">
        <v>215</v>
      </c>
      <c r="D23" s="74">
        <f>CORRECCION!D23</f>
        <v>62</v>
      </c>
      <c r="E23" s="72">
        <v>9</v>
      </c>
      <c r="G23" s="73">
        <v>8</v>
      </c>
      <c r="H23" s="65">
        <f t="shared" si="0"/>
        <v>56</v>
      </c>
      <c r="L23" s="65">
        <f>APLICACION!F23</f>
        <v>6</v>
      </c>
      <c r="O23" s="105" t="str">
        <f>CORRECCION!O23</f>
        <v>Categoría de Riesgo</v>
      </c>
    </row>
    <row r="24" spans="2:18" s="69" customFormat="1" ht="18" customHeight="1" x14ac:dyDescent="0.25">
      <c r="B24" s="76" t="s">
        <v>202</v>
      </c>
      <c r="C24" s="23" t="s">
        <v>216</v>
      </c>
      <c r="D24" s="74">
        <f>CORRECCION!D24</f>
        <v>20</v>
      </c>
      <c r="E24" s="72">
        <v>10</v>
      </c>
      <c r="G24" s="73">
        <v>9</v>
      </c>
      <c r="H24" s="65">
        <f t="shared" si="0"/>
        <v>25</v>
      </c>
      <c r="L24" s="65">
        <f>APLICACION!F24</f>
        <v>1</v>
      </c>
      <c r="O24" s="105" t="str">
        <f>CORRECCION!O24</f>
        <v>No presenta</v>
      </c>
    </row>
    <row r="25" spans="2:18" s="69" customFormat="1" ht="18" customHeight="1" x14ac:dyDescent="0.25">
      <c r="B25" s="76" t="s">
        <v>203</v>
      </c>
      <c r="C25" s="23" t="s">
        <v>217</v>
      </c>
      <c r="D25" s="74">
        <f>CORRECCION!D25</f>
        <v>10</v>
      </c>
      <c r="E25" s="72">
        <v>11</v>
      </c>
      <c r="G25" s="73">
        <v>10</v>
      </c>
      <c r="H25" s="65">
        <f t="shared" si="0"/>
        <v>13</v>
      </c>
      <c r="L25" s="65">
        <f>APLICACION!F25</f>
        <v>1</v>
      </c>
      <c r="O25" s="105" t="str">
        <f>CORRECCION!O25</f>
        <v>No presenta</v>
      </c>
    </row>
    <row r="26" spans="2:18" s="69" customFormat="1" ht="18" customHeight="1" x14ac:dyDescent="0.25">
      <c r="B26" s="62">
        <v>7</v>
      </c>
      <c r="C26" s="23" t="s">
        <v>218</v>
      </c>
      <c r="D26" s="74">
        <f>CORRECCION!D26</f>
        <v>49</v>
      </c>
      <c r="E26" s="72">
        <v>12</v>
      </c>
      <c r="G26" s="73">
        <v>11</v>
      </c>
      <c r="H26" s="65">
        <f t="shared" si="0"/>
        <v>26</v>
      </c>
      <c r="L26" s="65">
        <f>APLICACION!F26</f>
        <v>13</v>
      </c>
      <c r="O26" s="105" t="str">
        <f>CORRECCION!O26</f>
        <v>No presenta</v>
      </c>
    </row>
    <row r="27" spans="2:18" ht="18" customHeight="1" x14ac:dyDescent="0.25">
      <c r="B27" s="62" t="s">
        <v>204</v>
      </c>
      <c r="C27" s="23" t="s">
        <v>220</v>
      </c>
      <c r="D27" s="74">
        <f>CORRECCION!D27</f>
        <v>60</v>
      </c>
      <c r="E27" s="72">
        <v>13</v>
      </c>
      <c r="G27" s="73">
        <v>12</v>
      </c>
      <c r="H27" s="65">
        <f t="shared" si="0"/>
        <v>48</v>
      </c>
      <c r="L27" s="65">
        <f>APLICACION!F27</f>
        <v>9</v>
      </c>
      <c r="O27" s="105" t="str">
        <f>CORRECCION!O27</f>
        <v>No presenta</v>
      </c>
    </row>
    <row r="28" spans="2:18" ht="18" customHeight="1" x14ac:dyDescent="0.25">
      <c r="B28" s="62" t="s">
        <v>205</v>
      </c>
      <c r="C28" s="23" t="s">
        <v>219</v>
      </c>
      <c r="D28" s="74">
        <f>CORRECCION!D28</f>
        <v>38</v>
      </c>
      <c r="E28" s="72">
        <v>14</v>
      </c>
      <c r="G28" s="73">
        <v>13</v>
      </c>
      <c r="H28" s="65">
        <f t="shared" si="0"/>
        <v>33</v>
      </c>
      <c r="L28" s="65">
        <f>APLICACION!F28</f>
        <v>5</v>
      </c>
      <c r="O28" s="105" t="str">
        <f>CORRECCION!O28</f>
        <v>No presenta</v>
      </c>
    </row>
    <row r="29" spans="2:18" ht="18" customHeight="1" x14ac:dyDescent="0.25">
      <c r="B29" s="131" t="s">
        <v>400</v>
      </c>
      <c r="C29" s="131"/>
      <c r="D29" s="74" t="str">
        <f>CORRECCION!D29</f>
        <v>PE</v>
      </c>
      <c r="E29" s="68"/>
      <c r="G29" s="51"/>
      <c r="H29" s="51" t="s">
        <v>294</v>
      </c>
      <c r="L29" s="68" t="s">
        <v>253</v>
      </c>
      <c r="O29" s="105"/>
    </row>
    <row r="30" spans="2:18" ht="18" customHeight="1" x14ac:dyDescent="0.25">
      <c r="B30" s="79" t="s">
        <v>197</v>
      </c>
      <c r="C30" s="23" t="s">
        <v>221</v>
      </c>
      <c r="D30" s="74">
        <f>CORRECCION!D30</f>
        <v>12</v>
      </c>
      <c r="E30" s="72">
        <v>15</v>
      </c>
      <c r="G30" s="73">
        <v>14</v>
      </c>
      <c r="H30" s="65">
        <f>IFERROR(VLOOKUP(D30,TABLAPER,G30,FALSE),"")</f>
        <v>14</v>
      </c>
      <c r="L30" s="65">
        <f>APLICACION!F29</f>
        <v>2</v>
      </c>
      <c r="O30" s="105" t="str">
        <f>CORRECCION!O30</f>
        <v>No presenta</v>
      </c>
    </row>
    <row r="31" spans="2:18" ht="18" customHeight="1" x14ac:dyDescent="0.25">
      <c r="B31" s="79" t="s">
        <v>198</v>
      </c>
      <c r="C31" s="23" t="s">
        <v>222</v>
      </c>
      <c r="D31" s="74">
        <f>CORRECCION!D31</f>
        <v>45</v>
      </c>
      <c r="E31" s="72">
        <v>16</v>
      </c>
      <c r="G31" s="73">
        <v>15</v>
      </c>
      <c r="H31" s="65">
        <f>IFERROR(VLOOKUP(D31,TABLAPER,G31,FALSE),"")</f>
        <v>40</v>
      </c>
      <c r="L31" s="65">
        <f>APLICACION!F30</f>
        <v>6</v>
      </c>
      <c r="O31" s="105" t="str">
        <f>CORRECCION!O31</f>
        <v>No presenta</v>
      </c>
    </row>
    <row r="32" spans="2:18" ht="18" customHeight="1" x14ac:dyDescent="0.25">
      <c r="B32" s="79" t="s">
        <v>199</v>
      </c>
      <c r="C32" s="23" t="s">
        <v>223</v>
      </c>
      <c r="D32" s="74">
        <f>CORRECCION!D32</f>
        <v>66</v>
      </c>
      <c r="E32" s="72">
        <v>17</v>
      </c>
      <c r="G32" s="73">
        <v>16</v>
      </c>
      <c r="H32" s="65">
        <f>IFERROR(VLOOKUP(D32,TABLAPER,G32,FALSE),"")</f>
        <v>62</v>
      </c>
      <c r="L32" s="65">
        <f>APLICACION!F31</f>
        <v>9</v>
      </c>
      <c r="O32" s="105" t="str">
        <f>CORRECCION!O32</f>
        <v>Categoría de Riesgo</v>
      </c>
    </row>
    <row r="33" spans="2:15" ht="18" customHeight="1" x14ac:dyDescent="0.25">
      <c r="D33" s="74">
        <f>CORRECCION!D33</f>
        <v>0</v>
      </c>
      <c r="E33" s="80"/>
      <c r="L33" s="64"/>
      <c r="O33" s="105" t="str">
        <f>CORRECCION!O33</f>
        <v>No presenta</v>
      </c>
    </row>
    <row r="34" spans="2:15" ht="18" customHeight="1" x14ac:dyDescent="0.25">
      <c r="B34" s="133" t="s">
        <v>401</v>
      </c>
      <c r="C34" s="133"/>
      <c r="D34" s="74" t="str">
        <f>CORRECCION!D34</f>
        <v>PE</v>
      </c>
      <c r="E34" s="82"/>
      <c r="G34" s="82"/>
      <c r="H34" s="82" t="s">
        <v>294</v>
      </c>
      <c r="L34" s="82" t="s">
        <v>253</v>
      </c>
      <c r="O34" s="105"/>
    </row>
    <row r="35" spans="2:15" ht="18" customHeight="1" x14ac:dyDescent="0.25">
      <c r="B35" s="62" t="s">
        <v>224</v>
      </c>
      <c r="C35" s="23" t="s">
        <v>231</v>
      </c>
      <c r="D35" s="74">
        <f>CORRECCION!D35</f>
        <v>15</v>
      </c>
      <c r="E35" s="72">
        <v>18</v>
      </c>
      <c r="G35" s="73">
        <v>17</v>
      </c>
      <c r="H35" s="65">
        <f t="shared" ref="H35:H44" si="1">IFERROR(VLOOKUP(D35,TABLAPER,G35,FALSE),"")</f>
        <v>14</v>
      </c>
      <c r="L35" s="65">
        <f>APLICACION!F35</f>
        <v>2</v>
      </c>
      <c r="O35" s="105" t="str">
        <f>CORRECCION!O35</f>
        <v>No presenta</v>
      </c>
    </row>
    <row r="36" spans="2:15" ht="18" customHeight="1" x14ac:dyDescent="0.25">
      <c r="B36" s="62" t="s">
        <v>225</v>
      </c>
      <c r="C36" s="23" t="s">
        <v>230</v>
      </c>
      <c r="D36" s="74">
        <f>CORRECCION!D36</f>
        <v>0</v>
      </c>
      <c r="E36" s="72">
        <v>19</v>
      </c>
      <c r="G36" s="73">
        <v>18</v>
      </c>
      <c r="H36" s="65">
        <f t="shared" si="1"/>
        <v>11</v>
      </c>
      <c r="L36" s="65">
        <f>APLICACION!F36</f>
        <v>0</v>
      </c>
      <c r="O36" s="105" t="str">
        <f>CORRECCION!O36</f>
        <v>No presenta</v>
      </c>
    </row>
    <row r="37" spans="2:15" ht="18" customHeight="1" x14ac:dyDescent="0.25">
      <c r="B37" s="62" t="s">
        <v>232</v>
      </c>
      <c r="C37" s="23" t="s">
        <v>233</v>
      </c>
      <c r="D37" s="74">
        <f>CORRECCION!D37</f>
        <v>30</v>
      </c>
      <c r="E37" s="72">
        <v>20</v>
      </c>
      <c r="G37" s="73">
        <v>19</v>
      </c>
      <c r="H37" s="65">
        <f t="shared" si="1"/>
        <v>22</v>
      </c>
      <c r="L37" s="65">
        <f>APLICACION!F37</f>
        <v>3</v>
      </c>
      <c r="O37" s="105" t="str">
        <f>CORRECCION!O37</f>
        <v>No presenta</v>
      </c>
    </row>
    <row r="38" spans="2:15" ht="18" customHeight="1" x14ac:dyDescent="0.25">
      <c r="B38" s="62" t="s">
        <v>226</v>
      </c>
      <c r="C38" s="23" t="s">
        <v>234</v>
      </c>
      <c r="D38" s="74">
        <f>CORRECCION!D38</f>
        <v>30</v>
      </c>
      <c r="E38" s="72">
        <v>21</v>
      </c>
      <c r="G38" s="73">
        <v>20</v>
      </c>
      <c r="H38" s="65">
        <f t="shared" si="1"/>
        <v>28</v>
      </c>
      <c r="L38" s="65">
        <f>APLICACION!F38</f>
        <v>6</v>
      </c>
      <c r="O38" s="105" t="str">
        <f>CORRECCION!O38</f>
        <v>No presenta</v>
      </c>
    </row>
    <row r="39" spans="2:15" ht="18" customHeight="1" x14ac:dyDescent="0.25">
      <c r="B39" s="62" t="s">
        <v>227</v>
      </c>
      <c r="C39" s="23" t="s">
        <v>235</v>
      </c>
      <c r="D39" s="74">
        <f>CORRECCION!D39</f>
        <v>0</v>
      </c>
      <c r="E39" s="72">
        <v>22</v>
      </c>
      <c r="G39" s="73">
        <v>21</v>
      </c>
      <c r="H39" s="65">
        <f t="shared" si="1"/>
        <v>34</v>
      </c>
      <c r="L39" s="65">
        <f>APLICACION!F39</f>
        <v>0</v>
      </c>
      <c r="O39" s="105" t="str">
        <f>CORRECCION!O39</f>
        <v>No presenta</v>
      </c>
    </row>
    <row r="40" spans="2:15" ht="18" customHeight="1" x14ac:dyDescent="0.25">
      <c r="B40" s="62" t="s">
        <v>228</v>
      </c>
      <c r="C40" s="23" t="s">
        <v>236</v>
      </c>
      <c r="D40" s="74">
        <f>CORRECCION!D40</f>
        <v>0</v>
      </c>
      <c r="E40" s="72">
        <v>23</v>
      </c>
      <c r="G40" s="73">
        <v>22</v>
      </c>
      <c r="H40" s="65">
        <f t="shared" si="1"/>
        <v>24</v>
      </c>
      <c r="L40" s="65">
        <f>APLICACION!F40</f>
        <v>0</v>
      </c>
      <c r="O40" s="105" t="str">
        <f>CORRECCION!O40</f>
        <v>No presenta</v>
      </c>
    </row>
    <row r="41" spans="2:15" ht="18" customHeight="1" x14ac:dyDescent="0.25">
      <c r="B41" s="62" t="s">
        <v>229</v>
      </c>
      <c r="C41" s="23" t="s">
        <v>237</v>
      </c>
      <c r="D41" s="74">
        <f>CORRECCION!D41</f>
        <v>48</v>
      </c>
      <c r="E41" s="72">
        <v>24</v>
      </c>
      <c r="G41" s="73">
        <v>23</v>
      </c>
      <c r="H41" s="65">
        <f t="shared" si="1"/>
        <v>42</v>
      </c>
      <c r="L41" s="65">
        <f>APLICACION!F41</f>
        <v>4</v>
      </c>
      <c r="O41" s="105" t="str">
        <f>CORRECCION!O41</f>
        <v>No presenta</v>
      </c>
    </row>
    <row r="42" spans="2:15" ht="18" customHeight="1" x14ac:dyDescent="0.25">
      <c r="B42" s="79" t="s">
        <v>238</v>
      </c>
      <c r="C42" s="23" t="s">
        <v>239</v>
      </c>
      <c r="D42" s="74">
        <f>CORRECCION!D42</f>
        <v>40</v>
      </c>
      <c r="E42" s="72">
        <v>25</v>
      </c>
      <c r="G42" s="73">
        <v>24</v>
      </c>
      <c r="H42" s="65">
        <f t="shared" si="1"/>
        <v>33</v>
      </c>
      <c r="L42" s="65">
        <f>APLICACION!F42</f>
        <v>6</v>
      </c>
      <c r="O42" s="105" t="str">
        <f>CORRECCION!O42</f>
        <v>No presenta</v>
      </c>
    </row>
    <row r="43" spans="2:15" ht="18" customHeight="1" x14ac:dyDescent="0.25">
      <c r="B43" s="79" t="s">
        <v>240</v>
      </c>
      <c r="C43" s="23" t="s">
        <v>241</v>
      </c>
      <c r="D43" s="74">
        <f>CORRECCION!D43</f>
        <v>51</v>
      </c>
      <c r="E43" s="72">
        <v>26</v>
      </c>
      <c r="G43" s="73">
        <v>25</v>
      </c>
      <c r="H43" s="65">
        <f t="shared" si="1"/>
        <v>46</v>
      </c>
      <c r="L43" s="65">
        <f>APLICACION!F43</f>
        <v>6</v>
      </c>
      <c r="O43" s="105" t="str">
        <f>CORRECCION!O43</f>
        <v>No presenta</v>
      </c>
    </row>
    <row r="44" spans="2:15" ht="18" customHeight="1" x14ac:dyDescent="0.25">
      <c r="B44" s="79" t="s">
        <v>242</v>
      </c>
      <c r="C44" s="23" t="s">
        <v>243</v>
      </c>
      <c r="D44" s="74">
        <f>CORRECCION!D44</f>
        <v>60</v>
      </c>
      <c r="E44" s="72">
        <v>27</v>
      </c>
      <c r="G44" s="73">
        <v>26</v>
      </c>
      <c r="H44" s="65">
        <f t="shared" si="1"/>
        <v>51</v>
      </c>
      <c r="L44" s="65">
        <f>APLICACION!F44</f>
        <v>2</v>
      </c>
      <c r="O44" s="105" t="str">
        <f>CORRECCION!O44</f>
        <v>No presenta</v>
      </c>
    </row>
  </sheetData>
  <sheetProtection password="DCB1" sheet="1" objects="1" scenarios="1" selectLockedCells="1" selectUnlockedCells="1"/>
  <mergeCells count="10">
    <mergeCell ref="B16:C16"/>
    <mergeCell ref="O16:P16"/>
    <mergeCell ref="B29:C29"/>
    <mergeCell ref="B34:C34"/>
    <mergeCell ref="B9:C9"/>
    <mergeCell ref="O10:T10"/>
    <mergeCell ref="O11:T11"/>
    <mergeCell ref="O12:T12"/>
    <mergeCell ref="O13:T13"/>
    <mergeCell ref="O14:T14"/>
  </mergeCells>
  <conditionalFormatting sqref="O17:O44">
    <cfRule type="containsText" dxfId="7" priority="4" operator="containsText" text="No presenta">
      <formula>NOT(ISERROR(SEARCH("No presenta",O17)))</formula>
    </cfRule>
  </conditionalFormatting>
  <conditionalFormatting sqref="O17:O44">
    <cfRule type="containsText" dxfId="6" priority="3" operator="containsText" text="Trastornos Críticos">
      <formula>NOT(ISERROR(SEARCH("Trastornos Críticos",O17)))</formula>
    </cfRule>
  </conditionalFormatting>
  <conditionalFormatting sqref="O17:O44">
    <cfRule type="containsText" dxfId="5" priority="1" operator="containsText" text="Categoría de Riesgo">
      <formula>NOT(ISERROR(SEARCH("Categoría de Riesgo",O17)))</formula>
    </cfRule>
    <cfRule type="containsText" dxfId="4" priority="2" operator="containsText" text="Patrones menos adaptativos">
      <formula>NOT(ISERROR(SEARCH("Patrones menos adaptativos",O17)))</formula>
    </cfRule>
  </conditionalFormatting>
  <pageMargins left="0.23622047244094491" right="0.23622047244094491" top="0.74803149606299213" bottom="0.74803149606299213" header="0.31496062992125984" footer="0.31496062992125984"/>
  <pageSetup paperSize="9" scale="87" fitToHeight="0" orientation="portrait" r:id="rId1"/>
  <headerFooter>
    <oddHeader>&amp;CPS.JESÚS LUIS TORRES CORONEL</oddHeader>
    <oddFooter>&amp;CPS.JESÚS LUIS TORRES CORONEL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4:J69"/>
  <sheetViews>
    <sheetView topLeftCell="A4" zoomScale="91" zoomScaleNormal="91" workbookViewId="0">
      <selection sqref="A1:XFD1048576"/>
    </sheetView>
  </sheetViews>
  <sheetFormatPr baseColWidth="10" defaultColWidth="9.140625" defaultRowHeight="15" x14ac:dyDescent="0.25"/>
  <cols>
    <col min="1" max="1" width="4.140625" style="15" customWidth="1"/>
    <col min="2" max="2" width="33" style="15" customWidth="1"/>
    <col min="3" max="3" width="0" style="15" hidden="1" customWidth="1"/>
    <col min="4" max="4" width="6.140625" style="15" customWidth="1"/>
    <col min="5" max="5" width="51.28515625" style="43" customWidth="1"/>
    <col min="6" max="6" width="4.28515625" style="43" customWidth="1"/>
    <col min="7" max="7" width="4.28515625" style="15" customWidth="1"/>
    <col min="8" max="8" width="30" style="15" customWidth="1"/>
    <col min="9" max="9" width="5.140625" style="15" customWidth="1"/>
    <col min="10" max="10" width="6.28515625" style="15" customWidth="1"/>
    <col min="11" max="16384" width="9.140625" style="15"/>
  </cols>
  <sheetData>
    <row r="4" spans="1:10" x14ac:dyDescent="0.25">
      <c r="E4" s="111"/>
      <c r="F4" s="111"/>
    </row>
    <row r="7" spans="1:10" x14ac:dyDescent="0.25">
      <c r="F7" s="46"/>
    </row>
    <row r="8" spans="1:10" x14ac:dyDescent="0.25">
      <c r="A8" s="145" t="s">
        <v>206</v>
      </c>
      <c r="B8" s="145"/>
      <c r="C8" s="106" t="s">
        <v>253</v>
      </c>
      <c r="D8" s="51" t="s">
        <v>284</v>
      </c>
      <c r="F8" s="46"/>
      <c r="G8" s="146" t="s">
        <v>385</v>
      </c>
      <c r="H8" s="146"/>
      <c r="I8" s="107" t="s">
        <v>253</v>
      </c>
      <c r="J8" s="22" t="s">
        <v>386</v>
      </c>
    </row>
    <row r="9" spans="1:10" x14ac:dyDescent="0.25">
      <c r="A9" s="52">
        <v>1</v>
      </c>
      <c r="B9" s="25" t="s">
        <v>207</v>
      </c>
      <c r="C9" s="53"/>
      <c r="D9" s="54">
        <f>CORRECCION!D17</f>
        <v>40</v>
      </c>
      <c r="E9" s="41" t="str">
        <f>REPT("g",D9/2)</f>
        <v>gggggggggggggggggggg</v>
      </c>
      <c r="F9" s="47"/>
      <c r="G9" s="35">
        <v>1</v>
      </c>
      <c r="H9" s="31" t="s">
        <v>387</v>
      </c>
      <c r="I9" s="27">
        <f>'RPTA SIGNIFICATIVAS'!C9</f>
        <v>2</v>
      </c>
      <c r="J9" s="36">
        <f>'RPTA SIGNIFICATIVAS'!D9</f>
        <v>0.33333333333333331</v>
      </c>
    </row>
    <row r="10" spans="1:10" x14ac:dyDescent="0.25">
      <c r="A10" s="55">
        <v>1.1000000000000001</v>
      </c>
      <c r="B10" s="26" t="s">
        <v>296</v>
      </c>
      <c r="C10" s="56">
        <f>APLICACION!D24+APLICACION!D27+APLICACION!D36+APLICACION!D116+APLICACION!D161+APLICACION!E166+APLICACION!D192+APLICACION!E197+APLICACION!D202</f>
        <v>1</v>
      </c>
      <c r="D10" s="56">
        <f>IF(C10=0,'PERCENTIL GROSSMAN'!B3,IF(C10=1,'PERCENTIL GROSSMAN'!D3,IF(C10=2,'PERCENTIL GROSSMAN'!F3,IF(C10=3,'PERCENTIL GROSSMAN'!H3,IF(C10=4,'PERCENTIL GROSSMAN'!J3,IF(C10=5,'PERCENTIL GROSSMAN'!L3,IF(C10=6,'PERCENTIL GROSSMAN'!N3,IF(C10=7,'PERCENTIL GROSSMAN'!P3,IF(C10=8,'PERCENTIL GROSSMAN'!R3,IF(C10=9,'PERCENTIL GROSSMAN'!T3))))))))))</f>
        <v>20</v>
      </c>
      <c r="E10" s="42" t="str">
        <f t="shared" ref="E10:E69" si="0">REPT("g",D10/2)</f>
        <v>gggggggggg</v>
      </c>
      <c r="F10" s="48"/>
      <c r="G10" s="35">
        <v>2</v>
      </c>
      <c r="H10" s="31" t="s">
        <v>388</v>
      </c>
      <c r="I10" s="27">
        <f>'RPTA SIGNIFICATIVAS'!C10</f>
        <v>0</v>
      </c>
      <c r="J10" s="36">
        <f>'RPTA SIGNIFICATIVAS'!D10</f>
        <v>0</v>
      </c>
    </row>
    <row r="11" spans="1:10" x14ac:dyDescent="0.25">
      <c r="A11" s="55">
        <v>1.2</v>
      </c>
      <c r="B11" s="26" t="s">
        <v>297</v>
      </c>
      <c r="C11" s="56">
        <f>APLICACION!D38+APLICACION!E42+APLICACION!E58+APLICACION!E79+APLICACION!D111+APLICACION!D151+APLICACION!D187+APLICACION!E190+APLICACION!D207</f>
        <v>2</v>
      </c>
      <c r="D11" s="56">
        <f>IF(C11=0,'PERCENTIL GROSSMAN'!B4,IF(C11=1,'PERCENTIL GROSSMAN'!D4,IF(C11=2,'PERCENTIL GROSSMAN'!F4,IF(C11=3,'PERCENTIL GROSSMAN'!H4,IF(C11=4,'PERCENTIL GROSSMAN'!J4,IF(C11=5,'PERCENTIL GROSSMAN'!L4,IF(C11=6,'PERCENTIL GROSSMAN'!N4,IF(C11=7,'PERCENTIL GROSSMAN'!P4,IF(C11=8,'PERCENTIL GROSSMAN'!R4,IF(C11=9,'PERCENTIL GROSSMAN'!T4))))))))))</f>
        <v>30</v>
      </c>
      <c r="E11" s="42" t="str">
        <f t="shared" si="0"/>
        <v>ggggggggggggggg</v>
      </c>
      <c r="F11" s="48"/>
      <c r="G11" s="35">
        <v>3</v>
      </c>
      <c r="H11" s="49" t="s">
        <v>389</v>
      </c>
      <c r="I11" s="27">
        <f>'RPTA SIGNIFICATIVAS'!C11</f>
        <v>2</v>
      </c>
      <c r="J11" s="36">
        <f>'RPTA SIGNIFICATIVAS'!D11</f>
        <v>1</v>
      </c>
    </row>
    <row r="12" spans="1:10" x14ac:dyDescent="0.25">
      <c r="A12" s="55">
        <v>1.3</v>
      </c>
      <c r="B12" s="26" t="s">
        <v>298</v>
      </c>
      <c r="C12" s="56">
        <f>APLICACION!D39+APLICACION!E43+APLICACION!E59+APLICACION!E80+APLICACION!D112+APLICACION!D152+APLICACION!D188+APLICACION!E191+APLICACION!D208</f>
        <v>3</v>
      </c>
      <c r="D12" s="56">
        <f>IF(C12=0,'PERCENTIL GROSSMAN'!B5,IF(C12=1,'PERCENTIL GROSSMAN'!D5,IF(C12=2,'PERCENTIL GROSSMAN'!F5,IF(C12=3,'PERCENTIL GROSSMAN'!H5,IF(C12=4,'PERCENTIL GROSSMAN'!J5,IF(C12=5,'PERCENTIL GROSSMAN'!L5,IF(C12=6,'PERCENTIL GROSSMAN'!N5,IF(C12=7,'PERCENTIL GROSSMAN'!P5,IF(C12=8,'PERCENTIL GROSSMAN'!R5,IF(C12=9,'PERCENTIL GROSSMAN'!T5))))))))))</f>
        <v>60</v>
      </c>
      <c r="E12" s="42" t="str">
        <f t="shared" si="0"/>
        <v>gggggggggggggggggggggggggggggg</v>
      </c>
      <c r="F12" s="48"/>
      <c r="G12" s="35">
        <v>4</v>
      </c>
      <c r="H12" s="49" t="s">
        <v>390</v>
      </c>
      <c r="I12" s="27">
        <f>'RPTA SIGNIFICATIVAS'!C12</f>
        <v>0</v>
      </c>
      <c r="J12" s="36">
        <f>'RPTA SIGNIFICATIVAS'!D12</f>
        <v>0</v>
      </c>
    </row>
    <row r="13" spans="1:10" x14ac:dyDescent="0.25">
      <c r="A13" s="52" t="s">
        <v>200</v>
      </c>
      <c r="B13" s="28" t="s">
        <v>208</v>
      </c>
      <c r="C13" s="57"/>
      <c r="D13" s="54">
        <f>CORRECCION!D18</f>
        <v>6</v>
      </c>
      <c r="E13" s="41" t="str">
        <f t="shared" si="0"/>
        <v>ggg</v>
      </c>
      <c r="F13" s="47"/>
      <c r="G13" s="35">
        <v>5</v>
      </c>
      <c r="H13" s="30" t="s">
        <v>391</v>
      </c>
      <c r="I13" s="27">
        <f>'RPTA SIGNIFICATIVAS'!C13</f>
        <v>1</v>
      </c>
      <c r="J13" s="36">
        <f>'RPTA SIGNIFICATIVAS'!D13</f>
        <v>0.125</v>
      </c>
    </row>
    <row r="14" spans="1:10" x14ac:dyDescent="0.25">
      <c r="A14" s="58" t="s">
        <v>299</v>
      </c>
      <c r="B14" s="29" t="s">
        <v>300</v>
      </c>
      <c r="C14" s="56">
        <f>APLICACION!D27+APLICACION!D38+APLICACION!E42+APLICACION!E58+APLICACION!E96+APLICACION!D111+APLICACION!D151+APLICACION!E166</f>
        <v>2</v>
      </c>
      <c r="D14" s="56">
        <f>IF(C14=0,'PERCENTIL GROSSMAN'!B6,IF(C14=1,'PERCENTIL GROSSMAN'!D6,IF(C14=2,'PERCENTIL GROSSMAN'!F6,IF(C14=3,'PERCENTIL GROSSMAN'!H6,IF(C14=4,'PERCENTIL GROSSMAN'!J6,IF(C14=5,'PERCENTIL GROSSMAN'!L6,IF(C14=6,'PERCENTIL GROSSMAN'!N6,IF(C14=7,'PERCENTIL GROSSMAN'!P6,IF(C14=8,'PERCENTIL GROSSMAN'!R6,IF(C14=9,'PERCENTIL GROSSMAN'!T6))))))))))</f>
        <v>30</v>
      </c>
      <c r="E14" s="42" t="str">
        <f t="shared" si="0"/>
        <v>ggggggggggggggg</v>
      </c>
      <c r="F14" s="48"/>
      <c r="G14" s="35">
        <v>6</v>
      </c>
      <c r="H14" s="30" t="s">
        <v>392</v>
      </c>
      <c r="I14" s="27">
        <f>'RPTA SIGNIFICATIVAS'!C14</f>
        <v>0</v>
      </c>
      <c r="J14" s="36">
        <f>'RPTA SIGNIFICATIVAS'!D14</f>
        <v>0</v>
      </c>
    </row>
    <row r="15" spans="1:10" x14ac:dyDescent="0.25">
      <c r="A15" s="58" t="s">
        <v>301</v>
      </c>
      <c r="B15" s="26" t="s">
        <v>302</v>
      </c>
      <c r="C15" s="56">
        <f>APLICACION!D35+APLICACION!D70+APLICACION!E79+APLICACION!D123+APLICACION!D147+APLICACION!D168+APLICACION!D190+APLICACION!D204+APLICACION!D205</f>
        <v>2</v>
      </c>
      <c r="D15" s="56">
        <f>IF(C15=0,'PERCENTIL GROSSMAN'!B7,IF(C15=1,'PERCENTIL GROSSMAN'!D7,IF(C15=2,'PERCENTIL GROSSMAN'!F7,IF(C15=3,'PERCENTIL GROSSMAN'!H7,IF(C15=4,'PERCENTIL GROSSMAN'!J7,IF(C15=5,'PERCENTIL GROSSMAN'!L7,IF(C15=6,'PERCENTIL GROSSMAN'!N7,IF(C15=7,'PERCENTIL GROSSMAN'!P7,IF(C15=8,'PERCENTIL GROSSMAN'!R7,IF(C15=9,'PERCENTIL GROSSMAN'!T7))))))))))</f>
        <v>30</v>
      </c>
      <c r="E15" s="42" t="str">
        <f t="shared" si="0"/>
        <v>ggggggggggggggg</v>
      </c>
      <c r="F15" s="48"/>
      <c r="G15" s="35">
        <v>7</v>
      </c>
      <c r="H15" s="30" t="s">
        <v>393</v>
      </c>
      <c r="I15" s="27">
        <f>'RPTA SIGNIFICATIVAS'!C15</f>
        <v>0</v>
      </c>
      <c r="J15" s="36">
        <f>'RPTA SIGNIFICATIVAS'!D15</f>
        <v>0</v>
      </c>
    </row>
    <row r="16" spans="1:10" x14ac:dyDescent="0.25">
      <c r="A16" s="58" t="s">
        <v>303</v>
      </c>
      <c r="B16" s="26" t="s">
        <v>304</v>
      </c>
      <c r="C16" s="56">
        <f>APLICACION!E17+APLICACION!D24+APLICACION!D36+APLICACION!D64+APLICACION!D104+APLICACION!D105+APLICACION!D124+APLICACION!D196+APLICACION!D207</f>
        <v>2</v>
      </c>
      <c r="D16" s="56">
        <f>IF(C16=0,'PERCENTIL GROSSMAN'!B8,IF(C16=1,'PERCENTIL GROSSMAN'!D8,IF(C16=2,'PERCENTIL GROSSMAN'!F8,IF(C16=3,'PERCENTIL GROSSMAN'!H8,IF(C16=4,'PERCENTIL GROSSMAN'!J8,IF(C16=5,'PERCENTIL GROSSMAN'!L8,IF(C16=6,'PERCENTIL GROSSMAN'!N8,IF(C16=7,'PERCENTIL GROSSMAN'!P8,IF(C16=8,'PERCENTIL GROSSMAN'!R8,IF(C16=9,'PERCENTIL GROSSMAN'!T8))))))))))</f>
        <v>40</v>
      </c>
      <c r="E16" s="42" t="str">
        <f t="shared" si="0"/>
        <v>gggggggggggggggggggg</v>
      </c>
      <c r="F16" s="48"/>
      <c r="G16" s="35">
        <v>8</v>
      </c>
      <c r="H16" s="50" t="s">
        <v>394</v>
      </c>
      <c r="I16" s="27">
        <f>'RPTA SIGNIFICATIVAS'!C16</f>
        <v>0</v>
      </c>
      <c r="J16" s="36">
        <f>'RPTA SIGNIFICATIVAS'!D16</f>
        <v>0</v>
      </c>
    </row>
    <row r="17" spans="1:10" x14ac:dyDescent="0.25">
      <c r="A17" s="52" t="s">
        <v>201</v>
      </c>
      <c r="B17" s="28" t="s">
        <v>209</v>
      </c>
      <c r="C17" s="57"/>
      <c r="D17" s="54">
        <f>CORRECCION!D19</f>
        <v>30</v>
      </c>
      <c r="E17" s="41" t="str">
        <f t="shared" si="0"/>
        <v>ggggggggggggggg</v>
      </c>
      <c r="F17" s="47"/>
      <c r="G17" s="35">
        <v>9</v>
      </c>
      <c r="H17" s="49" t="s">
        <v>395</v>
      </c>
      <c r="I17" s="27">
        <f>'RPTA SIGNIFICATIVAS'!C17</f>
        <v>0</v>
      </c>
      <c r="J17" s="36">
        <f>'RPTA SIGNIFICATIVAS'!D17</f>
        <v>0</v>
      </c>
    </row>
    <row r="18" spans="1:10" x14ac:dyDescent="0.25">
      <c r="A18" s="59" t="s">
        <v>305</v>
      </c>
      <c r="B18" s="30" t="s">
        <v>308</v>
      </c>
      <c r="C18" s="56">
        <f>APLICACION!D29+APLICACION!D35+APLICACION!D45+APLICACION!D63+APLICACION!D64+APLICACION!D83+APLICACION!D101+APLICACION!D138+APLICACION!D196</f>
        <v>3</v>
      </c>
      <c r="D18" s="56">
        <f>IF(C18=0,'PERCENTIL GROSSMAN'!B9,IF(C18=1,'PERCENTIL GROSSMAN'!D9,IF(C18=2,'PERCENTIL GROSSMAN'!F9,IF(C18=3,'PERCENTIL GROSSMAN'!H9,IF(C18=4,'PERCENTIL GROSSMAN'!J9,IF(C18=5,'PERCENTIL GROSSMAN'!L9,IF(C18=6,'PERCENTIL GROSSMAN'!N9,IF(C18=7,'PERCENTIL GROSSMAN'!P9,IF(C18=8,'PERCENTIL GROSSMAN'!R9,IF(C18=9,'PERCENTIL GROSSMAN'!T9))))))))))</f>
        <v>30</v>
      </c>
      <c r="E18" s="42" t="str">
        <f t="shared" si="0"/>
        <v>ggggggggggggggg</v>
      </c>
      <c r="F18" s="48"/>
      <c r="G18" s="35">
        <v>10</v>
      </c>
      <c r="H18" s="30" t="s">
        <v>396</v>
      </c>
      <c r="I18" s="27">
        <f>'RPTA SIGNIFICATIVAS'!C18</f>
        <v>2</v>
      </c>
      <c r="J18" s="36">
        <f>'RPTA SIGNIFICATIVAS'!D18</f>
        <v>0.16666666666666666</v>
      </c>
    </row>
    <row r="19" spans="1:10" x14ac:dyDescent="0.25">
      <c r="A19" s="59" t="s">
        <v>306</v>
      </c>
      <c r="B19" s="30" t="s">
        <v>309</v>
      </c>
      <c r="C19" s="56">
        <f>APLICACION!D51+APLICACION!D71+APLICACION!D105+APLICACION!D124+APLICACION!D181+APLICACION!D187+APLICACION!D190+APLICACION!D204+APLICACION!D207</f>
        <v>1</v>
      </c>
      <c r="D19" s="56">
        <f>IF(C19=0,'PERCENTIL GROSSMAN'!B10,IF(C19=1,'PERCENTIL GROSSMAN'!D10,IF(C19=2,'PERCENTIL GROSSMAN'!F10,IF(C19=3,'PERCENTIL GROSSMAN'!H10,IF(C19=4,'PERCENTIL GROSSMAN'!J10,IF(C19=5,'PERCENTIL GROSSMAN'!L10,IF(C19=6,'PERCENTIL GROSSMAN'!N10,IF(C19=7,'PERCENTIL GROSSMAN'!P10,IF(C19=8,'PERCENTIL GROSSMAN'!R10,IF(C19=9,'PERCENTIL GROSSMAN'!T10))))))))))</f>
        <v>30</v>
      </c>
      <c r="E19" s="42" t="str">
        <f t="shared" si="0"/>
        <v>ggggggggggggggg</v>
      </c>
      <c r="F19" s="48"/>
      <c r="G19" s="35">
        <v>11</v>
      </c>
      <c r="H19" s="49" t="s">
        <v>397</v>
      </c>
      <c r="I19" s="27">
        <f>'RPTA SIGNIFICATIVAS'!C19</f>
        <v>0</v>
      </c>
      <c r="J19" s="36">
        <f>'RPTA SIGNIFICATIVAS'!D19</f>
        <v>0</v>
      </c>
    </row>
    <row r="20" spans="1:10" x14ac:dyDescent="0.25">
      <c r="A20" s="59" t="s">
        <v>307</v>
      </c>
      <c r="B20" s="30" t="s">
        <v>310</v>
      </c>
      <c r="C20" s="56">
        <f>APLICACION!D34+APLICACION!E65+APLICACION!D82+APLICACION!D102+APLICACION!D113+APLICACION!D119+APLICACION!D123+APLICACION!D182+APLICACION!D205</f>
        <v>4</v>
      </c>
      <c r="D20" s="56">
        <f>IF(C20=0,'PERCENTIL GROSSMAN'!B11,IF(C20=1,'PERCENTIL GROSSMAN'!D11,IF(C20=2,'PERCENTIL GROSSMAN'!F11,IF(C20=3,'PERCENTIL GROSSMAN'!H11,IF(C20=4,'PERCENTIL GROSSMAN'!J11,IF(C20=5,'PERCENTIL GROSSMAN'!L11,IF(C20=6,'PERCENTIL GROSSMAN'!N11,IF(C20=7,'PERCENTIL GROSSMAN'!P11,IF(C20=8,'PERCENTIL GROSSMAN'!R11,IF(C20=9,'PERCENTIL GROSSMAN'!T11))))))))))</f>
        <v>75</v>
      </c>
      <c r="E20" s="42" t="str">
        <f t="shared" si="0"/>
        <v>ggggggggggggggggggggggggggggggggggggg</v>
      </c>
      <c r="F20" s="48"/>
      <c r="G20" s="35">
        <v>12</v>
      </c>
      <c r="H20" s="49" t="s">
        <v>398</v>
      </c>
      <c r="I20" s="27">
        <f>'RPTA SIGNIFICATIVAS'!C20</f>
        <v>0</v>
      </c>
      <c r="J20" s="36">
        <f>'RPTA SIGNIFICATIVAS'!D20</f>
        <v>0</v>
      </c>
    </row>
    <row r="21" spans="1:10" x14ac:dyDescent="0.25">
      <c r="A21" s="52">
        <v>3</v>
      </c>
      <c r="B21" s="28" t="s">
        <v>210</v>
      </c>
      <c r="C21" s="57"/>
      <c r="D21" s="54">
        <f>CORRECCION!D20</f>
        <v>36</v>
      </c>
      <c r="E21" s="41" t="str">
        <f t="shared" si="0"/>
        <v>gggggggggggggggggg</v>
      </c>
      <c r="F21" s="47"/>
      <c r="G21" s="35">
        <v>13</v>
      </c>
      <c r="H21" s="30" t="s">
        <v>399</v>
      </c>
      <c r="I21" s="27">
        <f>'RPTA SIGNIFICATIVAS'!C21</f>
        <v>2</v>
      </c>
      <c r="J21" s="36">
        <f>'RPTA SIGNIFICATIVAS'!D21</f>
        <v>0.25</v>
      </c>
    </row>
    <row r="22" spans="1:10" x14ac:dyDescent="0.25">
      <c r="A22" s="59">
        <v>3.1</v>
      </c>
      <c r="B22" s="30" t="s">
        <v>311</v>
      </c>
      <c r="C22" s="56">
        <f>APLICACION!D16+APLICACION!D17+APLICACION!D35+APLICACION!D63+APLICACION!D84+APLICACION!D111+APLICACION!D121+APLICACION!D147+APLICACION!D196</f>
        <v>0</v>
      </c>
      <c r="D22" s="56">
        <f>IF(C22=0,'PERCENTIL GROSSMAN'!B12,IF(C22=1,'PERCENTIL GROSSMAN'!D12,IF(C22=2,'PERCENTIL GROSSMAN'!F12,IF(C22=3,'PERCENTIL GROSSMAN'!H12,IF(C22=4,'PERCENTIL GROSSMAN'!J12,IF(C22=5,'PERCENTIL GROSSMAN'!L12,IF(C22=6,'PERCENTIL GROSSMAN'!N12,IF(C22=7,'PERCENTIL GROSSMAN'!P12,IF(C22=8,'PERCENTIL GROSSMAN'!R12,IF(C22=9,'PERCENTIL GROSSMAN'!T12))))))))))</f>
        <v>0</v>
      </c>
      <c r="E22" s="42" t="str">
        <f t="shared" si="0"/>
        <v/>
      </c>
      <c r="F22" s="44"/>
    </row>
    <row r="23" spans="1:10" x14ac:dyDescent="0.25">
      <c r="A23" s="59">
        <v>3.2</v>
      </c>
      <c r="B23" s="30" t="s">
        <v>312</v>
      </c>
      <c r="C23" s="56">
        <f>APLICACION!D38+APLICACION!D72+APLICACION!D174+APLICACION!D181+APLICACION!D185+APLICACION!D197+APLICACION!D206</f>
        <v>3</v>
      </c>
      <c r="D23" s="56">
        <f>IF(C23=0,'PERCENTIL GROSSMAN'!B13,IF(C23=1,'PERCENTIL GROSSMAN'!D13,IF(C23=2,'PERCENTIL GROSSMAN'!F13,IF(C23=3,'PERCENTIL GROSSMAN'!H13,IF(C23=4,'PERCENTIL GROSSMAN'!J13,IF(C23=5,'PERCENTIL GROSSMAN'!L13,IF(C23=6,'PERCENTIL GROSSMAN'!N13,IF(C23=7,'PERCENTIL GROSSMAN'!P13,IF(C23=8,'PERCENTIL GROSSMAN'!R13,IF(C23=9,'PERCENTIL GROSSMAN'!T13))))))))))</f>
        <v>60</v>
      </c>
      <c r="E23" s="42" t="str">
        <f t="shared" si="0"/>
        <v>gggggggggggggggggggggggggggggg</v>
      </c>
      <c r="F23" s="44"/>
    </row>
    <row r="24" spans="1:10" x14ac:dyDescent="0.25">
      <c r="A24" s="59">
        <v>3.3</v>
      </c>
      <c r="B24" s="30" t="s">
        <v>313</v>
      </c>
      <c r="C24" s="56">
        <f>APLICACION!D54+APLICACION!E65+APLICACION!E79+APLICACION!D89+APLICACION!D97+APLICACION!D105+APLICACION!D145+APLICACION!D163+APLICACION!D187</f>
        <v>2</v>
      </c>
      <c r="D24" s="56">
        <f>IF(C24=0,'PERCENTIL GROSSMAN'!B14,IF(C24=1,'PERCENTIL GROSSMAN'!D14,IF(C24=2,'PERCENTIL GROSSMAN'!F14,IF(C24=3,'PERCENTIL GROSSMAN'!H14,IF(C24=4,'PERCENTIL GROSSMAN'!J14,IF(C24=5,'PERCENTIL GROSSMAN'!L14,IF(C24=6,'PERCENTIL GROSSMAN'!N14,IF(C24=7,'PERCENTIL GROSSMAN'!P14,IF(C24=8,'PERCENTIL GROSSMAN'!R14,IF(C24=9,'PERCENTIL GROSSMAN'!T14))))))))))</f>
        <v>30</v>
      </c>
      <c r="E24" s="42" t="str">
        <f t="shared" si="0"/>
        <v>ggggggggggggggg</v>
      </c>
      <c r="F24" s="44"/>
    </row>
    <row r="25" spans="1:10" x14ac:dyDescent="0.25">
      <c r="A25" s="52" t="s">
        <v>211</v>
      </c>
      <c r="B25" s="28" t="s">
        <v>212</v>
      </c>
      <c r="C25" s="57"/>
      <c r="D25" s="54">
        <f>CORRECCION!D21</f>
        <v>75</v>
      </c>
      <c r="E25" s="41" t="str">
        <f t="shared" si="0"/>
        <v>ggggggggggggggggggggggggggggggggggggg</v>
      </c>
      <c r="F25" s="45"/>
    </row>
    <row r="26" spans="1:10" x14ac:dyDescent="0.25">
      <c r="A26" s="59" t="s">
        <v>314</v>
      </c>
      <c r="B26" s="30" t="s">
        <v>317</v>
      </c>
      <c r="C26" s="56">
        <f>APLICACION!D22+APLICACION!D50+APLICACION!D95+APLICACION!D129+APLICACION!D144+APLICACION!D154+APLICACION!D183</f>
        <v>1</v>
      </c>
      <c r="D26" s="56">
        <f>IF(C26=0,'PERCENTIL GROSSMAN'!B15,IF(C26=1,'PERCENTIL GROSSMAN'!D15,IF(C26=2,'PERCENTIL GROSSMAN'!F15,IF(C26=3,'PERCENTIL GROSSMAN'!H15,IF(C26=4,'PERCENTIL GROSSMAN'!J15,IF(C26=5,'PERCENTIL GROSSMAN'!L15,IF(C26=6,'PERCENTIL GROSSMAN'!N15,IF(C26=7,'PERCENTIL GROSSMAN'!P15,IF(C26=8,'PERCENTIL GROSSMAN'!R15,IF(C26=9,'PERCENTIL GROSSMAN'!T15))))))))))</f>
        <v>60</v>
      </c>
      <c r="E26" s="42" t="str">
        <f t="shared" si="0"/>
        <v>gggggggggggggggggggggggggggggg</v>
      </c>
      <c r="F26" s="44"/>
      <c r="G26" s="87"/>
      <c r="H26" s="147" t="s">
        <v>385</v>
      </c>
      <c r="I26" s="147"/>
      <c r="J26" s="87"/>
    </row>
    <row r="27" spans="1:10" x14ac:dyDescent="0.25">
      <c r="A27" s="59" t="s">
        <v>315</v>
      </c>
      <c r="B27" s="30" t="s">
        <v>318</v>
      </c>
      <c r="C27" s="56">
        <f>APLICACION!E18+APLICACION!E27+APLICACION!E36+APLICACION!E38+APLICACION!E38+APLICACION!D42+APLICACION!D58+APLICACION!D96+APLICACION!E151+APLICACION!D166+APLICACION!E207</f>
        <v>9</v>
      </c>
      <c r="D27" s="56">
        <f>IF(C27=0,'PERCENTIL GROSSMAN'!B16,IF(C27=1,'PERCENTIL GROSSMAN'!D16,IF(C27=2,'PERCENTIL GROSSMAN'!F16,IF(C27=3,'PERCENTIL GROSSMAN'!H16,IF(C27=4,'PERCENTIL GROSSMAN'!J16,IF(C27=5,'PERCENTIL GROSSMAN'!L16,IF(C27=6,'PERCENTIL GROSSMAN'!N16,IF(C27=7,'PERCENTIL GROSSMAN'!P16,IF(C27=8,'PERCENTIL GROSSMAN'!R16,IF(C27=9,'PERCENTIL GROSSMAN'!T16))))))))))</f>
        <v>93</v>
      </c>
      <c r="E27" s="42" t="str">
        <f t="shared" si="0"/>
        <v>gggggggggggggggggggggggggggggggggggggggggggggg</v>
      </c>
      <c r="F27" s="44"/>
      <c r="G27" s="84">
        <v>1</v>
      </c>
      <c r="H27" s="29" t="s">
        <v>387</v>
      </c>
      <c r="I27" s="85" t="str">
        <f>REPT("g",J9*100/5)</f>
        <v>gggggg</v>
      </c>
      <c r="J27" s="86"/>
    </row>
    <row r="28" spans="1:10" x14ac:dyDescent="0.25">
      <c r="A28" s="59" t="s">
        <v>316</v>
      </c>
      <c r="B28" s="30" t="s">
        <v>319</v>
      </c>
      <c r="C28" s="56">
        <f>APLICACION!D20+APLICACION!D32+APLICACION!D39+APLICACION!D65+APLICACION!D79+APLICACION!D87+APLICACION!E147+APLICACION!D167+APLICACION!E182+APLICACION!D186+APLICACION!D190</f>
        <v>8</v>
      </c>
      <c r="D28" s="56">
        <f>IF(C28=0,'PERCENTIL GROSSMAN'!B17,IF(C28=1,'PERCENTIL GROSSMAN'!D17,IF(C28=2,'PERCENTIL GROSSMAN'!F17,IF(C28=3,'PERCENTIL GROSSMAN'!H17,IF(C28=4,'PERCENTIL GROSSMAN'!J17,IF(C28=5,'PERCENTIL GROSSMAN'!L17,IF(C28=6,'PERCENTIL GROSSMAN'!N17,IF(C28=7,'PERCENTIL GROSSMAN'!P17,IF(C28=8,'PERCENTIL GROSSMAN'!R17,IF(C28=9,'PERCENTIL GROSSMAN'!T17))))))))))</f>
        <v>75</v>
      </c>
      <c r="E28" s="42" t="str">
        <f t="shared" si="0"/>
        <v>ggggggggggggggggggggggggggggggggggggg</v>
      </c>
      <c r="F28" s="44"/>
      <c r="G28" s="35">
        <v>2</v>
      </c>
      <c r="H28" s="26" t="s">
        <v>388</v>
      </c>
      <c r="I28" s="85" t="str">
        <f t="shared" ref="I28:I39" si="1">REPT("g",J10*100/5)</f>
        <v/>
      </c>
      <c r="J28" s="83"/>
    </row>
    <row r="29" spans="1:10" x14ac:dyDescent="0.25">
      <c r="A29" s="52" t="s">
        <v>213</v>
      </c>
      <c r="B29" s="28" t="s">
        <v>214</v>
      </c>
      <c r="C29" s="57"/>
      <c r="D29" s="54">
        <f>CORRECCION!D22</f>
        <v>80</v>
      </c>
      <c r="E29" s="41" t="str">
        <f t="shared" si="0"/>
        <v>gggggggggggggggggggggggggggggggggggggggg</v>
      </c>
      <c r="F29" s="45"/>
      <c r="G29" s="35">
        <v>3</v>
      </c>
      <c r="H29" s="37" t="s">
        <v>389</v>
      </c>
      <c r="I29" s="85" t="str">
        <f t="shared" si="1"/>
        <v>gggggggggggggggggggg</v>
      </c>
      <c r="J29" s="83"/>
    </row>
    <row r="30" spans="1:10" x14ac:dyDescent="0.25">
      <c r="A30" s="58" t="s">
        <v>320</v>
      </c>
      <c r="B30" s="31" t="s">
        <v>323</v>
      </c>
      <c r="C30" s="56">
        <f>APLICACION!D20+APLICACION!D32+APLICACION!D65+APLICACION!D87+APLICACION!D141+APLICACION!D167+APLICACION!D186</f>
        <v>7</v>
      </c>
      <c r="D30" s="56">
        <f>IF(C30=0,'PERCENTIL GROSSMAN'!B18,IF(C30=1,'PERCENTIL GROSSMAN'!D18,IF(C30=2,'PERCENTIL GROSSMAN'!F18,IF(C30=3,'PERCENTIL GROSSMAN'!H18,IF(C30=4,'PERCENTIL GROSSMAN'!J18,IF(C30=5,'PERCENTIL GROSSMAN'!L18,IF(C30=6,'PERCENTIL GROSSMAN'!N18,IF(C30=7,'PERCENTIL GROSSMAN'!P18,IF(C30=8,'PERCENTIL GROSSMAN'!R18,IF(C30=9,'PERCENTIL GROSSMAN'!T18))))))))))</f>
        <v>75</v>
      </c>
      <c r="E30" s="42" t="str">
        <f t="shared" si="0"/>
        <v>ggggggggggggggggggggggggggggggggggggg</v>
      </c>
      <c r="F30" s="44"/>
      <c r="G30" s="35">
        <v>4</v>
      </c>
      <c r="H30" s="37" t="s">
        <v>390</v>
      </c>
      <c r="I30" s="85" t="str">
        <f t="shared" si="1"/>
        <v/>
      </c>
      <c r="J30" s="83"/>
    </row>
    <row r="31" spans="1:10" x14ac:dyDescent="0.25">
      <c r="A31" s="58" t="s">
        <v>321</v>
      </c>
      <c r="B31" s="32" t="s">
        <v>325</v>
      </c>
      <c r="C31" s="56">
        <f>APLICACION!D17+APLICACION!D22+APLICACION!E38+APLICACION!D42+APLICACION!D58+APLICACION!D96+APLICACION!D129+APLICACION!E161+APLICACION!D166</f>
        <v>5</v>
      </c>
      <c r="D31" s="56">
        <f>IF(C31=0,'PERCENTIL GROSSMAN'!B19,IF(C31=1,'PERCENTIL GROSSMAN'!D19,IF(C31=2,'PERCENTIL GROSSMAN'!F19,IF(C31=3,'PERCENTIL GROSSMAN'!H19,IF(C31=4,'PERCENTIL GROSSMAN'!J19,IF(C31=5,'PERCENTIL GROSSMAN'!L19,IF(C31=6,'PERCENTIL GROSSMAN'!N19,IF(C31=7,'PERCENTIL GROSSMAN'!P19,IF(C31=8,'PERCENTIL GROSSMAN'!R19,IF(C31=9,'PERCENTIL GROSSMAN'!T19))))))))))</f>
        <v>70</v>
      </c>
      <c r="E31" s="42" t="str">
        <f t="shared" si="0"/>
        <v>ggggggggggggggggggggggggggggggggggg</v>
      </c>
      <c r="F31" s="44"/>
      <c r="G31" s="35">
        <v>5</v>
      </c>
      <c r="H31" s="38" t="s">
        <v>391</v>
      </c>
      <c r="I31" s="85" t="str">
        <f t="shared" si="1"/>
        <v>gg</v>
      </c>
      <c r="J31" s="83"/>
    </row>
    <row r="32" spans="1:10" x14ac:dyDescent="0.25">
      <c r="A32" s="58" t="s">
        <v>322</v>
      </c>
      <c r="B32" s="31" t="s">
        <v>324</v>
      </c>
      <c r="C32" s="56">
        <f>APLICACION!E26+APLICACION!D79+APLICACION!E105+APLICACION!E132+APLICACION!D154+APLICACION!E168+APLICACION!E187+APLICACION!E190</f>
        <v>7</v>
      </c>
      <c r="D32" s="56">
        <f>IF(C32=0,'PERCENTIL GROSSMAN'!B20,IF(C32=1,'PERCENTIL GROSSMAN'!D20,IF(C32=2,'PERCENTIL GROSSMAN'!F20,IF(C32=3,'PERCENTIL GROSSMAN'!H20,IF(C32=4,'PERCENTIL GROSSMAN'!J20,IF(C32=5,'PERCENTIL GROSSMAN'!L20,IF(C32=6,'PERCENTIL GROSSMAN'!N20,IF(C32=7,'PERCENTIL GROSSMAN'!P20,IF(C32=8,'PERCENTIL GROSSMAN'!R20,IF(C32=9,'PERCENTIL GROSSMAN'!T20))))))))))</f>
        <v>85</v>
      </c>
      <c r="E32" s="42" t="str">
        <f t="shared" si="0"/>
        <v>gggggggggggggggggggggggggggggggggggggggggg</v>
      </c>
      <c r="F32" s="44"/>
      <c r="G32" s="35">
        <v>6</v>
      </c>
      <c r="H32" s="38" t="s">
        <v>392</v>
      </c>
      <c r="I32" s="85" t="str">
        <f t="shared" si="1"/>
        <v/>
      </c>
      <c r="J32" s="83"/>
    </row>
    <row r="33" spans="1:10" x14ac:dyDescent="0.25">
      <c r="A33" s="52">
        <v>5</v>
      </c>
      <c r="B33" s="28" t="s">
        <v>215</v>
      </c>
      <c r="C33" s="57"/>
      <c r="D33" s="54">
        <f>CORRECCION!D23</f>
        <v>62</v>
      </c>
      <c r="E33" s="41" t="str">
        <f t="shared" si="0"/>
        <v>ggggggggggggggggggggggggggggggg</v>
      </c>
      <c r="F33" s="45"/>
      <c r="G33" s="35">
        <v>7</v>
      </c>
      <c r="H33" s="38" t="s">
        <v>393</v>
      </c>
      <c r="I33" s="85" t="str">
        <f t="shared" si="1"/>
        <v/>
      </c>
      <c r="J33" s="83"/>
    </row>
    <row r="34" spans="1:10" x14ac:dyDescent="0.25">
      <c r="A34" s="59">
        <v>5.0999999999999996</v>
      </c>
      <c r="B34" s="30" t="s">
        <v>326</v>
      </c>
      <c r="C34" s="56">
        <f>APLICACION!D22+APLICACION!D31+APLICACION!D50+APLICACION!D95+APLICACION!D129+APLICACION!D144+APLICACION!D171+APLICACION!D183+APLICACION!D195</f>
        <v>1</v>
      </c>
      <c r="D34" s="56">
        <f>IF(C34=0,'PERCENTIL GROSSMAN'!B21,IF(C34=1,'PERCENTIL GROSSMAN'!D21,IF(C34=2,'PERCENTIL GROSSMAN'!F21,IF(C34=3,'PERCENTIL GROSSMAN'!H21,IF(C34=4,'PERCENTIL GROSSMAN'!J21,IF(C34=5,'PERCENTIL GROSSMAN'!L21,IF(C34=6,'PERCENTIL GROSSMAN'!N21,IF(C34=7,'PERCENTIL GROSSMAN'!P21,IF(C34=8,'PERCENTIL GROSSMAN'!R21,IF(C34=9,'PERCENTIL GROSSMAN'!T21))))))))))</f>
        <v>60</v>
      </c>
      <c r="E34" s="42" t="str">
        <f t="shared" si="0"/>
        <v>gggggggggggggggggggggggggggggg</v>
      </c>
      <c r="F34" s="44"/>
      <c r="G34" s="35">
        <v>8</v>
      </c>
      <c r="H34" s="39" t="s">
        <v>394</v>
      </c>
      <c r="I34" s="85" t="str">
        <f t="shared" si="1"/>
        <v/>
      </c>
      <c r="J34" s="83"/>
    </row>
    <row r="35" spans="1:10" x14ac:dyDescent="0.25">
      <c r="A35" s="59">
        <v>5.2</v>
      </c>
      <c r="B35" s="30" t="s">
        <v>327</v>
      </c>
      <c r="C35" s="56">
        <f>APLICACION!D20+APLICACION!D79+APLICACION!D87+APLICACION!E105+APLICACION!D154+APLICACION!D166+APLICACION!D167+APLICACION!D186+APLICACION!E190+APLICACION!D197</f>
        <v>9</v>
      </c>
      <c r="D35" s="56">
        <f>IF(C35=0,'PERCENTIL GROSSMAN'!B22,IF(C35=1,'PERCENTIL GROSSMAN'!D22,IF(C35=2,'PERCENTIL GROSSMAN'!F22,IF(C35=3,'PERCENTIL GROSSMAN'!H22,IF(C35=4,'PERCENTIL GROSSMAN'!J22,IF(C35=5,'PERCENTIL GROSSMAN'!L22,IF(C35=6,'PERCENTIL GROSSMAN'!N22,IF(C35=7,'PERCENTIL GROSSMAN'!P22,IF(C35=8,'PERCENTIL GROSSMAN'!R22,IF(C35=9,'PERCENTIL GROSSMAN'!T22))))))))))</f>
        <v>85</v>
      </c>
      <c r="E35" s="42" t="str">
        <f t="shared" si="0"/>
        <v>gggggggggggggggggggggggggggggggggggggggggg</v>
      </c>
      <c r="F35" s="44"/>
      <c r="G35" s="35">
        <v>9</v>
      </c>
      <c r="H35" s="37" t="s">
        <v>395</v>
      </c>
      <c r="I35" s="85" t="str">
        <f t="shared" si="1"/>
        <v/>
      </c>
      <c r="J35" s="83"/>
    </row>
    <row r="36" spans="1:10" x14ac:dyDescent="0.25">
      <c r="A36" s="59">
        <v>5.3</v>
      </c>
      <c r="B36" s="30" t="s">
        <v>328</v>
      </c>
      <c r="C36" s="56">
        <f>APLICACION!D41+APLICACION!D66+APLICACION!D91+APLICACION!D99+APLICACION!D118+APLICACION!D192+APLICACION!D201</f>
        <v>1</v>
      </c>
      <c r="D36" s="56">
        <f>IF(C36=0,'PERCENTIL GROSSMAN'!B23,IF(C36=1,'PERCENTIL GROSSMAN'!D23,IF(C36=2,'PERCENTIL GROSSMAN'!F23,IF(C36=3,'PERCENTIL GROSSMAN'!H23,IF(C36=4,'PERCENTIL GROSSMAN'!J23,IF(C36=5,'PERCENTIL GROSSMAN'!L23,IF(C36=6,'PERCENTIL GROSSMAN'!N23,IF(C36=7,'PERCENTIL GROSSMAN'!P23,IF(C36=8,'PERCENTIL GROSSMAN'!R23,IF(C36=9,'PERCENTIL GROSSMAN'!T23))))))))))</f>
        <v>60</v>
      </c>
      <c r="E36" s="42" t="str">
        <f t="shared" si="0"/>
        <v>gggggggggggggggggggggggggggggg</v>
      </c>
      <c r="F36" s="44"/>
      <c r="G36" s="35">
        <v>10</v>
      </c>
      <c r="H36" s="38" t="s">
        <v>396</v>
      </c>
      <c r="I36" s="85" t="str">
        <f t="shared" si="1"/>
        <v>ggg</v>
      </c>
      <c r="J36" s="83"/>
    </row>
    <row r="37" spans="1:10" x14ac:dyDescent="0.25">
      <c r="A37" s="52" t="s">
        <v>202</v>
      </c>
      <c r="B37" s="28" t="s">
        <v>216</v>
      </c>
      <c r="C37" s="57"/>
      <c r="D37" s="54">
        <f>CORRECCION!D24</f>
        <v>20</v>
      </c>
      <c r="E37" s="41" t="str">
        <f t="shared" si="0"/>
        <v>gggggggggg</v>
      </c>
      <c r="F37" s="45"/>
      <c r="G37" s="35">
        <v>11</v>
      </c>
      <c r="H37" s="37" t="s">
        <v>397</v>
      </c>
      <c r="I37" s="85" t="str">
        <f t="shared" si="1"/>
        <v/>
      </c>
      <c r="J37" s="83"/>
    </row>
    <row r="38" spans="1:10" x14ac:dyDescent="0.25">
      <c r="A38" s="59" t="s">
        <v>329</v>
      </c>
      <c r="B38" s="30" t="s">
        <v>332</v>
      </c>
      <c r="C38" s="56">
        <f>APLICACION!E22+APLICACION!E50+APLICACION!D95+APLICACION!D115+APLICACION!D171+APLICACION!E183+APLICACION!D195+APLICACION!E200</f>
        <v>4</v>
      </c>
      <c r="D38" s="56">
        <f>IF(C38=0,'PERCENTIL GROSSMAN'!B24,IF(C38=1,'PERCENTIL GROSSMAN'!D24,IF(C38=2,'PERCENTIL GROSSMAN'!F24,IF(C38=3,'PERCENTIL GROSSMAN'!H24,IF(C38=4,'PERCENTIL GROSSMAN'!J24,IF(C38=5,'PERCENTIL GROSSMAN'!L24,IF(C38=6,'PERCENTIL GROSSMAN'!N24,IF(C38=7,'PERCENTIL GROSSMAN'!P24,IF(C38=8,'PERCENTIL GROSSMAN'!R24,IF(C38=9,'PERCENTIL GROSSMAN'!T24))))))))))</f>
        <v>75</v>
      </c>
      <c r="E38" s="42" t="str">
        <f t="shared" si="0"/>
        <v>ggggggggggggggggggggggggggggggggggggg</v>
      </c>
      <c r="F38" s="44"/>
      <c r="G38" s="35">
        <v>12</v>
      </c>
      <c r="H38" s="37" t="s">
        <v>398</v>
      </c>
      <c r="I38" s="85" t="str">
        <f t="shared" si="1"/>
        <v/>
      </c>
      <c r="J38" s="83"/>
    </row>
    <row r="39" spans="1:10" x14ac:dyDescent="0.25">
      <c r="A39" s="59" t="s">
        <v>330</v>
      </c>
      <c r="B39" s="30" t="s">
        <v>333</v>
      </c>
      <c r="C39" s="56">
        <f>APLICACION!D23+APLICACION!D31+APLICACION!E60+APLICACION!E85+APLICACION!D159+APLICACION!D164+APLICACION!D165+APLICACION!E170+APLICACION!D180+APLICACION!E203</f>
        <v>3</v>
      </c>
      <c r="D39" s="56">
        <f>IF(C39=0,'PERCENTIL GROSSMAN'!B25,IF(C39=1,'PERCENTIL GROSSMAN'!D25,IF(C39=2,'PERCENTIL GROSSMAN'!F25,IF(C39=3,'PERCENTIL GROSSMAN'!H25,IF(C39=4,'PERCENTIL GROSSMAN'!J25,IF(C39=5,'PERCENTIL GROSSMAN'!L25,IF(C39=6,'PERCENTIL GROSSMAN'!N25,IF(C39=7,'PERCENTIL GROSSMAN'!P25,IF(C39=8,'PERCENTIL GROSSMAN'!R25,IF(C39=9,'PERCENTIL GROSSMAN'!T25))))))))))</f>
        <v>65</v>
      </c>
      <c r="E39" s="42" t="str">
        <f t="shared" si="0"/>
        <v>gggggggggggggggggggggggggggggggg</v>
      </c>
      <c r="F39" s="44"/>
      <c r="G39" s="35">
        <v>13</v>
      </c>
      <c r="H39" s="38" t="s">
        <v>399</v>
      </c>
      <c r="I39" s="85" t="str">
        <f t="shared" si="1"/>
        <v>ggggg</v>
      </c>
      <c r="J39" s="83"/>
    </row>
    <row r="40" spans="1:10" x14ac:dyDescent="0.25">
      <c r="A40" s="59" t="s">
        <v>331</v>
      </c>
      <c r="B40" s="30" t="s">
        <v>334</v>
      </c>
      <c r="C40" s="56">
        <f>APLICACION!D37+APLICACION!D48+APLICACION!D73+APLICACION!E75+APLICACION!D97+APLICACION!D117+APLICACION!D138+APLICACION!D142+APLICACION!D156</f>
        <v>1</v>
      </c>
      <c r="D40" s="56">
        <f>IF(C40=0,'PERCENTIL GROSSMAN'!B26,IF(C40=1,'PERCENTIL GROSSMAN'!D26,IF(C40=2,'PERCENTIL GROSSMAN'!F26,IF(C40=3,'PERCENTIL GROSSMAN'!H26,IF(C40=4,'PERCENTIL GROSSMAN'!J26,IF(C40=5,'PERCENTIL GROSSMAN'!L26,IF(C40=6,'PERCENTIL GROSSMAN'!N26,IF(C40=7,'PERCENTIL GROSSMAN'!P26,IF(C40=8,'PERCENTIL GROSSMAN'!R26,IF(C40=9,'PERCENTIL GROSSMAN'!T26))))))))))</f>
        <v>60</v>
      </c>
      <c r="E40" s="42" t="str">
        <f t="shared" si="0"/>
        <v>gggggggggggggggggggggggggggggg</v>
      </c>
      <c r="F40" s="44"/>
    </row>
    <row r="41" spans="1:10" x14ac:dyDescent="0.25">
      <c r="A41" s="52" t="s">
        <v>203</v>
      </c>
      <c r="B41" s="28" t="s">
        <v>217</v>
      </c>
      <c r="C41" s="57"/>
      <c r="D41" s="54">
        <f>CORRECCION!D25</f>
        <v>10</v>
      </c>
      <c r="E41" s="41" t="str">
        <f t="shared" si="0"/>
        <v>ggggg</v>
      </c>
      <c r="F41" s="45"/>
    </row>
    <row r="42" spans="1:10" x14ac:dyDescent="0.25">
      <c r="A42" s="59" t="s">
        <v>335</v>
      </c>
      <c r="B42" s="32" t="s">
        <v>339</v>
      </c>
      <c r="C42" s="56">
        <f>APLICACION!D21+APLICACION!D23+APLICACION!D77+APLICACION!D78+APLICACION!D100+APLICACION!D115+APLICACION!D164+APLICACION!D165+APLICACION!D171</f>
        <v>2</v>
      </c>
      <c r="D42" s="56">
        <f>IF(C42=0,'PERCENTIL GROSSMAN'!B27,IF(C42=1,'PERCENTIL GROSSMAN'!D27,IF(C42=2,'PERCENTIL GROSSMAN'!F27,IF(C42=3,'PERCENTIL GROSSMAN'!H27,IF(C42=4,'PERCENTIL GROSSMAN'!J27,IF(C42=5,'PERCENTIL GROSSMAN'!L27,IF(C42=6,'PERCENTIL GROSSMAN'!N27,IF(C42=7,'PERCENTIL GROSSMAN'!P27,IF(C42=8,'PERCENTIL GROSSMAN'!R27,IF(C42=9,'PERCENTIL GROSSMAN'!T27))))))))))</f>
        <v>40</v>
      </c>
      <c r="E42" s="42" t="str">
        <f t="shared" si="0"/>
        <v>gggggggggggggggggggg</v>
      </c>
      <c r="F42" s="44"/>
    </row>
    <row r="43" spans="1:10" x14ac:dyDescent="0.25">
      <c r="A43" s="59" t="s">
        <v>336</v>
      </c>
      <c r="B43" s="30" t="s">
        <v>338</v>
      </c>
      <c r="C43" s="56">
        <f>APLICACION!D31+APLICACION!D33+APLICACION!D62+APLICACION!D109+APLICACION!D153+APLICACION!E178+APLICACION!D199</f>
        <v>2</v>
      </c>
      <c r="D43" s="56">
        <f>IF(C43=0,'PERCENTIL GROSSMAN'!B28,IF(C43=1,'PERCENTIL GROSSMAN'!D28,IF(C43=2,'PERCENTIL GROSSMAN'!F28,IF(C43=3,'PERCENTIL GROSSMAN'!H28,IF(C43=4,'PERCENTIL GROSSMAN'!J28,IF(C43=5,'PERCENTIL GROSSMAN'!L28,IF(C43=6,'PERCENTIL GROSSMAN'!N28,IF(C43=7,'PERCENTIL GROSSMAN'!P28,IF(C43=8,'PERCENTIL GROSSMAN'!R28,IF(C43=9,'PERCENTIL GROSSMAN'!T28))))))))))</f>
        <v>64</v>
      </c>
      <c r="E43" s="42" t="str">
        <f t="shared" si="0"/>
        <v>gggggggggggggggggggggggggggggggg</v>
      </c>
      <c r="F43" s="44"/>
    </row>
    <row r="44" spans="1:10" x14ac:dyDescent="0.25">
      <c r="A44" s="59" t="s">
        <v>337</v>
      </c>
      <c r="B44" s="30" t="s">
        <v>340</v>
      </c>
      <c r="C44" s="56">
        <f>APLICACION!D28+APLICACION!D49+APLICACION!D86+APLICACION!D127+APLICACION!D149+APLICACION!D157+APLICACION!D180</f>
        <v>0</v>
      </c>
      <c r="D44" s="56">
        <f>IF(C44=0,'PERCENTIL GROSSMAN'!B29,IF(C44=1,'PERCENTIL GROSSMAN'!D29,IF(C44=2,'PERCENTIL GROSSMAN'!F29,IF(C44=3,'PERCENTIL GROSSMAN'!H29,IF(C44=4,'PERCENTIL GROSSMAN'!J29,IF(C44=5,'PERCENTIL GROSSMAN'!L29,IF(C44=6,'PERCENTIL GROSSMAN'!N29,IF(C44=7,'PERCENTIL GROSSMAN'!P29,IF(C44=8,'PERCENTIL GROSSMAN'!R29,IF(C44=9,'PERCENTIL GROSSMAN'!T29))))))))))</f>
        <v>0</v>
      </c>
      <c r="E44" s="42" t="str">
        <f t="shared" si="0"/>
        <v/>
      </c>
      <c r="F44" s="44"/>
    </row>
    <row r="45" spans="1:10" x14ac:dyDescent="0.25">
      <c r="A45" s="52">
        <v>7</v>
      </c>
      <c r="B45" s="28" t="s">
        <v>218</v>
      </c>
      <c r="C45" s="57"/>
      <c r="D45" s="54">
        <f>CORRECCION!D26</f>
        <v>49</v>
      </c>
      <c r="E45" s="41" t="str">
        <f t="shared" si="0"/>
        <v>gggggggggggggggggggggggg</v>
      </c>
      <c r="F45" s="45"/>
    </row>
    <row r="46" spans="1:10" x14ac:dyDescent="0.25">
      <c r="A46" s="59">
        <v>7.1</v>
      </c>
      <c r="B46" s="30" t="s">
        <v>341</v>
      </c>
      <c r="C46" s="56">
        <f>APLICACION!D14+APLICACION!D32+APLICACION!D47+APLICACION!D75+APLICACION!E97+APLICACION!E130+APLICACION!D186+APLICACION!D200</f>
        <v>6</v>
      </c>
      <c r="D46" s="56">
        <f>IF(C46=0,'PERCENTIL GROSSMAN'!B30,IF(C46=1,'PERCENTIL GROSSMAN'!D30,IF(C46=2,'PERCENTIL GROSSMAN'!F30,IF(C46=3,'PERCENTIL GROSSMAN'!H30,IF(C46=4,'PERCENTIL GROSSMAN'!J30,IF(C46=5,'PERCENTIL GROSSMAN'!L30,IF(C46=6,'PERCENTIL GROSSMAN'!N30,IF(C46=7,'PERCENTIL GROSSMAN'!P30,IF(C46=8,'PERCENTIL GROSSMAN'!R30,IF(C46=9,'PERCENTIL GROSSMAN'!T30))))))))))</f>
        <v>75</v>
      </c>
      <c r="E46" s="42" t="str">
        <f t="shared" si="0"/>
        <v>ggggggggggggggggggggggggggggggggggggg</v>
      </c>
      <c r="F46" s="44"/>
    </row>
    <row r="47" spans="1:10" x14ac:dyDescent="0.25">
      <c r="A47" s="59">
        <v>7.2</v>
      </c>
      <c r="B47" s="30" t="s">
        <v>342</v>
      </c>
      <c r="C47" s="56">
        <f>APLICACION!D35+APLICACION!D56+APLICACION!D63+APLICACION!D64+APLICACION!D111+APLICACION!D140+APLICACION!D143+APLICACION!D147+APLICACION!D149</f>
        <v>1</v>
      </c>
      <c r="D47" s="56">
        <f>IF(C47=0,'PERCENTIL GROSSMAN'!B31,IF(C47=1,'PERCENTIL GROSSMAN'!D31,IF(C47=2,'PERCENTIL GROSSMAN'!F31,IF(C47=3,'PERCENTIL GROSSMAN'!H31,IF(C47=4,'PERCENTIL GROSSMAN'!J31,IF(C47=5,'PERCENTIL GROSSMAN'!L31,IF(C47=6,'PERCENTIL GROSSMAN'!N31,IF(C47=7,'PERCENTIL GROSSMAN'!P31,IF(C47=8,'PERCENTIL GROSSMAN'!R31,IF(C47=9,'PERCENTIL GROSSMAN'!T31))))))))))</f>
        <v>9</v>
      </c>
      <c r="E47" s="42" t="str">
        <f t="shared" si="0"/>
        <v>gggg</v>
      </c>
      <c r="F47" s="44"/>
    </row>
    <row r="48" spans="1:10" x14ac:dyDescent="0.25">
      <c r="A48" s="59">
        <v>7.3</v>
      </c>
      <c r="B48" s="30" t="s">
        <v>343</v>
      </c>
      <c r="C48" s="56">
        <f>APLICACION!E31+APLICACION!D60+APLICACION!D85+APLICACION!E95+APLICACION!E159+APLICACION!E164+APLICACION!D170+APLICACION!E195+APLICACION!D203</f>
        <v>7</v>
      </c>
      <c r="D48" s="56">
        <f>IF(C48=0,'PERCENTIL GROSSMAN'!B32,IF(C48=1,'PERCENTIL GROSSMAN'!D32,IF(C48=2,'PERCENTIL GROSSMAN'!F32,IF(C48=3,'PERCENTIL GROSSMAN'!H32,IF(C48=4,'PERCENTIL GROSSMAN'!J32,IF(C48=5,'PERCENTIL GROSSMAN'!L32,IF(C48=6,'PERCENTIL GROSSMAN'!N32,IF(C48=7,'PERCENTIL GROSSMAN'!P32,IF(C48=8,'PERCENTIL GROSSMAN'!R32,IF(C48=9,'PERCENTIL GROSSMAN'!T32))))))))))</f>
        <v>60</v>
      </c>
      <c r="E48" s="42" t="str">
        <f t="shared" si="0"/>
        <v>gggggggggggggggggggggggggggggg</v>
      </c>
      <c r="F48" s="44"/>
    </row>
    <row r="49" spans="1:6" x14ac:dyDescent="0.25">
      <c r="A49" s="52" t="s">
        <v>204</v>
      </c>
      <c r="B49" s="28" t="s">
        <v>220</v>
      </c>
      <c r="C49" s="57"/>
      <c r="D49" s="54">
        <f>CORRECCION!D27</f>
        <v>60</v>
      </c>
      <c r="E49" s="41" t="str">
        <f t="shared" si="0"/>
        <v>gggggggggggggggggggggggggggggg</v>
      </c>
      <c r="F49" s="45"/>
    </row>
    <row r="50" spans="1:6" x14ac:dyDescent="0.25">
      <c r="A50" s="59" t="s">
        <v>344</v>
      </c>
      <c r="B50" s="30" t="s">
        <v>347</v>
      </c>
      <c r="C50" s="56">
        <f>APLICACION!D33+APLICACION!D44+APLICACION!D91+APLICACION!D100+APLICACION!D108+APLICACION!D112+APLICACION!D134+APLICACION!D179+APLICACION!D184</f>
        <v>4</v>
      </c>
      <c r="D50" s="56">
        <f>IF(C50=0,'PERCENTIL GROSSMAN'!B33,IF(C50=1,'PERCENTIL GROSSMAN'!D33,IF(C50=2,'PERCENTIL GROSSMAN'!F33,IF(C50=3,'PERCENTIL GROSSMAN'!H33,IF(C50=4,'PERCENTIL GROSSMAN'!J33,IF(C50=5,'PERCENTIL GROSSMAN'!L33,IF(C50=6,'PERCENTIL GROSSMAN'!N33,IF(C50=7,'PERCENTIL GROSSMAN'!P33,IF(C50=8,'PERCENTIL GROSSMAN'!R33,IF(C50=9,'PERCENTIL GROSSMAN'!T33))))))))))</f>
        <v>68</v>
      </c>
      <c r="E50" s="42" t="str">
        <f t="shared" si="0"/>
        <v>gggggggggggggggggggggggggggggggggg</v>
      </c>
      <c r="F50" s="44"/>
    </row>
    <row r="51" spans="1:6" x14ac:dyDescent="0.25">
      <c r="A51" s="59" t="s">
        <v>345</v>
      </c>
      <c r="B51" s="30" t="s">
        <v>348</v>
      </c>
      <c r="C51" s="56">
        <f>APLICACION!D24+APLICACION!D29+APLICACION!D36+APLICACION!D46+APLICACION!D51+APLICACION!D63+APLICACION!D64+APLICACION!D71+APLICACION!E87+APLICACION!D165</f>
        <v>2</v>
      </c>
      <c r="D51" s="56">
        <f>IF(C51=0,'PERCENTIL GROSSMAN'!B34,IF(C51=1,'PERCENTIL GROSSMAN'!D34,IF(C51=2,'PERCENTIL GROSSMAN'!F34,IF(C51=3,'PERCENTIL GROSSMAN'!H34,IF(C51=4,'PERCENTIL GROSSMAN'!J34,IF(C51=5,'PERCENTIL GROSSMAN'!L34,IF(C51=6,'PERCENTIL GROSSMAN'!N34,IF(C51=7,'PERCENTIL GROSSMAN'!P34,IF(C51=8,'PERCENTIL GROSSMAN'!R34,IF(C51=9,'PERCENTIL GROSSMAN'!T34))))))))))</f>
        <v>30</v>
      </c>
      <c r="E51" s="42" t="str">
        <f t="shared" si="0"/>
        <v>ggggggggggggggg</v>
      </c>
      <c r="F51" s="44"/>
    </row>
    <row r="52" spans="1:6" x14ac:dyDescent="0.25">
      <c r="A52" s="59" t="s">
        <v>346</v>
      </c>
      <c r="B52" s="30" t="s">
        <v>349</v>
      </c>
      <c r="C52" s="56">
        <f>APLICACION!D21+APLICACION!D49+APLICACION!D86+APLICACION!D94+APLICACION!D109+APLICACION!D127+APLICACION!D149+APLICACION!D157+APLICACION!D180</f>
        <v>1</v>
      </c>
      <c r="D52" s="56">
        <f>IF(C52=0,'PERCENTIL GROSSMAN'!B35,IF(C52=1,'PERCENTIL GROSSMAN'!D35,IF(C52=2,'PERCENTIL GROSSMAN'!F35,IF(C52=3,'PERCENTIL GROSSMAN'!H35,IF(C52=4,'PERCENTIL GROSSMAN'!J35,IF(C52=5,'PERCENTIL GROSSMAN'!L35,IF(C52=6,'PERCENTIL GROSSMAN'!N35,IF(C52=7,'PERCENTIL GROSSMAN'!P35,IF(C52=8,'PERCENTIL GROSSMAN'!R35,IF(C52=9,'PERCENTIL GROSSMAN'!T35))))))))))</f>
        <v>20</v>
      </c>
      <c r="E52" s="42" t="str">
        <f t="shared" si="0"/>
        <v>gggggggggg</v>
      </c>
      <c r="F52" s="44"/>
    </row>
    <row r="53" spans="1:6" x14ac:dyDescent="0.25">
      <c r="A53" s="52" t="s">
        <v>205</v>
      </c>
      <c r="B53" s="28" t="s">
        <v>219</v>
      </c>
      <c r="C53" s="57"/>
      <c r="D53" s="54">
        <f>CORRECCION!D28</f>
        <v>38</v>
      </c>
      <c r="E53" s="41" t="str">
        <f t="shared" si="0"/>
        <v>ggggggggggggggggggg</v>
      </c>
      <c r="F53" s="45"/>
    </row>
    <row r="54" spans="1:6" x14ac:dyDescent="0.25">
      <c r="A54" s="59" t="s">
        <v>350</v>
      </c>
      <c r="B54" s="30" t="s">
        <v>353</v>
      </c>
      <c r="C54" s="56">
        <f>APLICACION!D16+APLICACION!D24+APLICACION!D35+APLICACION!D51+APLICACION!D64+APLICACION!D71+APLICACION!D82+APLICACION!D105+APLICACION!D176</f>
        <v>2</v>
      </c>
      <c r="D54" s="56">
        <f>IF(C54=0,'PERCENTIL GROSSMAN'!B36,IF(C54=1,'PERCENTIL GROSSMAN'!D36,IF(C54=2,'PERCENTIL GROSSMAN'!F36,IF(C54=3,'PERCENTIL GROSSMAN'!H36,IF(C54=4,'PERCENTIL GROSSMAN'!J36,IF(C54=5,'PERCENTIL GROSSMAN'!L36,IF(C54=6,'PERCENTIL GROSSMAN'!N36,IF(C54=7,'PERCENTIL GROSSMAN'!P36,IF(C54=8,'PERCENTIL GROSSMAN'!R36,IF(C54=9,'PERCENTIL GROSSMAN'!T36))))))))))</f>
        <v>30</v>
      </c>
      <c r="E54" s="42" t="str">
        <f t="shared" si="0"/>
        <v>ggggggggggggggg</v>
      </c>
      <c r="F54" s="44"/>
    </row>
    <row r="55" spans="1:6" x14ac:dyDescent="0.25">
      <c r="A55" s="59" t="s">
        <v>351</v>
      </c>
      <c r="B55" s="30" t="s">
        <v>354</v>
      </c>
      <c r="C55" s="56">
        <f>APLICACION!D29+APLICACION!D52+APLICACION!D97+APLICACION!D112+APLICACION!D138+APLICACION!D168+APLICACION!D178+APLICACION!D179+APLICACION!D196</f>
        <v>2</v>
      </c>
      <c r="D55" s="56">
        <f>IF(C55=0,'PERCENTIL GROSSMAN'!B37,IF(C55=1,'PERCENTIL GROSSMAN'!D37,IF(C55=2,'PERCENTIL GROSSMAN'!F37,IF(C55=3,'PERCENTIL GROSSMAN'!H37,IF(C55=4,'PERCENTIL GROSSMAN'!J37,IF(C55=5,'PERCENTIL GROSSMAN'!L37,IF(C55=6,'PERCENTIL GROSSMAN'!N37,IF(C55=7,'PERCENTIL GROSSMAN'!P37,IF(C55=8,'PERCENTIL GROSSMAN'!R37,IF(C55=9,'PERCENTIL GROSSMAN'!T37))))))))))</f>
        <v>40</v>
      </c>
      <c r="E55" s="42" t="str">
        <f t="shared" si="0"/>
        <v>gggggggggggggggggggg</v>
      </c>
      <c r="F55" s="44"/>
    </row>
    <row r="56" spans="1:6" x14ac:dyDescent="0.25">
      <c r="A56" s="59" t="s">
        <v>352</v>
      </c>
      <c r="B56" s="30" t="s">
        <v>355</v>
      </c>
      <c r="C56" s="56">
        <f>APLICACION!D32+APLICACION!D65+APLICACION!E79+APLICACION!D87+APLICACION!D104+APLICACION!D119+APLICACION!D166+APLICACION!D167+APLICACION!E182</f>
        <v>5</v>
      </c>
      <c r="D56" s="56">
        <f>IF(C56=0,'PERCENTIL GROSSMAN'!B38,IF(C56=1,'PERCENTIL GROSSMAN'!D38,IF(C56=2,'PERCENTIL GROSSMAN'!F38,IF(C56=3,'PERCENTIL GROSSMAN'!H38,IF(C56=4,'PERCENTIL GROSSMAN'!J38,IF(C56=5,'PERCENTIL GROSSMAN'!L38,IF(C56=6,'PERCENTIL GROSSMAN'!N38,IF(C56=7,'PERCENTIL GROSSMAN'!P38,IF(C56=8,'PERCENTIL GROSSMAN'!R38,IF(C56=9,'PERCENTIL GROSSMAN'!T38))))))))))</f>
        <v>60</v>
      </c>
      <c r="E56" s="42" t="str">
        <f t="shared" si="0"/>
        <v>gggggggggggggggggggggggggggggg</v>
      </c>
      <c r="F56" s="44"/>
    </row>
    <row r="57" spans="1:6" x14ac:dyDescent="0.25">
      <c r="A57" s="60" t="s">
        <v>197</v>
      </c>
      <c r="B57" s="60" t="s">
        <v>221</v>
      </c>
      <c r="C57" s="57"/>
      <c r="D57" s="54">
        <f>CORRECCION!D30</f>
        <v>12</v>
      </c>
      <c r="E57" s="41" t="str">
        <f t="shared" si="0"/>
        <v>gggggg</v>
      </c>
      <c r="F57" s="45"/>
    </row>
    <row r="58" spans="1:6" x14ac:dyDescent="0.25">
      <c r="A58" s="33" t="s">
        <v>356</v>
      </c>
      <c r="B58" s="30" t="s">
        <v>359</v>
      </c>
      <c r="C58" s="56">
        <f>APLICACION!D30+APLICACION!D45+APLICACION!D56+APLICACION!D101+APLICACION!D133+APLICACION!D135+APLICACION!D143+APLICACION!D175</f>
        <v>1</v>
      </c>
      <c r="D58" s="56">
        <f>IF(C58=0,'PERCENTIL GROSSMAN'!B39,IF(C58=1,'PERCENTIL GROSSMAN'!D39,IF(C58=2,'PERCENTIL GROSSMAN'!F39,IF(C58=3,'PERCENTIL GROSSMAN'!H39,IF(C58=4,'PERCENTIL GROSSMAN'!J39,IF(C58=5,'PERCENTIL GROSSMAN'!L39,IF(C58=6,'PERCENTIL GROSSMAN'!N39,IF(C58=7,'PERCENTIL GROSSMAN'!P39,IF(C58=8,'PERCENTIL GROSSMAN'!R39,IF(C58=9,'PERCENTIL GROSSMAN'!T39))))))))))</f>
        <v>15</v>
      </c>
      <c r="E58" s="42" t="str">
        <f t="shared" si="0"/>
        <v>ggggggg</v>
      </c>
      <c r="F58" s="44"/>
    </row>
    <row r="59" spans="1:6" x14ac:dyDescent="0.25">
      <c r="A59" s="33" t="s">
        <v>357</v>
      </c>
      <c r="B59" s="30" t="s">
        <v>360</v>
      </c>
      <c r="C59" s="56">
        <f>APLICACION!D17+APLICACION!D70+APLICACION!D82+APLICACION!D102+APLICACION!D105+APLICACION!D123+APLICACION!D138+APLICACION!E166+APLICACION!D168+APLICACION!D178</f>
        <v>2</v>
      </c>
      <c r="D59" s="56">
        <f>IF(C59=0,'PERCENTIL GROSSMAN'!B40,IF(C59=1,'PERCENTIL GROSSMAN'!D40,IF(C59=2,'PERCENTIL GROSSMAN'!F40,IF(C59=3,'PERCENTIL GROSSMAN'!H40,IF(C59=4,'PERCENTIL GROSSMAN'!J40,IF(C59=5,'PERCENTIL GROSSMAN'!L40,IF(C59=6,'PERCENTIL GROSSMAN'!N40,IF(C59=7,'PERCENTIL GROSSMAN'!P40,IF(C59=8,'PERCENTIL GROSSMAN'!R40,IF(C59=9,'PERCENTIL GROSSMAN'!T40))))))))))</f>
        <v>40</v>
      </c>
      <c r="E59" s="42" t="str">
        <f t="shared" si="0"/>
        <v>gggggggggggggggggggg</v>
      </c>
      <c r="F59" s="44"/>
    </row>
    <row r="60" spans="1:6" x14ac:dyDescent="0.25">
      <c r="A60" s="33" t="s">
        <v>358</v>
      </c>
      <c r="B60" s="30" t="s">
        <v>361</v>
      </c>
      <c r="C60" s="56">
        <f>APLICACION!D25+APLICACION!D36+APLICACION!D80+APLICACION!D91+APLICACION!D100+APLICACION!D118+APLICACION!D124+APLICACION!D160+APLICACION!D179</f>
        <v>2</v>
      </c>
      <c r="D60" s="56">
        <f>IF(C60=0,'PERCENTIL GROSSMAN'!B41,IF(C60=1,'PERCENTIL GROSSMAN'!D41,IF(C60=2,'PERCENTIL GROSSMAN'!F41,IF(C60=3,'PERCENTIL GROSSMAN'!H41,IF(C60=4,'PERCENTIL GROSSMAN'!J41,IF(C60=5,'PERCENTIL GROSSMAN'!L41,IF(C60=6,'PERCENTIL GROSSMAN'!N41,IF(C60=7,'PERCENTIL GROSSMAN'!P41,IF(C60=8,'PERCENTIL GROSSMAN'!R41,IF(C60=9,'PERCENTIL GROSSMAN'!T41))))))))))</f>
        <v>60</v>
      </c>
      <c r="E60" s="42" t="str">
        <f t="shared" si="0"/>
        <v>gggggggggggggggggggggggggggggg</v>
      </c>
      <c r="F60" s="44"/>
    </row>
    <row r="61" spans="1:6" x14ac:dyDescent="0.25">
      <c r="A61" s="60" t="s">
        <v>198</v>
      </c>
      <c r="B61" s="60" t="s">
        <v>222</v>
      </c>
      <c r="C61" s="57"/>
      <c r="D61" s="54">
        <f>CORRECCION!D31</f>
        <v>45</v>
      </c>
      <c r="E61" s="41" t="str">
        <f t="shared" si="0"/>
        <v>gggggggggggggggggggggg</v>
      </c>
      <c r="F61" s="45"/>
    </row>
    <row r="62" spans="1:6" x14ac:dyDescent="0.25">
      <c r="A62" s="33" t="s">
        <v>362</v>
      </c>
      <c r="B62" s="30" t="s">
        <v>365</v>
      </c>
      <c r="C62" s="56">
        <f>APLICACION!D26+APLICACION!D82+APLICACION!D113+APLICACION!D123+APLICACION!D163+APLICACION!D168+APLICACION!D182+APLICACION!D190</f>
        <v>4</v>
      </c>
      <c r="D62" s="56">
        <f>IF(C62=0,'PERCENTIL GROSSMAN'!B42,IF(C62=1,'PERCENTIL GROSSMAN'!D42,IF(C62=2,'PERCENTIL GROSSMAN'!F42,IF(C62=3,'PERCENTIL GROSSMAN'!H42,IF(C62=4,'PERCENTIL GROSSMAN'!J42,IF(C62=5,'PERCENTIL GROSSMAN'!L42,IF(C62=6,'PERCENTIL GROSSMAN'!N42,IF(C62=7,'PERCENTIL GROSSMAN'!P42,IF(C62=8,'PERCENTIL GROSSMAN'!R42,IF(C62=9,'PERCENTIL GROSSMAN'!T42))))))))))</f>
        <v>65</v>
      </c>
      <c r="E62" s="42" t="str">
        <f t="shared" si="0"/>
        <v>gggggggggggggggggggggggggggggggg</v>
      </c>
      <c r="F62" s="44"/>
    </row>
    <row r="63" spans="1:6" x14ac:dyDescent="0.25">
      <c r="A63" s="33" t="s">
        <v>363</v>
      </c>
      <c r="B63" s="30" t="s">
        <v>366</v>
      </c>
      <c r="C63" s="56">
        <f>APLICACION!D16+APLICACION!D29+APLICACION!D51+APLICACION!D71+APLICACION!D105+APLICACION!D112+APLICACION!D138+APLICACION!D146+APLICACION!D178</f>
        <v>0</v>
      </c>
      <c r="D63" s="56">
        <f>IF(C63=0,'PERCENTIL GROSSMAN'!B43,IF(C63=1,'PERCENTIL GROSSMAN'!D43,IF(C63=2,'PERCENTIL GROSSMAN'!F43,IF(C63=3,'PERCENTIL GROSSMAN'!H43,IF(C63=4,'PERCENTIL GROSSMAN'!J43,IF(C63=5,'PERCENTIL GROSSMAN'!L43,IF(C63=6,'PERCENTIL GROSSMAN'!N43,IF(C63=7,'PERCENTIL GROSSMAN'!P43,IF(C63=8,'PERCENTIL GROSSMAN'!R43,IF(C63=9,'PERCENTIL GROSSMAN'!T43))))))))))</f>
        <v>0</v>
      </c>
      <c r="E63" s="42" t="str">
        <f t="shared" si="0"/>
        <v/>
      </c>
      <c r="F63" s="44"/>
    </row>
    <row r="64" spans="1:6" x14ac:dyDescent="0.25">
      <c r="A64" s="33" t="s">
        <v>364</v>
      </c>
      <c r="B64" s="30" t="s">
        <v>367</v>
      </c>
      <c r="C64" s="56">
        <f>APLICACION!D28+APLICACION!D30+APLICACION!D49+APLICACION!D86+APLICACION!D92+APLICACION!D94+APLICACION!D127+APLICACION!D149+APLICACION!D176</f>
        <v>2</v>
      </c>
      <c r="D64" s="56">
        <f>IF(C64=0,'PERCENTIL GROSSMAN'!B44,IF(C64=1,'PERCENTIL GROSSMAN'!D44,IF(C64=2,'PERCENTIL GROSSMAN'!F44,IF(C64=3,'PERCENTIL GROSSMAN'!H44,IF(C64=4,'PERCENTIL GROSSMAN'!J44,IF(C64=5,'PERCENTIL GROSSMAN'!L44,IF(C64=6,'PERCENTIL GROSSMAN'!N44,IF(C64=7,'PERCENTIL GROSSMAN'!P44,IF(C64=8,'PERCENTIL GROSSMAN'!R44,IF(C64=9,'PERCENTIL GROSSMAN'!T44))))))))))</f>
        <v>40</v>
      </c>
      <c r="E64" s="42" t="str">
        <f t="shared" si="0"/>
        <v>gggggggggggggggggggg</v>
      </c>
      <c r="F64" s="44"/>
    </row>
    <row r="65" spans="1:6" x14ac:dyDescent="0.25">
      <c r="A65" s="60" t="s">
        <v>199</v>
      </c>
      <c r="B65" s="60" t="s">
        <v>223</v>
      </c>
      <c r="C65" s="57"/>
      <c r="D65" s="54">
        <f>CORRECCION!D32</f>
        <v>66</v>
      </c>
      <c r="E65" s="41" t="str">
        <f t="shared" si="0"/>
        <v>ggggggggggggggggggggggggggggggggg</v>
      </c>
      <c r="F65" s="45"/>
    </row>
    <row r="66" spans="1:6" x14ac:dyDescent="0.25">
      <c r="A66" s="33" t="s">
        <v>368</v>
      </c>
      <c r="B66" s="33" t="s">
        <v>371</v>
      </c>
      <c r="C66" s="56">
        <f>APLICACION!D24+APLICACION!D27+APLICACION!D33+APLICACION!D36+APLICACION!D116+APLICACION!D161+APLICACION!D165+APLICACION!D192+APLICACION!D207</f>
        <v>3</v>
      </c>
      <c r="D66" s="56">
        <f>IF(C66=0,'PERCENTIL GROSSMAN'!B45,IF(C66=1,'PERCENTIL GROSSMAN'!D45,IF(C66=2,'PERCENTIL GROSSMAN'!F45,IF(C66=3,'PERCENTIL GROSSMAN'!H45,IF(C66=4,'PERCENTIL GROSSMAN'!J45,IF(C66=5,'PERCENTIL GROSSMAN'!L45,IF(C66=6,'PERCENTIL GROSSMAN'!N45,IF(C66=7,'PERCENTIL GROSSMAN'!P45,IF(C66=8,'PERCENTIL GROSSMAN'!R45,IF(C66=9,'PERCENTIL GROSSMAN'!T45))))))))))</f>
        <v>60</v>
      </c>
      <c r="E66" s="42" t="str">
        <f t="shared" si="0"/>
        <v>gggggggggggggggggggggggggggggg</v>
      </c>
      <c r="F66" s="44"/>
    </row>
    <row r="67" spans="1:6" x14ac:dyDescent="0.25">
      <c r="A67" s="33" t="s">
        <v>369</v>
      </c>
      <c r="B67" s="33" t="s">
        <v>372</v>
      </c>
      <c r="C67" s="56">
        <f>APLICACION!D29+APLICACION!D64+APLICACION!D91+APLICACION!D100+APLICACION!D184+APLICACION!D194+APLICACION!D196</f>
        <v>2</v>
      </c>
      <c r="D67" s="56">
        <f>IF(C67=0,'PERCENTIL GROSSMAN'!B46,IF(C67=1,'PERCENTIL GROSSMAN'!D46,IF(C67=2,'PERCENTIL GROSSMAN'!F46,IF(C67=3,'PERCENTIL GROSSMAN'!H46,IF(C67=4,'PERCENTIL GROSSMAN'!J46,IF(C67=5,'PERCENTIL GROSSMAN'!L46,IF(C67=6,'PERCENTIL GROSSMAN'!N46,IF(C67=7,'PERCENTIL GROSSMAN'!P46,IF(C67=8,'PERCENTIL GROSSMAN'!R46,IF(C67=9,'PERCENTIL GROSSMAN'!T46))))))))))</f>
        <v>60</v>
      </c>
      <c r="E67" s="42" t="str">
        <f t="shared" si="0"/>
        <v>gggggggggggggggggggggggggggggg</v>
      </c>
      <c r="F67" s="44"/>
    </row>
    <row r="68" spans="1:6" x14ac:dyDescent="0.25">
      <c r="A68" s="33" t="s">
        <v>370</v>
      </c>
      <c r="B68" s="33" t="s">
        <v>373</v>
      </c>
      <c r="C68" s="56">
        <f>APLICACION!D25+APLICACION!D44+APLICACION!D80+APLICACION!D108+APLICACION!D118+APLICACION!D124+APLICACION!D134+APLICACION!D148+APLICACION!D160</f>
        <v>1</v>
      </c>
      <c r="D68" s="56">
        <f>IF(C68=0,'PERCENTIL GROSSMAN'!B47,IF(C68=1,'PERCENTIL GROSSMAN'!D47,IF(C68=2,'PERCENTIL GROSSMAN'!F47,IF(C68=3,'PERCENTIL GROSSMAN'!H47,IF(C68=4,'PERCENTIL GROSSMAN'!J47,IF(C68=5,'PERCENTIL GROSSMAN'!L47,IF(C68=6,'PERCENTIL GROSSMAN'!N47,IF(C68=7,'PERCENTIL GROSSMAN'!P47,IF(C68=8,'PERCENTIL GROSSMAN'!R47,IF(C68=9,'PERCENTIL GROSSMAN'!T47))))))))))</f>
        <v>30</v>
      </c>
      <c r="E68" s="42" t="str">
        <f t="shared" si="0"/>
        <v>ggggggggggggggg</v>
      </c>
      <c r="F68" s="44"/>
    </row>
    <row r="69" spans="1:6" x14ac:dyDescent="0.25">
      <c r="A69" s="34"/>
      <c r="B69" s="34"/>
      <c r="E69" s="40" t="str">
        <f t="shared" si="0"/>
        <v/>
      </c>
      <c r="F69" s="40"/>
    </row>
  </sheetData>
  <sheetProtection sheet="1" objects="1" scenarios="1" selectLockedCells="1" selectUnlockedCells="1"/>
  <mergeCells count="3">
    <mergeCell ref="A8:B8"/>
    <mergeCell ref="G8:H8"/>
    <mergeCell ref="H26:I26"/>
  </mergeCells>
  <pageMargins left="0.23622047244094491" right="0.23622047244094491" top="0.74803149606299213" bottom="0.74803149606299213" header="0.31496062992125984" footer="0.31496062992125984"/>
  <pageSetup paperSize="9" scale="68" orientation="portrait" r:id="rId1"/>
  <headerFooter>
    <oddHeader>&amp;CPS.JESÚS LUIS TORRES CORONEL</oddHeader>
    <oddFooter>&amp;CPS.JESÚS LUIS TORRES CORONEL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B3:T44"/>
  <sheetViews>
    <sheetView zoomScale="80" zoomScaleNormal="80" workbookViewId="0">
      <selection activeCell="O17" sqref="O17"/>
    </sheetView>
  </sheetViews>
  <sheetFormatPr baseColWidth="10" defaultColWidth="9.140625" defaultRowHeight="15" x14ac:dyDescent="0.25"/>
  <cols>
    <col min="1" max="1" width="2.28515625" style="61" customWidth="1"/>
    <col min="2" max="2" width="3" style="61" customWidth="1"/>
    <col min="3" max="3" width="26.28515625" style="61" customWidth="1"/>
    <col min="4" max="4" width="9.140625" style="61"/>
    <col min="5" max="7" width="0" style="61" hidden="1" customWidth="1"/>
    <col min="8" max="8" width="12.5703125" style="61" hidden="1" customWidth="1"/>
    <col min="9" max="13" width="0" style="61" hidden="1" customWidth="1"/>
    <col min="14" max="14" width="0.28515625" style="61" hidden="1" customWidth="1"/>
    <col min="15" max="15" width="16.140625" style="75" customWidth="1"/>
    <col min="16" max="16384" width="9.140625" style="61"/>
  </cols>
  <sheetData>
    <row r="3" spans="2:20" x14ac:dyDescent="0.25">
      <c r="C3" s="61" t="s">
        <v>402</v>
      </c>
    </row>
    <row r="4" spans="2:20" ht="15.75" x14ac:dyDescent="0.25">
      <c r="C4" s="89">
        <f>APLICACION!B10</f>
        <v>0</v>
      </c>
    </row>
    <row r="8" spans="2:20" x14ac:dyDescent="0.25">
      <c r="C8" s="21"/>
    </row>
    <row r="9" spans="2:20" ht="18.75" x14ac:dyDescent="0.25">
      <c r="B9" s="134" t="s">
        <v>295</v>
      </c>
      <c r="C9" s="135" t="s">
        <v>196</v>
      </c>
      <c r="D9" s="51" t="s">
        <v>253</v>
      </c>
      <c r="E9" s="51"/>
    </row>
    <row r="10" spans="2:20" ht="21" customHeight="1" x14ac:dyDescent="0.25">
      <c r="B10" s="62" t="s">
        <v>193</v>
      </c>
      <c r="C10" s="23" t="s">
        <v>252</v>
      </c>
      <c r="D10" s="63">
        <f>'RESULTADOS '!D10</f>
        <v>1</v>
      </c>
      <c r="E10" s="63"/>
      <c r="F10" s="64"/>
      <c r="O10" s="151" t="str">
        <f>'RESULTADOS '!O10:T10</f>
        <v>válido pero dudable, cuestionable.</v>
      </c>
      <c r="P10" s="152"/>
      <c r="Q10" s="152"/>
      <c r="R10" s="152"/>
      <c r="S10" s="152"/>
      <c r="T10" s="153"/>
    </row>
    <row r="11" spans="2:20" ht="21" customHeight="1" x14ac:dyDescent="0.25">
      <c r="B11" s="62" t="s">
        <v>244</v>
      </c>
      <c r="C11" s="23" t="s">
        <v>251</v>
      </c>
      <c r="D11" s="63">
        <f>'RESULTADOS '!D11</f>
        <v>7</v>
      </c>
      <c r="E11" s="65"/>
      <c r="F11" s="64"/>
      <c r="O11" s="151" t="str">
        <f>'RESULTADOS '!O11:T11</f>
        <v>consistente.</v>
      </c>
      <c r="P11" s="152"/>
      <c r="Q11" s="152"/>
      <c r="R11" s="152"/>
      <c r="S11" s="152"/>
      <c r="T11" s="153"/>
    </row>
    <row r="12" spans="2:20" ht="21" customHeight="1" x14ac:dyDescent="0.25">
      <c r="B12" s="62" t="s">
        <v>245</v>
      </c>
      <c r="C12" s="23" t="s">
        <v>250</v>
      </c>
      <c r="D12" s="63">
        <f>'RESULTADOS '!D12</f>
        <v>30</v>
      </c>
      <c r="E12" s="65"/>
      <c r="K12" s="65">
        <f>APLICACION!G63</f>
        <v>26</v>
      </c>
      <c r="O12" s="151" t="str">
        <f>'RESULTADOS '!O12:T12</f>
        <v>clínicamente interpretable</v>
      </c>
      <c r="P12" s="152"/>
      <c r="Q12" s="152"/>
      <c r="R12" s="152"/>
      <c r="S12" s="152"/>
      <c r="T12" s="153"/>
    </row>
    <row r="13" spans="2:20" ht="62.25" customHeight="1" x14ac:dyDescent="0.25">
      <c r="B13" s="62" t="s">
        <v>246</v>
      </c>
      <c r="C13" s="23" t="s">
        <v>249</v>
      </c>
      <c r="D13" s="63">
        <f>'RESULTADOS '!D13</f>
        <v>78</v>
      </c>
      <c r="E13" s="65"/>
      <c r="K13" s="65">
        <f>APLICACION!G64</f>
        <v>18</v>
      </c>
      <c r="O13" s="148" t="str">
        <f>'RESULTADOS '!O13:T13</f>
        <v>Tendencia a parecer socialmente agradable, moralmente admirable o emocionalmente equilibrado. Tendencia a mostrar una imagen de sí mismo positiva e interesante. Cuanto más alta sea la puntuación, más probable es que el paciente haya ocultado ciertos aspectos de sus dificultades psicológicas o interpersonales.</v>
      </c>
      <c r="P13" s="149"/>
      <c r="Q13" s="149"/>
      <c r="R13" s="149"/>
      <c r="S13" s="149"/>
      <c r="T13" s="150"/>
    </row>
    <row r="14" spans="2:20" ht="38.25" customHeight="1" x14ac:dyDescent="0.25">
      <c r="B14" s="62" t="s">
        <v>247</v>
      </c>
      <c r="C14" s="23" t="s">
        <v>248</v>
      </c>
      <c r="D14" s="63">
        <f>'RESULTADOS '!D14</f>
        <v>37</v>
      </c>
      <c r="E14" s="65"/>
      <c r="K14" s="65">
        <f>APLICACION!G65</f>
        <v>4</v>
      </c>
      <c r="O14" s="148" t="str">
        <f>'RESULTADOS '!O14:T14</f>
        <v>Tendencia del sujeto a menospreciarse o subestimarse manifestando más problemas emocionales y perso¬nales de los que un análisis posterior pueda reflejar.</v>
      </c>
      <c r="P14" s="149"/>
      <c r="Q14" s="149"/>
      <c r="R14" s="149"/>
      <c r="S14" s="149"/>
      <c r="T14" s="150"/>
    </row>
    <row r="15" spans="2:20" ht="24" customHeight="1" x14ac:dyDescent="0.25">
      <c r="B15" s="66"/>
      <c r="C15" s="66"/>
      <c r="D15" s="66"/>
      <c r="E15" s="66"/>
      <c r="F15" s="66"/>
      <c r="G15" s="66"/>
      <c r="H15" s="66"/>
      <c r="I15" s="66"/>
      <c r="J15" s="66"/>
      <c r="K15" s="66"/>
      <c r="L15" s="66"/>
      <c r="M15" s="66"/>
      <c r="N15" s="66"/>
      <c r="O15" s="66"/>
      <c r="P15" s="66"/>
      <c r="Q15" s="66"/>
      <c r="R15" s="66"/>
      <c r="S15" s="66"/>
      <c r="T15" s="66"/>
    </row>
    <row r="16" spans="2:20" s="69" customFormat="1" ht="18" customHeight="1" thickBot="1" x14ac:dyDescent="0.3">
      <c r="B16" s="131" t="s">
        <v>206</v>
      </c>
      <c r="C16" s="131"/>
      <c r="D16" s="67" t="s">
        <v>284</v>
      </c>
      <c r="E16" s="68"/>
      <c r="G16" s="51"/>
      <c r="H16" s="51" t="s">
        <v>294</v>
      </c>
      <c r="L16" s="68" t="s">
        <v>253</v>
      </c>
      <c r="O16" s="132"/>
      <c r="P16" s="132"/>
      <c r="Q16" s="70"/>
      <c r="R16" s="70"/>
    </row>
    <row r="17" spans="2:18" s="69" customFormat="1" ht="18" customHeight="1" x14ac:dyDescent="0.25">
      <c r="B17" s="62">
        <v>1</v>
      </c>
      <c r="C17" s="23" t="s">
        <v>207</v>
      </c>
      <c r="D17" s="71">
        <f t="shared" ref="D17:D28" si="0">VLOOKUP(L17,TABLAPD,E17,FALSE)</f>
        <v>40</v>
      </c>
      <c r="E17" s="72">
        <v>3</v>
      </c>
      <c r="G17" s="73">
        <v>2</v>
      </c>
      <c r="H17" s="65">
        <f t="shared" ref="H17:H28" si="1">IFERROR(VLOOKUP(D17,TABLAPER,G17,FALSE),"")</f>
        <v>31</v>
      </c>
      <c r="L17" s="65">
        <f>APLICACION!F17</f>
        <v>6</v>
      </c>
      <c r="O17" s="88" t="str">
        <f>IF(D17&lt;=60,"No presenta",IF(D17&gt;=85,"Trastornos Críticos",IF(D17&gt;=75,"Patrones menos adaptativos y Trastornos","Categoría de Riesgo")))</f>
        <v>No presenta</v>
      </c>
      <c r="P17" s="70"/>
      <c r="Q17" s="70"/>
      <c r="R17" s="70"/>
    </row>
    <row r="18" spans="2:18" s="69" customFormat="1" ht="18" customHeight="1" x14ac:dyDescent="0.2">
      <c r="B18" s="62" t="s">
        <v>200</v>
      </c>
      <c r="C18" s="23" t="s">
        <v>208</v>
      </c>
      <c r="D18" s="74">
        <f t="shared" si="0"/>
        <v>6</v>
      </c>
      <c r="E18" s="72">
        <v>4</v>
      </c>
      <c r="G18" s="73">
        <v>3</v>
      </c>
      <c r="H18" s="65">
        <f t="shared" si="1"/>
        <v>5</v>
      </c>
      <c r="L18" s="65">
        <f>APLICACION!F18</f>
        <v>1</v>
      </c>
      <c r="O18" s="88" t="str">
        <f t="shared" ref="O18:O44" si="2">IF(D18&lt;=60,"No presenta",IF(D18&gt;=85,"Trastornos Críticos",IF(D18&gt;=75,"Patrones menos adaptativos y Trastornos","Categoría de Riesgo")))</f>
        <v>No presenta</v>
      </c>
      <c r="P18" s="75"/>
    </row>
    <row r="19" spans="2:18" s="69" customFormat="1" ht="18" customHeight="1" x14ac:dyDescent="0.25">
      <c r="B19" s="62" t="s">
        <v>201</v>
      </c>
      <c r="C19" s="23" t="s">
        <v>209</v>
      </c>
      <c r="D19" s="74">
        <f t="shared" si="0"/>
        <v>30</v>
      </c>
      <c r="E19" s="72">
        <v>5</v>
      </c>
      <c r="G19" s="73">
        <v>4</v>
      </c>
      <c r="H19" s="65">
        <f t="shared" si="1"/>
        <v>28</v>
      </c>
      <c r="L19" s="65">
        <f>APLICACION!F19</f>
        <v>6</v>
      </c>
      <c r="O19" s="88" t="str">
        <f t="shared" si="2"/>
        <v>No presenta</v>
      </c>
    </row>
    <row r="20" spans="2:18" s="69" customFormat="1" ht="18" customHeight="1" x14ac:dyDescent="0.25">
      <c r="B20" s="62">
        <v>3</v>
      </c>
      <c r="C20" s="23" t="s">
        <v>210</v>
      </c>
      <c r="D20" s="74">
        <f t="shared" si="0"/>
        <v>36</v>
      </c>
      <c r="E20" s="72">
        <v>6</v>
      </c>
      <c r="G20" s="73">
        <v>5</v>
      </c>
      <c r="H20" s="65">
        <f t="shared" si="1"/>
        <v>25</v>
      </c>
      <c r="L20" s="65">
        <f>APLICACION!F20</f>
        <v>6</v>
      </c>
      <c r="O20" s="88" t="str">
        <f t="shared" si="2"/>
        <v>No presenta</v>
      </c>
    </row>
    <row r="21" spans="2:18" s="69" customFormat="1" ht="18" customHeight="1" x14ac:dyDescent="0.25">
      <c r="B21" s="62" t="s">
        <v>211</v>
      </c>
      <c r="C21" s="23" t="s">
        <v>212</v>
      </c>
      <c r="D21" s="74">
        <f t="shared" si="0"/>
        <v>75</v>
      </c>
      <c r="E21" s="72">
        <v>7</v>
      </c>
      <c r="G21" s="73">
        <v>6</v>
      </c>
      <c r="H21" s="65">
        <f t="shared" si="1"/>
        <v>83</v>
      </c>
      <c r="L21" s="65">
        <f>APLICACION!F21</f>
        <v>15</v>
      </c>
      <c r="O21" s="88" t="str">
        <f t="shared" si="2"/>
        <v>Patrones menos adaptativos y Trastornos</v>
      </c>
    </row>
    <row r="22" spans="2:18" s="69" customFormat="1" ht="18" customHeight="1" x14ac:dyDescent="0.25">
      <c r="B22" s="62" t="s">
        <v>213</v>
      </c>
      <c r="C22" s="23" t="s">
        <v>214</v>
      </c>
      <c r="D22" s="74">
        <f t="shared" si="0"/>
        <v>80</v>
      </c>
      <c r="E22" s="72">
        <v>8</v>
      </c>
      <c r="G22" s="73">
        <v>7</v>
      </c>
      <c r="H22" s="65">
        <f t="shared" si="1"/>
        <v>93</v>
      </c>
      <c r="L22" s="65">
        <f>APLICACION!F22</f>
        <v>22</v>
      </c>
      <c r="O22" s="88" t="str">
        <f t="shared" si="2"/>
        <v>Patrones menos adaptativos y Trastornos</v>
      </c>
    </row>
    <row r="23" spans="2:18" s="69" customFormat="1" ht="18" customHeight="1" x14ac:dyDescent="0.25">
      <c r="B23" s="62">
        <v>5</v>
      </c>
      <c r="C23" s="23" t="s">
        <v>215</v>
      </c>
      <c r="D23" s="74">
        <f t="shared" si="0"/>
        <v>62</v>
      </c>
      <c r="E23" s="72">
        <v>9</v>
      </c>
      <c r="G23" s="73">
        <v>8</v>
      </c>
      <c r="H23" s="65">
        <f t="shared" si="1"/>
        <v>56</v>
      </c>
      <c r="L23" s="65">
        <f>APLICACION!F23</f>
        <v>6</v>
      </c>
      <c r="O23" s="88" t="str">
        <f t="shared" si="2"/>
        <v>Categoría de Riesgo</v>
      </c>
    </row>
    <row r="24" spans="2:18" s="69" customFormat="1" ht="18" customHeight="1" x14ac:dyDescent="0.25">
      <c r="B24" s="76" t="s">
        <v>202</v>
      </c>
      <c r="C24" s="23" t="s">
        <v>216</v>
      </c>
      <c r="D24" s="74">
        <f t="shared" si="0"/>
        <v>20</v>
      </c>
      <c r="E24" s="72">
        <v>10</v>
      </c>
      <c r="G24" s="73">
        <v>9</v>
      </c>
      <c r="H24" s="65">
        <f t="shared" si="1"/>
        <v>25</v>
      </c>
      <c r="L24" s="65">
        <f>APLICACION!F24</f>
        <v>1</v>
      </c>
      <c r="O24" s="88" t="str">
        <f t="shared" si="2"/>
        <v>No presenta</v>
      </c>
    </row>
    <row r="25" spans="2:18" s="69" customFormat="1" ht="18" customHeight="1" x14ac:dyDescent="0.25">
      <c r="B25" s="76" t="s">
        <v>203</v>
      </c>
      <c r="C25" s="23" t="s">
        <v>217</v>
      </c>
      <c r="D25" s="74">
        <f t="shared" si="0"/>
        <v>10</v>
      </c>
      <c r="E25" s="72">
        <v>11</v>
      </c>
      <c r="G25" s="73">
        <v>10</v>
      </c>
      <c r="H25" s="65">
        <f t="shared" si="1"/>
        <v>13</v>
      </c>
      <c r="L25" s="65">
        <f>APLICACION!F25</f>
        <v>1</v>
      </c>
      <c r="O25" s="88" t="str">
        <f t="shared" si="2"/>
        <v>No presenta</v>
      </c>
    </row>
    <row r="26" spans="2:18" s="69" customFormat="1" ht="18" customHeight="1" x14ac:dyDescent="0.25">
      <c r="B26" s="62">
        <v>7</v>
      </c>
      <c r="C26" s="23" t="s">
        <v>218</v>
      </c>
      <c r="D26" s="74">
        <f t="shared" si="0"/>
        <v>49</v>
      </c>
      <c r="E26" s="72">
        <v>12</v>
      </c>
      <c r="G26" s="73">
        <v>11</v>
      </c>
      <c r="H26" s="65">
        <f t="shared" si="1"/>
        <v>26</v>
      </c>
      <c r="L26" s="65">
        <f>APLICACION!F26</f>
        <v>13</v>
      </c>
      <c r="O26" s="88" t="str">
        <f t="shared" si="2"/>
        <v>No presenta</v>
      </c>
    </row>
    <row r="27" spans="2:18" ht="18" customHeight="1" x14ac:dyDescent="0.25">
      <c r="B27" s="62" t="s">
        <v>204</v>
      </c>
      <c r="C27" s="23" t="s">
        <v>220</v>
      </c>
      <c r="D27" s="74">
        <f t="shared" si="0"/>
        <v>60</v>
      </c>
      <c r="E27" s="72">
        <v>13</v>
      </c>
      <c r="G27" s="73">
        <v>12</v>
      </c>
      <c r="H27" s="65">
        <f t="shared" si="1"/>
        <v>48</v>
      </c>
      <c r="L27" s="65">
        <f>APLICACION!F27</f>
        <v>9</v>
      </c>
      <c r="O27" s="88" t="str">
        <f t="shared" si="2"/>
        <v>No presenta</v>
      </c>
    </row>
    <row r="28" spans="2:18" ht="18" customHeight="1" thickBot="1" x14ac:dyDescent="0.3">
      <c r="B28" s="62" t="s">
        <v>205</v>
      </c>
      <c r="C28" s="23" t="s">
        <v>219</v>
      </c>
      <c r="D28" s="77">
        <f t="shared" si="0"/>
        <v>38</v>
      </c>
      <c r="E28" s="72">
        <v>14</v>
      </c>
      <c r="G28" s="73">
        <v>13</v>
      </c>
      <c r="H28" s="65">
        <f t="shared" si="1"/>
        <v>33</v>
      </c>
      <c r="L28" s="65">
        <f>APLICACION!F28</f>
        <v>5</v>
      </c>
      <c r="O28" s="88" t="str">
        <f t="shared" si="2"/>
        <v>No presenta</v>
      </c>
    </row>
    <row r="29" spans="2:18" ht="18" customHeight="1" thickBot="1" x14ac:dyDescent="0.3">
      <c r="B29" s="131" t="s">
        <v>400</v>
      </c>
      <c r="C29" s="131"/>
      <c r="D29" s="78" t="s">
        <v>284</v>
      </c>
      <c r="E29" s="68"/>
      <c r="G29" s="51"/>
      <c r="H29" s="51" t="s">
        <v>294</v>
      </c>
      <c r="L29" s="68" t="s">
        <v>253</v>
      </c>
      <c r="O29" s="88" t="str">
        <f t="shared" si="2"/>
        <v>Trastornos Críticos</v>
      </c>
    </row>
    <row r="30" spans="2:18" ht="18" customHeight="1" x14ac:dyDescent="0.25">
      <c r="B30" s="79" t="s">
        <v>197</v>
      </c>
      <c r="C30" s="23" t="s">
        <v>221</v>
      </c>
      <c r="D30" s="71">
        <f>VLOOKUP(L30,TABLAPD,E30,FALSE)</f>
        <v>12</v>
      </c>
      <c r="E30" s="72">
        <v>15</v>
      </c>
      <c r="G30" s="73">
        <v>14</v>
      </c>
      <c r="H30" s="65">
        <f>IFERROR(VLOOKUP(D30,TABLAPER,G30,FALSE),"")</f>
        <v>14</v>
      </c>
      <c r="L30" s="65">
        <f>APLICACION!F29</f>
        <v>2</v>
      </c>
      <c r="O30" s="88" t="str">
        <f t="shared" si="2"/>
        <v>No presenta</v>
      </c>
    </row>
    <row r="31" spans="2:18" ht="18" customHeight="1" x14ac:dyDescent="0.25">
      <c r="B31" s="79" t="s">
        <v>198</v>
      </c>
      <c r="C31" s="23" t="s">
        <v>222</v>
      </c>
      <c r="D31" s="74">
        <f>VLOOKUP(L31,TABLAPD,E31,FALSE)</f>
        <v>45</v>
      </c>
      <c r="E31" s="72">
        <v>16</v>
      </c>
      <c r="G31" s="73">
        <v>15</v>
      </c>
      <c r="H31" s="65">
        <f>IFERROR(VLOOKUP(D31,TABLAPER,G31,FALSE),"")</f>
        <v>40</v>
      </c>
      <c r="L31" s="65">
        <f>APLICACION!F30</f>
        <v>6</v>
      </c>
      <c r="O31" s="88" t="str">
        <f t="shared" si="2"/>
        <v>No presenta</v>
      </c>
    </row>
    <row r="32" spans="2:18" ht="18" customHeight="1" thickBot="1" x14ac:dyDescent="0.3">
      <c r="B32" s="79" t="s">
        <v>199</v>
      </c>
      <c r="C32" s="23" t="s">
        <v>223</v>
      </c>
      <c r="D32" s="77">
        <f>VLOOKUP(L32,TABLAPD,E32,FALSE)</f>
        <v>66</v>
      </c>
      <c r="E32" s="72">
        <v>17</v>
      </c>
      <c r="G32" s="73">
        <v>16</v>
      </c>
      <c r="H32" s="65">
        <f>IFERROR(VLOOKUP(D32,TABLAPER,G32,FALSE),"")</f>
        <v>62</v>
      </c>
      <c r="L32" s="65">
        <f>APLICACION!F31</f>
        <v>9</v>
      </c>
      <c r="O32" s="88" t="str">
        <f t="shared" si="2"/>
        <v>Categoría de Riesgo</v>
      </c>
    </row>
    <row r="33" spans="2:15" ht="18" customHeight="1" x14ac:dyDescent="0.25">
      <c r="E33" s="80"/>
      <c r="L33" s="64"/>
      <c r="O33" s="88" t="str">
        <f t="shared" si="2"/>
        <v>No presenta</v>
      </c>
    </row>
    <row r="34" spans="2:15" ht="18" customHeight="1" thickBot="1" x14ac:dyDescent="0.3">
      <c r="B34" s="133" t="s">
        <v>401</v>
      </c>
      <c r="C34" s="133"/>
      <c r="D34" s="81" t="s">
        <v>284</v>
      </c>
      <c r="E34" s="82"/>
      <c r="G34" s="82"/>
      <c r="H34" s="82" t="s">
        <v>294</v>
      </c>
      <c r="L34" s="82" t="s">
        <v>253</v>
      </c>
      <c r="O34" s="88" t="str">
        <f t="shared" si="2"/>
        <v>Trastornos Críticos</v>
      </c>
    </row>
    <row r="35" spans="2:15" ht="18" customHeight="1" x14ac:dyDescent="0.25">
      <c r="B35" s="62" t="s">
        <v>224</v>
      </c>
      <c r="C35" s="23" t="s">
        <v>231</v>
      </c>
      <c r="D35" s="71">
        <f t="shared" ref="D35:D44" si="3">VLOOKUP(L35,TABLAPD,E35,FALSE)</f>
        <v>15</v>
      </c>
      <c r="E35" s="72">
        <v>18</v>
      </c>
      <c r="G35" s="73">
        <v>17</v>
      </c>
      <c r="H35" s="65">
        <f t="shared" ref="H35:H44" si="4">IFERROR(VLOOKUP(D35,TABLAPER,G35,FALSE),"")</f>
        <v>14</v>
      </c>
      <c r="L35" s="65">
        <f>APLICACION!F35</f>
        <v>2</v>
      </c>
      <c r="O35" s="88" t="str">
        <f t="shared" si="2"/>
        <v>No presenta</v>
      </c>
    </row>
    <row r="36" spans="2:15" ht="18" customHeight="1" x14ac:dyDescent="0.25">
      <c r="B36" s="62" t="s">
        <v>225</v>
      </c>
      <c r="C36" s="23" t="s">
        <v>230</v>
      </c>
      <c r="D36" s="74">
        <f t="shared" si="3"/>
        <v>0</v>
      </c>
      <c r="E36" s="72">
        <v>19</v>
      </c>
      <c r="G36" s="73">
        <v>18</v>
      </c>
      <c r="H36" s="65">
        <f t="shared" si="4"/>
        <v>11</v>
      </c>
      <c r="L36" s="65">
        <f>APLICACION!F36</f>
        <v>0</v>
      </c>
      <c r="O36" s="88" t="str">
        <f t="shared" si="2"/>
        <v>No presenta</v>
      </c>
    </row>
    <row r="37" spans="2:15" ht="18" customHeight="1" x14ac:dyDescent="0.25">
      <c r="B37" s="62" t="s">
        <v>232</v>
      </c>
      <c r="C37" s="23" t="s">
        <v>233</v>
      </c>
      <c r="D37" s="74">
        <f t="shared" si="3"/>
        <v>30</v>
      </c>
      <c r="E37" s="72">
        <v>20</v>
      </c>
      <c r="G37" s="73">
        <v>19</v>
      </c>
      <c r="H37" s="65">
        <f t="shared" si="4"/>
        <v>22</v>
      </c>
      <c r="L37" s="65">
        <f>APLICACION!F37</f>
        <v>3</v>
      </c>
      <c r="O37" s="88" t="str">
        <f t="shared" si="2"/>
        <v>No presenta</v>
      </c>
    </row>
    <row r="38" spans="2:15" ht="18" customHeight="1" x14ac:dyDescent="0.25">
      <c r="B38" s="62" t="s">
        <v>226</v>
      </c>
      <c r="C38" s="23" t="s">
        <v>234</v>
      </c>
      <c r="D38" s="74">
        <f t="shared" si="3"/>
        <v>30</v>
      </c>
      <c r="E38" s="72">
        <v>21</v>
      </c>
      <c r="G38" s="73">
        <v>20</v>
      </c>
      <c r="H38" s="65">
        <f t="shared" si="4"/>
        <v>28</v>
      </c>
      <c r="L38" s="65">
        <f>APLICACION!F38</f>
        <v>6</v>
      </c>
      <c r="O38" s="88" t="str">
        <f t="shared" si="2"/>
        <v>No presenta</v>
      </c>
    </row>
    <row r="39" spans="2:15" ht="18" customHeight="1" x14ac:dyDescent="0.25">
      <c r="B39" s="62" t="s">
        <v>227</v>
      </c>
      <c r="C39" s="23" t="s">
        <v>235</v>
      </c>
      <c r="D39" s="74">
        <f t="shared" si="3"/>
        <v>0</v>
      </c>
      <c r="E39" s="72">
        <v>22</v>
      </c>
      <c r="G39" s="73">
        <v>21</v>
      </c>
      <c r="H39" s="65">
        <f t="shared" si="4"/>
        <v>34</v>
      </c>
      <c r="L39" s="65">
        <f>APLICACION!F39</f>
        <v>0</v>
      </c>
      <c r="O39" s="88" t="str">
        <f t="shared" si="2"/>
        <v>No presenta</v>
      </c>
    </row>
    <row r="40" spans="2:15" ht="18" customHeight="1" x14ac:dyDescent="0.25">
      <c r="B40" s="62" t="s">
        <v>228</v>
      </c>
      <c r="C40" s="23" t="s">
        <v>236</v>
      </c>
      <c r="D40" s="74">
        <f t="shared" si="3"/>
        <v>0</v>
      </c>
      <c r="E40" s="72">
        <v>23</v>
      </c>
      <c r="G40" s="73">
        <v>22</v>
      </c>
      <c r="H40" s="65">
        <f t="shared" si="4"/>
        <v>24</v>
      </c>
      <c r="L40" s="65">
        <f>APLICACION!F40</f>
        <v>0</v>
      </c>
      <c r="O40" s="88" t="str">
        <f t="shared" si="2"/>
        <v>No presenta</v>
      </c>
    </row>
    <row r="41" spans="2:15" ht="18" customHeight="1" x14ac:dyDescent="0.25">
      <c r="B41" s="62" t="s">
        <v>229</v>
      </c>
      <c r="C41" s="23" t="s">
        <v>237</v>
      </c>
      <c r="D41" s="74">
        <f t="shared" si="3"/>
        <v>48</v>
      </c>
      <c r="E41" s="72">
        <v>24</v>
      </c>
      <c r="G41" s="73">
        <v>23</v>
      </c>
      <c r="H41" s="65">
        <f t="shared" si="4"/>
        <v>42</v>
      </c>
      <c r="L41" s="65">
        <f>APLICACION!F41</f>
        <v>4</v>
      </c>
      <c r="O41" s="88" t="str">
        <f t="shared" si="2"/>
        <v>No presenta</v>
      </c>
    </row>
    <row r="42" spans="2:15" ht="18" customHeight="1" x14ac:dyDescent="0.25">
      <c r="B42" s="79" t="s">
        <v>238</v>
      </c>
      <c r="C42" s="23" t="s">
        <v>239</v>
      </c>
      <c r="D42" s="74">
        <f t="shared" si="3"/>
        <v>40</v>
      </c>
      <c r="E42" s="72">
        <v>25</v>
      </c>
      <c r="G42" s="73">
        <v>24</v>
      </c>
      <c r="H42" s="65">
        <f t="shared" si="4"/>
        <v>33</v>
      </c>
      <c r="L42" s="65">
        <f>APLICACION!F42</f>
        <v>6</v>
      </c>
      <c r="O42" s="88" t="str">
        <f t="shared" si="2"/>
        <v>No presenta</v>
      </c>
    </row>
    <row r="43" spans="2:15" ht="18" customHeight="1" x14ac:dyDescent="0.25">
      <c r="B43" s="79" t="s">
        <v>240</v>
      </c>
      <c r="C43" s="23" t="s">
        <v>241</v>
      </c>
      <c r="D43" s="74">
        <f t="shared" si="3"/>
        <v>51</v>
      </c>
      <c r="E43" s="72">
        <v>26</v>
      </c>
      <c r="G43" s="73">
        <v>25</v>
      </c>
      <c r="H43" s="65">
        <f t="shared" si="4"/>
        <v>46</v>
      </c>
      <c r="L43" s="65">
        <f>APLICACION!F43</f>
        <v>6</v>
      </c>
      <c r="O43" s="88" t="str">
        <f t="shared" si="2"/>
        <v>No presenta</v>
      </c>
    </row>
    <row r="44" spans="2:15" ht="18" customHeight="1" thickBot="1" x14ac:dyDescent="0.3">
      <c r="B44" s="79" t="s">
        <v>242</v>
      </c>
      <c r="C44" s="23" t="s">
        <v>243</v>
      </c>
      <c r="D44" s="77">
        <f t="shared" si="3"/>
        <v>60</v>
      </c>
      <c r="E44" s="72">
        <v>27</v>
      </c>
      <c r="G44" s="73">
        <v>26</v>
      </c>
      <c r="H44" s="65">
        <f t="shared" si="4"/>
        <v>51</v>
      </c>
      <c r="L44" s="65">
        <f>APLICACION!F44</f>
        <v>2</v>
      </c>
      <c r="O44" s="88" t="str">
        <f t="shared" si="2"/>
        <v>No presenta</v>
      </c>
    </row>
  </sheetData>
  <mergeCells count="10">
    <mergeCell ref="O16:P16"/>
    <mergeCell ref="B9:C9"/>
    <mergeCell ref="B16:C16"/>
    <mergeCell ref="B34:C34"/>
    <mergeCell ref="B29:C29"/>
    <mergeCell ref="O13:T13"/>
    <mergeCell ref="O14:T14"/>
    <mergeCell ref="O10:T10"/>
    <mergeCell ref="O11:T11"/>
    <mergeCell ref="O12:T12"/>
  </mergeCells>
  <conditionalFormatting sqref="O17:O44">
    <cfRule type="containsText" dxfId="3" priority="4" operator="containsText" text="No presenta">
      <formula>NOT(ISERROR(SEARCH("No presenta",O17)))</formula>
    </cfRule>
  </conditionalFormatting>
  <conditionalFormatting sqref="O17:O44">
    <cfRule type="containsText" dxfId="2" priority="3" operator="containsText" text="Trastornos Críticos">
      <formula>NOT(ISERROR(SEARCH("Trastornos Críticos",O17)))</formula>
    </cfRule>
  </conditionalFormatting>
  <conditionalFormatting sqref="O17:O44">
    <cfRule type="containsText" dxfId="1" priority="1" operator="containsText" text="Categoría de Riesgo">
      <formula>NOT(ISERROR(SEARCH("Categoría de Riesgo",O17)))</formula>
    </cfRule>
    <cfRule type="containsText" dxfId="0" priority="2" operator="containsText" text="Patrones menos adaptativos">
      <formula>NOT(ISERROR(SEARCH("Patrones menos adaptativos",O17)))</formula>
    </cfRule>
  </conditionalFormatting>
  <pageMargins left="0.25" right="0.25" top="0.75" bottom="0.75" header="0.3" footer="0.3"/>
  <pageSetup paperSize="9" scale="87" fitToWidth="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8:F21"/>
  <sheetViews>
    <sheetView workbookViewId="0">
      <selection activeCell="G7" sqref="G7"/>
    </sheetView>
  </sheetViews>
  <sheetFormatPr baseColWidth="10" defaultColWidth="9.140625" defaultRowHeight="15" x14ac:dyDescent="0.25"/>
  <cols>
    <col min="1" max="1" width="4.85546875" style="15" customWidth="1"/>
    <col min="2" max="2" width="30.28515625" style="15" bestFit="1" customWidth="1"/>
    <col min="3" max="3" width="3.28515625" style="15" bestFit="1" customWidth="1"/>
    <col min="4" max="4" width="6.5703125" style="15" bestFit="1" customWidth="1"/>
    <col min="5" max="55" width="4.85546875" style="15" customWidth="1"/>
    <col min="56" max="16384" width="9.140625" style="15"/>
  </cols>
  <sheetData>
    <row r="8" spans="1:6" x14ac:dyDescent="0.25">
      <c r="A8" s="154" t="s">
        <v>385</v>
      </c>
      <c r="B8" s="154"/>
      <c r="C8" s="24" t="s">
        <v>253</v>
      </c>
      <c r="D8" s="22" t="s">
        <v>386</v>
      </c>
    </row>
    <row r="9" spans="1:6" x14ac:dyDescent="0.25">
      <c r="A9" s="35">
        <v>1</v>
      </c>
      <c r="B9" s="26" t="s">
        <v>387</v>
      </c>
      <c r="C9" s="27">
        <f>APLICACION!D68+APLICACION!D75+APLICACION!D89+APLICACION!D94+APLICACION!D104+APLICACION!D120</f>
        <v>2</v>
      </c>
      <c r="D9" s="36">
        <f t="shared" ref="D9:D13" si="0">((C9/F9))</f>
        <v>0.33333333333333331</v>
      </c>
      <c r="F9" s="16">
        <v>6</v>
      </c>
    </row>
    <row r="10" spans="1:6" x14ac:dyDescent="0.25">
      <c r="A10" s="35">
        <v>2</v>
      </c>
      <c r="B10" s="26" t="s">
        <v>388</v>
      </c>
      <c r="C10" s="27">
        <f>APLICACION!D104+APLICACION!D131+APLICACION!D150+APLICACION!D175+APLICACION!D177+APLICACION!D191+APLICACION!D202</f>
        <v>0</v>
      </c>
      <c r="D10" s="36">
        <f t="shared" si="0"/>
        <v>0</v>
      </c>
      <c r="F10" s="16">
        <v>7</v>
      </c>
    </row>
    <row r="11" spans="1:6" x14ac:dyDescent="0.25">
      <c r="A11" s="35">
        <v>3</v>
      </c>
      <c r="B11" s="37" t="s">
        <v>389</v>
      </c>
      <c r="C11" s="27">
        <f>APLICACION!D59+APLICACION!D169</f>
        <v>2</v>
      </c>
      <c r="D11" s="36">
        <f t="shared" si="0"/>
        <v>1</v>
      </c>
      <c r="F11" s="16">
        <v>2</v>
      </c>
    </row>
    <row r="12" spans="1:6" x14ac:dyDescent="0.25">
      <c r="A12" s="35">
        <v>4</v>
      </c>
      <c r="B12" s="37" t="s">
        <v>390</v>
      </c>
      <c r="C12" s="27">
        <f>APLICACION!D81+APLICACION!D98+APLICACION!D114+APLICACION!D198</f>
        <v>0</v>
      </c>
      <c r="D12" s="36">
        <f t="shared" si="0"/>
        <v>0</v>
      </c>
      <c r="F12" s="16">
        <v>4</v>
      </c>
    </row>
    <row r="13" spans="1:6" x14ac:dyDescent="0.25">
      <c r="A13" s="35">
        <v>5</v>
      </c>
      <c r="B13" s="38" t="s">
        <v>391</v>
      </c>
      <c r="C13" s="27">
        <f>APLICACION!D39+APLICACION!D48+APLICACION!D57+APLICACION!D68+APLICACION!D84+APLICACION!D92+APLICACION!D139+APLICACION!D189</f>
        <v>1</v>
      </c>
      <c r="D13" s="36">
        <f t="shared" si="0"/>
        <v>0.125</v>
      </c>
      <c r="F13" s="16">
        <v>8</v>
      </c>
    </row>
    <row r="14" spans="1:6" x14ac:dyDescent="0.25">
      <c r="A14" s="35">
        <v>6</v>
      </c>
      <c r="B14" s="38" t="s">
        <v>392</v>
      </c>
      <c r="C14" s="27">
        <f>APLICACION!D23+APLICACION!D86+APLICACION!D127+APLICACION!D157+APLICACION!D180+APLICACION!D203</f>
        <v>0</v>
      </c>
      <c r="D14" s="36">
        <f>((C14/F14))</f>
        <v>0</v>
      </c>
      <c r="F14" s="16">
        <v>6</v>
      </c>
    </row>
    <row r="15" spans="1:6" x14ac:dyDescent="0.25">
      <c r="A15" s="35">
        <v>7</v>
      </c>
      <c r="B15" s="38" t="s">
        <v>393</v>
      </c>
      <c r="C15" s="27">
        <f>APLICACION!D19+APLICACION!D53+APLICACION!D69+APLICACION!D125+APLICACION!D132+APLICACION!D158</f>
        <v>0</v>
      </c>
      <c r="D15" s="36">
        <f t="shared" ref="D15:D21" si="1">((C15/F15))</f>
        <v>0</v>
      </c>
      <c r="F15" s="16">
        <v>6</v>
      </c>
    </row>
    <row r="16" spans="1:6" x14ac:dyDescent="0.25">
      <c r="A16" s="35">
        <v>8</v>
      </c>
      <c r="B16" s="39" t="s">
        <v>394</v>
      </c>
      <c r="C16" s="27">
        <f>APLICACION!D16+APLICACION!D116+APLICACION!D194+APLICACION!D202</f>
        <v>0</v>
      </c>
      <c r="D16" s="36">
        <f t="shared" si="1"/>
        <v>0</v>
      </c>
      <c r="F16" s="16">
        <v>4</v>
      </c>
    </row>
    <row r="17" spans="1:6" x14ac:dyDescent="0.25">
      <c r="A17" s="35">
        <v>9</v>
      </c>
      <c r="B17" s="37" t="s">
        <v>395</v>
      </c>
      <c r="C17" s="27">
        <f>APLICACION!D136+APLICACION!D188</f>
        <v>0</v>
      </c>
      <c r="D17" s="36">
        <f t="shared" si="1"/>
        <v>0</v>
      </c>
      <c r="F17" s="16">
        <v>2</v>
      </c>
    </row>
    <row r="18" spans="1:6" x14ac:dyDescent="0.25">
      <c r="A18" s="35">
        <v>10</v>
      </c>
      <c r="B18" s="38" t="s">
        <v>396</v>
      </c>
      <c r="C18" s="27">
        <f>APLICACION!D26+APLICACION!D44+APLICACION!D46+APLICACION!D51+APLICACION!D71+APLICACION!D90+APLICACION!D113+APLICACION!D119+APLICACION!D126+APLICACION!D138+APLICACION!D163+APLICACION!D176</f>
        <v>2</v>
      </c>
      <c r="D18" s="36">
        <f t="shared" si="1"/>
        <v>0.16666666666666666</v>
      </c>
      <c r="F18" s="16">
        <v>12</v>
      </c>
    </row>
    <row r="19" spans="1:6" x14ac:dyDescent="0.25">
      <c r="A19" s="35">
        <v>11</v>
      </c>
      <c r="B19" s="37" t="s">
        <v>397</v>
      </c>
      <c r="C19" s="27">
        <f>APLICACION!D52+APLICACION!D193</f>
        <v>0</v>
      </c>
      <c r="D19" s="36">
        <f t="shared" si="1"/>
        <v>0</v>
      </c>
      <c r="F19" s="16">
        <v>2</v>
      </c>
    </row>
    <row r="20" spans="1:6" x14ac:dyDescent="0.25">
      <c r="A20" s="35">
        <v>12</v>
      </c>
      <c r="B20" s="37" t="s">
        <v>398</v>
      </c>
      <c r="C20" s="27">
        <f>APLICACION!D67+APLICACION!D122</f>
        <v>0</v>
      </c>
      <c r="D20" s="36">
        <f t="shared" si="1"/>
        <v>0</v>
      </c>
      <c r="F20" s="16">
        <v>2</v>
      </c>
    </row>
    <row r="21" spans="1:6" x14ac:dyDescent="0.25">
      <c r="A21" s="35">
        <v>13</v>
      </c>
      <c r="B21" s="38" t="s">
        <v>399</v>
      </c>
      <c r="C21" s="27">
        <f>APLICACION!D34+APLICACION!D49+APLICACION!D112+APLICACION!D115+APLICACION!D148+APLICACION!D179+APLICACION!D190+APLICACION!D204</f>
        <v>2</v>
      </c>
      <c r="D21" s="36">
        <f t="shared" si="1"/>
        <v>0.25</v>
      </c>
      <c r="F21" s="16">
        <v>8</v>
      </c>
    </row>
  </sheetData>
  <mergeCells count="1">
    <mergeCell ref="A8:B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G63"/>
  <sheetViews>
    <sheetView topLeftCell="A2" zoomScale="120" zoomScaleNormal="120" workbookViewId="0">
      <selection activeCell="A15" sqref="A15:G15"/>
    </sheetView>
  </sheetViews>
  <sheetFormatPr baseColWidth="10" defaultRowHeight="11.25" x14ac:dyDescent="0.2"/>
  <cols>
    <col min="1" max="1" width="14.140625" style="91" bestFit="1" customWidth="1"/>
    <col min="2" max="5" width="11.42578125" style="91"/>
    <col min="6" max="9" width="11.85546875" style="91" customWidth="1"/>
    <col min="10" max="16384" width="11.42578125" style="91"/>
  </cols>
  <sheetData>
    <row r="1" spans="1:7" hidden="1" x14ac:dyDescent="0.2"/>
    <row r="6" spans="1:7" ht="12" x14ac:dyDescent="0.2">
      <c r="E6" s="123" t="str">
        <f>APLICACION!B9</f>
        <v>Nombre :Estefania Milagros Negron Huapaya</v>
      </c>
    </row>
    <row r="7" spans="1:7" ht="12.75" x14ac:dyDescent="0.2">
      <c r="A7" s="90"/>
    </row>
    <row r="10" spans="1:7" ht="14.25" x14ac:dyDescent="0.2">
      <c r="A10" s="161" t="s">
        <v>403</v>
      </c>
      <c r="B10" s="161"/>
      <c r="C10" s="161"/>
      <c r="D10" s="161"/>
      <c r="E10" s="161"/>
      <c r="F10" s="161"/>
      <c r="G10" s="161"/>
    </row>
    <row r="11" spans="1:7" x14ac:dyDescent="0.2">
      <c r="A11" s="92"/>
      <c r="B11" s="92"/>
      <c r="C11" s="92"/>
      <c r="D11" s="92"/>
      <c r="E11" s="92"/>
      <c r="F11" s="92"/>
      <c r="G11" s="92"/>
    </row>
    <row r="12" spans="1:7" x14ac:dyDescent="0.2">
      <c r="A12" s="162" t="str">
        <f>'Interpretacion '!A12:G12</f>
        <v>La escala V señala que sus respuestas son válido pero dudable, cuestionable.</v>
      </c>
      <c r="B12" s="162"/>
      <c r="C12" s="162"/>
      <c r="D12" s="162"/>
      <c r="E12" s="162"/>
      <c r="F12" s="162"/>
      <c r="G12" s="162"/>
    </row>
    <row r="13" spans="1:7" x14ac:dyDescent="0.2">
      <c r="A13" s="162" t="str">
        <f>'Interpretacion '!A13:G13</f>
        <v>La escala W señala que sus respuestas son consistente.</v>
      </c>
      <c r="B13" s="162"/>
      <c r="C13" s="162"/>
      <c r="D13" s="162"/>
      <c r="E13" s="162"/>
      <c r="F13" s="162"/>
      <c r="G13" s="162"/>
    </row>
    <row r="14" spans="1:7" x14ac:dyDescent="0.2">
      <c r="A14" s="162" t="str">
        <f>'Interpretacion '!A14:G14</f>
        <v>La escala X señala que sus respuestas son clínicamente interpretable</v>
      </c>
      <c r="B14" s="162"/>
      <c r="C14" s="162"/>
      <c r="D14" s="162"/>
      <c r="E14" s="162"/>
      <c r="F14" s="162"/>
      <c r="G14" s="162"/>
    </row>
    <row r="15" spans="1:7" ht="37.5" customHeight="1" x14ac:dyDescent="0.2">
      <c r="A15" s="162" t="str">
        <f>'Interpretacion '!A15:G15</f>
        <v>La escala Y señala que Tendencia a parecer socialmente agradable, moralmente admirable o emocionalmente equilibrado. Tendencia a mostrar una imagen de sí mismo positiva e interesante. Cuanto más alta sea la puntuación, más probable es que el paciente haya ocultado ciertos aspectos de sus dificultades psicológicas o interpersonales.</v>
      </c>
      <c r="B15" s="162"/>
      <c r="C15" s="162"/>
      <c r="D15" s="162"/>
      <c r="E15" s="162"/>
      <c r="F15" s="162"/>
      <c r="G15" s="162"/>
    </row>
    <row r="16" spans="1:7" ht="27.75" customHeight="1" x14ac:dyDescent="0.2">
      <c r="A16" s="162" t="str">
        <f>'Interpretacion '!A16:G16</f>
        <v>La escala Z señala que trata deTendencia del sujeto a menospreciarse o subestimarse manifestando más problemas emocionales y perso¬nales de los que un análisis posterior pueda reflejar.</v>
      </c>
      <c r="B16" s="162"/>
      <c r="C16" s="162"/>
      <c r="D16" s="162"/>
      <c r="E16" s="162"/>
      <c r="F16" s="162"/>
      <c r="G16" s="162"/>
    </row>
    <row r="17" spans="1:7" x14ac:dyDescent="0.2">
      <c r="A17" s="108"/>
      <c r="B17" s="108"/>
      <c r="C17" s="108"/>
      <c r="D17" s="108"/>
      <c r="E17" s="108"/>
      <c r="F17" s="108"/>
      <c r="G17" s="108"/>
    </row>
    <row r="18" spans="1:7" x14ac:dyDescent="0.2">
      <c r="A18" s="109"/>
      <c r="B18" s="109"/>
      <c r="C18" s="109"/>
      <c r="D18" s="109"/>
      <c r="E18" s="109"/>
      <c r="F18" s="109"/>
      <c r="G18" s="109"/>
    </row>
    <row r="19" spans="1:7" ht="12" x14ac:dyDescent="0.2">
      <c r="A19" s="163" t="str">
        <f>'Interpretacion '!A19:G19</f>
        <v xml:space="preserve">En los patrones de la escala clínica de personalidad presenta </v>
      </c>
      <c r="B19" s="163"/>
      <c r="C19" s="163"/>
      <c r="D19" s="163"/>
      <c r="E19" s="163"/>
      <c r="F19" s="163"/>
      <c r="G19" s="163"/>
    </row>
    <row r="20" spans="1:7" ht="17.25" customHeight="1" x14ac:dyDescent="0.2">
      <c r="A20" s="155" t="str">
        <f>'Interpretacion '!A20:G20</f>
        <v xml:space="preserve"> </v>
      </c>
      <c r="B20" s="156"/>
      <c r="C20" s="156"/>
      <c r="D20" s="156"/>
      <c r="E20" s="156"/>
      <c r="F20" s="156"/>
      <c r="G20" s="157"/>
    </row>
    <row r="21" spans="1:7" ht="17.25" customHeight="1" x14ac:dyDescent="0.2">
      <c r="A21" s="155" t="str">
        <f>'Interpretacion '!A21:G21</f>
        <v xml:space="preserve"> </v>
      </c>
      <c r="B21" s="156"/>
      <c r="C21" s="156"/>
      <c r="D21" s="156"/>
      <c r="E21" s="156"/>
      <c r="F21" s="156"/>
      <c r="G21" s="157"/>
    </row>
    <row r="22" spans="1:7" ht="17.25" customHeight="1" x14ac:dyDescent="0.2">
      <c r="A22" s="155" t="str">
        <f>'Interpretacion '!A22:G22</f>
        <v xml:space="preserve"> </v>
      </c>
      <c r="B22" s="156"/>
      <c r="C22" s="156"/>
      <c r="D22" s="156"/>
      <c r="E22" s="156"/>
      <c r="F22" s="156"/>
      <c r="G22" s="157"/>
    </row>
    <row r="23" spans="1:7" ht="17.25" customHeight="1" x14ac:dyDescent="0.2">
      <c r="A23" s="155" t="str">
        <f>'Interpretacion '!A23:G23</f>
        <v xml:space="preserve"> </v>
      </c>
      <c r="B23" s="156"/>
      <c r="C23" s="156"/>
      <c r="D23" s="156"/>
      <c r="E23" s="156"/>
      <c r="F23" s="156"/>
      <c r="G23" s="157"/>
    </row>
    <row r="24" spans="1:7" ht="17.25" customHeight="1" x14ac:dyDescent="0.2">
      <c r="A24" s="155" t="str">
        <f>'Interpretacion '!A24:G24</f>
        <v>Histriónico presenta Patrones menos adaptativos y Trastornos Se caracteriza por Los sujetos histriónicos, al igual que los dependientes, recurren a los demás, pero maximizan la atención y los favores que reciben, manipulando los hechos de una forma superficial y entusiasta. Su comportamiento social inteligente y a menudo ingenioso transmite confianza y seguridad en sí mismo; sin embargo, debajo de esta apariencia, subyace el miedo a la autonomía real y la necesidad de recibir señales recurrentes de aceptación y aprobación casi constantemente.</v>
      </c>
      <c r="B24" s="156"/>
      <c r="C24" s="156"/>
      <c r="D24" s="156"/>
      <c r="E24" s="156"/>
      <c r="F24" s="156"/>
      <c r="G24" s="157"/>
    </row>
    <row r="25" spans="1:7" ht="17.25" customHeight="1" x14ac:dyDescent="0.2">
      <c r="A25" s="155" t="str">
        <f>'Interpretacion '!A25:G25</f>
        <v xml:space="preserve">Tempestuoso presenta Patrones menos adaptativos y Trastornos Se caracteriza por Los sujetos tempestuosos son muy alegres y animados, pero su persistente euforia, entrometimiento y vo¬lubilidad puede resultar irritante para los demás. Aunque son apasionados y entusiastas, se aburren con  
demasiada facilidad y carecen de los recursos y la regularidad necesarios para llevar a término sus objetivos y planes. Sin control, su conducta puede llegar a ser más extrema, temeraria y errática. Con bastante fre¬cuencia, este patrón tipo maníaco, puede conducir al agotamiento depresivo. De todo ello resulta un patrón de conducta impredecible, de pensamiento disperso y de acciones y estados de ánimo impetuosos e impul¬sivos, interrumpidos por arrebatos de ira momentánea y ansiedad temerosa.
</v>
      </c>
      <c r="B25" s="156"/>
      <c r="C25" s="156"/>
      <c r="D25" s="156"/>
      <c r="E25" s="156"/>
      <c r="F25" s="156"/>
      <c r="G25" s="157"/>
    </row>
    <row r="26" spans="1:7" ht="17.25" customHeight="1" x14ac:dyDescent="0.2">
      <c r="A26" s="155" t="str">
        <f>'Interpretacion '!A26:G26</f>
        <v>Narcisista presenta Categoría de Riesgo Se caracteriza por Los sujetos narcisistas destacan por su egocentrismo egotista, por sentir placer simplemente centrándose en sí mismos. Sus sentimientos de superioridad pueden no estar basados en logros reales o maduros; sin embargo, los narcisistas conservan un aire arrogante de seguridad en sí mismos y, sin pensarlo demasiado ni pretenderlo conscientemente, explotan a los demás en beneficio propio. Aunque agradecen y fomentan los elogios y las atenciones que reciben de los demás, no necesitan logros reales o aprobación social para mantener su aire de esnobismo y superioridad pretenciosa. Su confianza extrema hace que no se sientan motivados a implicarse en las interacciones propias de la vida social.</v>
      </c>
      <c r="B26" s="156"/>
      <c r="C26" s="156"/>
      <c r="D26" s="156"/>
      <c r="E26" s="156"/>
      <c r="F26" s="156"/>
      <c r="G26" s="157"/>
    </row>
    <row r="27" spans="1:7" ht="17.25" customHeight="1" x14ac:dyDescent="0.2">
      <c r="A27" s="155" t="str">
        <f>'Interpretacion '!A27:G27</f>
        <v xml:space="preserve"> </v>
      </c>
      <c r="B27" s="156"/>
      <c r="C27" s="156"/>
      <c r="D27" s="156"/>
      <c r="E27" s="156"/>
      <c r="F27" s="156"/>
      <c r="G27" s="157"/>
    </row>
    <row r="28" spans="1:7" ht="17.25" customHeight="1" x14ac:dyDescent="0.2">
      <c r="A28" s="155" t="str">
        <f>'Interpretacion '!A28:G28</f>
        <v xml:space="preserve"> </v>
      </c>
      <c r="B28" s="156"/>
      <c r="C28" s="156"/>
      <c r="D28" s="156"/>
      <c r="E28" s="156"/>
      <c r="F28" s="156"/>
      <c r="G28" s="157"/>
    </row>
    <row r="29" spans="1:7" ht="17.25" customHeight="1" x14ac:dyDescent="0.2">
      <c r="A29" s="155" t="str">
        <f>'Interpretacion '!A29:G29</f>
        <v xml:space="preserve"> </v>
      </c>
      <c r="B29" s="156"/>
      <c r="C29" s="156"/>
      <c r="D29" s="156"/>
      <c r="E29" s="156"/>
      <c r="F29" s="156"/>
      <c r="G29" s="157"/>
    </row>
    <row r="30" spans="1:7" ht="17.25" customHeight="1" x14ac:dyDescent="0.2">
      <c r="A30" s="155" t="str">
        <f>'Interpretacion '!A30:G30</f>
        <v xml:space="preserve"> </v>
      </c>
      <c r="B30" s="156"/>
      <c r="C30" s="156"/>
      <c r="D30" s="156"/>
      <c r="E30" s="156"/>
      <c r="F30" s="156"/>
      <c r="G30" s="157"/>
    </row>
    <row r="31" spans="1:7" ht="17.25" customHeight="1" x14ac:dyDescent="0.2">
      <c r="A31" s="155" t="str">
        <f>'Interpretacion '!A31:G31</f>
        <v xml:space="preserve"> </v>
      </c>
      <c r="B31" s="156"/>
      <c r="C31" s="156"/>
      <c r="D31" s="156"/>
      <c r="E31" s="156"/>
      <c r="F31" s="156"/>
      <c r="G31" s="157"/>
    </row>
    <row r="32" spans="1:7" ht="11.25" customHeight="1" x14ac:dyDescent="0.2">
      <c r="A32" s="158" t="str">
        <f>'Interpretacion '!A32:G32</f>
        <v xml:space="preserve">En las Patologías Graves Personalidad presenta </v>
      </c>
      <c r="B32" s="159"/>
      <c r="C32" s="159"/>
      <c r="D32" s="159"/>
      <c r="E32" s="159"/>
      <c r="F32" s="159"/>
      <c r="G32" s="160"/>
    </row>
    <row r="33" spans="1:7" ht="17.25" customHeight="1" x14ac:dyDescent="0.2">
      <c r="A33" s="155" t="str">
        <f>'Interpretacion '!A33:G33</f>
        <v xml:space="preserve"> </v>
      </c>
      <c r="B33" s="156"/>
      <c r="C33" s="156"/>
      <c r="D33" s="156"/>
      <c r="E33" s="156"/>
      <c r="F33" s="156"/>
      <c r="G33" s="157"/>
    </row>
    <row r="34" spans="1:7" ht="17.25" customHeight="1" x14ac:dyDescent="0.2">
      <c r="A34" s="155" t="str">
        <f>'Interpretacion '!A34:G34</f>
        <v xml:space="preserve"> </v>
      </c>
      <c r="B34" s="156"/>
      <c r="C34" s="156"/>
      <c r="D34" s="156"/>
      <c r="E34" s="156"/>
      <c r="F34" s="156"/>
      <c r="G34" s="157"/>
    </row>
    <row r="35" spans="1:7" ht="17.25" customHeight="1" x14ac:dyDescent="0.2">
      <c r="A35" s="155" t="str">
        <f>'Interpretacion '!A35:G35</f>
        <v>Paranoide presenta Categoría de Riesgo Se caracteriza por Los sujetos paranoides se muestran desconfiados y en alerta hacia los demás y tensos y a la defensiva ante posibles críticas y engaños. Presentan una irritabilidad desabrida y tienden a hacer que los demás se exas¬peren o se enfaden. Asimismo se distinguen por la inmutabilidad de sus sentimientos y la inflexlbilidad de su pensamiento. A menudo expresan miedo a perder la independencia, lo que los lleva a resistirse enérgicamen¬te a las influencias y al control externo.</v>
      </c>
      <c r="B35" s="156"/>
      <c r="C35" s="156"/>
      <c r="D35" s="156"/>
      <c r="E35" s="156"/>
      <c r="F35" s="156"/>
      <c r="G35" s="157"/>
    </row>
    <row r="36" spans="1:7" ht="17.25" customHeight="1" x14ac:dyDescent="0.2">
      <c r="A36" s="155" t="str">
        <f>'Interpretacion '!A36:G36</f>
        <v xml:space="preserve"> </v>
      </c>
      <c r="B36" s="156"/>
      <c r="C36" s="156"/>
      <c r="D36" s="156"/>
      <c r="E36" s="156"/>
      <c r="F36" s="156"/>
      <c r="G36" s="157"/>
    </row>
    <row r="37" spans="1:7" ht="10.5" customHeight="1" x14ac:dyDescent="0.2">
      <c r="A37" s="158" t="str">
        <f>'Interpretacion '!A37:G37</f>
        <v xml:space="preserve">En los Sindromes Clínicos de la Personalidad presenta </v>
      </c>
      <c r="B37" s="159"/>
      <c r="C37" s="159"/>
      <c r="D37" s="159"/>
      <c r="E37" s="159"/>
      <c r="F37" s="159"/>
      <c r="G37" s="160"/>
    </row>
    <row r="38" spans="1:7" ht="17.25" customHeight="1" x14ac:dyDescent="0.2">
      <c r="A38" s="155" t="str">
        <f>'Interpretacion '!A38:G38</f>
        <v xml:space="preserve"> </v>
      </c>
      <c r="B38" s="156"/>
      <c r="C38" s="156"/>
      <c r="D38" s="156"/>
      <c r="E38" s="156"/>
      <c r="F38" s="156"/>
      <c r="G38" s="157"/>
    </row>
    <row r="39" spans="1:7" ht="17.25" customHeight="1" x14ac:dyDescent="0.2">
      <c r="A39" s="155" t="str">
        <f>'Interpretacion '!A39:G39</f>
        <v xml:space="preserve"> </v>
      </c>
      <c r="B39" s="156"/>
      <c r="C39" s="156"/>
      <c r="D39" s="156"/>
      <c r="E39" s="156"/>
      <c r="F39" s="156"/>
      <c r="G39" s="157"/>
    </row>
    <row r="40" spans="1:7" ht="17.25" customHeight="1" x14ac:dyDescent="0.2">
      <c r="A40" s="155" t="str">
        <f>'Interpretacion '!A40:G40</f>
        <v xml:space="preserve"> </v>
      </c>
      <c r="B40" s="156"/>
      <c r="C40" s="156"/>
      <c r="D40" s="156"/>
      <c r="E40" s="156"/>
      <c r="F40" s="156"/>
      <c r="G40" s="157"/>
    </row>
    <row r="41" spans="1:7" ht="17.25" customHeight="1" x14ac:dyDescent="0.2">
      <c r="A41" s="155" t="str">
        <f>'Interpretacion '!A41:G41</f>
        <v xml:space="preserve"> </v>
      </c>
      <c r="B41" s="156"/>
      <c r="C41" s="156"/>
      <c r="D41" s="156"/>
      <c r="E41" s="156"/>
      <c r="F41" s="156"/>
      <c r="G41" s="157"/>
    </row>
    <row r="42" spans="1:7" ht="17.25" customHeight="1" x14ac:dyDescent="0.2">
      <c r="A42" s="155" t="str">
        <f>'Interpretacion '!A42:G42</f>
        <v xml:space="preserve"> </v>
      </c>
      <c r="B42" s="156"/>
      <c r="C42" s="156"/>
      <c r="D42" s="156"/>
      <c r="E42" s="156"/>
      <c r="F42" s="156"/>
      <c r="G42" s="157"/>
    </row>
    <row r="43" spans="1:7" ht="17.25" customHeight="1" x14ac:dyDescent="0.2">
      <c r="A43" s="155" t="str">
        <f>'Interpretacion '!A43:G43</f>
        <v xml:space="preserve"> </v>
      </c>
      <c r="B43" s="156"/>
      <c r="C43" s="156"/>
      <c r="D43" s="156"/>
      <c r="E43" s="156"/>
      <c r="F43" s="156"/>
      <c r="G43" s="157"/>
    </row>
    <row r="44" spans="1:7" ht="17.25" customHeight="1" x14ac:dyDescent="0.2">
      <c r="A44" s="155" t="str">
        <f>'Interpretacion '!A44:G44</f>
        <v xml:space="preserve"> </v>
      </c>
      <c r="B44" s="156"/>
      <c r="C44" s="156"/>
      <c r="D44" s="156"/>
      <c r="E44" s="156"/>
      <c r="F44" s="156"/>
      <c r="G44" s="157"/>
    </row>
    <row r="45" spans="1:7" ht="17.25" customHeight="1" x14ac:dyDescent="0.2">
      <c r="A45" s="155" t="str">
        <f>'Interpretacion '!A45:G45</f>
        <v xml:space="preserve"> </v>
      </c>
      <c r="B45" s="156"/>
      <c r="C45" s="156"/>
      <c r="D45" s="156"/>
      <c r="E45" s="156"/>
      <c r="F45" s="156"/>
      <c r="G45" s="157"/>
    </row>
    <row r="46" spans="1:7" ht="17.25" customHeight="1" x14ac:dyDescent="0.2">
      <c r="A46" s="155" t="str">
        <f>'Interpretacion '!A46:G46</f>
        <v xml:space="preserve"> </v>
      </c>
      <c r="B46" s="156"/>
      <c r="C46" s="156"/>
      <c r="D46" s="156"/>
      <c r="E46" s="156"/>
      <c r="F46" s="156"/>
      <c r="G46" s="157"/>
    </row>
    <row r="47" spans="1:7" ht="17.25" customHeight="1" x14ac:dyDescent="0.2">
      <c r="A47" s="155" t="str">
        <f>'Interpretacion '!A47:G47</f>
        <v xml:space="preserve"> </v>
      </c>
      <c r="B47" s="156"/>
      <c r="C47" s="156"/>
      <c r="D47" s="156"/>
      <c r="E47" s="156"/>
      <c r="F47" s="156"/>
      <c r="G47" s="157"/>
    </row>
    <row r="48" spans="1:7" ht="21.75" customHeight="1" x14ac:dyDescent="0.2">
      <c r="A48" s="110"/>
      <c r="B48" s="110"/>
      <c r="C48" s="110"/>
      <c r="D48" s="110"/>
      <c r="E48" s="110"/>
      <c r="F48" s="110"/>
      <c r="G48" s="110"/>
    </row>
    <row r="49" spans="1:7" ht="21.75" customHeight="1" x14ac:dyDescent="0.2">
      <c r="A49" s="92"/>
      <c r="B49" s="92"/>
      <c r="C49" s="92"/>
      <c r="D49" s="92"/>
      <c r="E49" s="92"/>
      <c r="F49" s="92"/>
      <c r="G49" s="92"/>
    </row>
    <row r="50" spans="1:7" ht="21.75" customHeight="1" x14ac:dyDescent="0.2"/>
    <row r="51" spans="1:7" ht="21.75" customHeight="1" x14ac:dyDescent="0.2"/>
    <row r="52" spans="1:7" ht="21.75" customHeight="1" x14ac:dyDescent="0.2"/>
    <row r="53" spans="1:7" ht="21.75" customHeight="1" x14ac:dyDescent="0.2"/>
    <row r="54" spans="1:7" ht="21.75" customHeight="1" x14ac:dyDescent="0.2"/>
    <row r="55" spans="1:7" ht="21.75" customHeight="1" x14ac:dyDescent="0.2"/>
    <row r="56" spans="1:7" ht="21.75" customHeight="1" x14ac:dyDescent="0.2"/>
    <row r="57" spans="1:7" ht="21.75" customHeight="1" x14ac:dyDescent="0.2"/>
    <row r="58" spans="1:7" ht="21.75" customHeight="1" x14ac:dyDescent="0.2"/>
    <row r="59" spans="1:7" ht="21.75" customHeight="1" x14ac:dyDescent="0.2"/>
    <row r="60" spans="1:7" ht="21.75" customHeight="1" x14ac:dyDescent="0.2"/>
    <row r="61" spans="1:7" ht="21.75" customHeight="1" x14ac:dyDescent="0.2"/>
    <row r="62" spans="1:7" ht="21.75" customHeight="1" x14ac:dyDescent="0.2"/>
    <row r="63" spans="1:7" ht="21.75" customHeight="1" x14ac:dyDescent="0.2"/>
  </sheetData>
  <sheetProtection password="DCB1" sheet="1" objects="1" scenarios="1" selectLockedCells="1"/>
  <mergeCells count="35">
    <mergeCell ref="A22:G22"/>
    <mergeCell ref="A10:G10"/>
    <mergeCell ref="A12:G12"/>
    <mergeCell ref="A13:G13"/>
    <mergeCell ref="A14:G14"/>
    <mergeCell ref="A15:G15"/>
    <mergeCell ref="A16:G16"/>
    <mergeCell ref="A19:G19"/>
    <mergeCell ref="A20:G20"/>
    <mergeCell ref="A21:G21"/>
    <mergeCell ref="A23:G23"/>
    <mergeCell ref="A24:G24"/>
    <mergeCell ref="A25:G25"/>
    <mergeCell ref="A26:G26"/>
    <mergeCell ref="A27:G27"/>
    <mergeCell ref="A38:G38"/>
    <mergeCell ref="A28:G28"/>
    <mergeCell ref="A29:G29"/>
    <mergeCell ref="A30:G30"/>
    <mergeCell ref="A31:G31"/>
    <mergeCell ref="A32:G32"/>
    <mergeCell ref="A33:G33"/>
    <mergeCell ref="A34:G34"/>
    <mergeCell ref="A35:G35"/>
    <mergeCell ref="A36:G36"/>
    <mergeCell ref="A37:G37"/>
    <mergeCell ref="A45:G45"/>
    <mergeCell ref="A46:G46"/>
    <mergeCell ref="A47:G47"/>
    <mergeCell ref="A39:G39"/>
    <mergeCell ref="A40:G40"/>
    <mergeCell ref="A41:G41"/>
    <mergeCell ref="A42:G42"/>
    <mergeCell ref="A43:G43"/>
    <mergeCell ref="A44:G44"/>
  </mergeCells>
  <pageMargins left="0.70866141732283472" right="0.70866141732283472" top="0.74803149606299213" bottom="0.74803149606299213" header="0.31496062992125984" footer="0.31496062992125984"/>
  <pageSetup paperSize="9" orientation="portrait" r:id="rId1"/>
  <headerFooter>
    <oddHeader>&amp;CPS.JESUS LUIS TORRES CORONEL</oddHeader>
    <oddFooter>&amp;CPS.JESUS LUIS TORRES CORONEL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W63"/>
  <sheetViews>
    <sheetView topLeftCell="I5" zoomScale="120" zoomScaleNormal="120" workbookViewId="0">
      <selection activeCell="P16" sqref="P16"/>
    </sheetView>
  </sheetViews>
  <sheetFormatPr baseColWidth="10" defaultRowHeight="11.25" x14ac:dyDescent="0.2"/>
  <cols>
    <col min="1" max="1" width="14.140625" style="91" bestFit="1" customWidth="1"/>
    <col min="2" max="5" width="11.42578125" style="91"/>
    <col min="6" max="6" width="11.42578125" style="91" customWidth="1"/>
    <col min="7" max="7" width="11.7109375" style="91" customWidth="1"/>
    <col min="8" max="18" width="11.7109375" style="96" customWidth="1"/>
    <col min="19" max="23" width="11.7109375" style="95" customWidth="1"/>
    <col min="24" max="37" width="11.7109375" style="91" customWidth="1"/>
    <col min="38" max="16384" width="11.42578125" style="91"/>
  </cols>
  <sheetData>
    <row r="1" spans="1:22" hidden="1" x14ac:dyDescent="0.2"/>
    <row r="5" spans="1:22" x14ac:dyDescent="0.2">
      <c r="R5" s="96" t="s">
        <v>404</v>
      </c>
    </row>
    <row r="6" spans="1:22" x14ac:dyDescent="0.2">
      <c r="R6" s="97" t="s">
        <v>405</v>
      </c>
    </row>
    <row r="7" spans="1:22" ht="12.75" x14ac:dyDescent="0.2">
      <c r="A7" s="90">
        <f>CORRECCION!C4</f>
        <v>0</v>
      </c>
      <c r="N7" s="164" t="s">
        <v>295</v>
      </c>
      <c r="O7" s="164" t="s">
        <v>196</v>
      </c>
      <c r="R7" s="96" t="s">
        <v>435</v>
      </c>
    </row>
    <row r="8" spans="1:22" x14ac:dyDescent="0.2">
      <c r="J8" s="97" t="s">
        <v>430</v>
      </c>
      <c r="N8" s="98" t="s">
        <v>193</v>
      </c>
      <c r="O8" s="99" t="s">
        <v>252</v>
      </c>
      <c r="P8" s="96">
        <f>CORRECCION!D10</f>
        <v>1</v>
      </c>
      <c r="Q8" s="96" t="str">
        <f>IF(P8=0,"100% válida.",IF(P8=1,"válido pero dudable, cuestionable.","prueba no tiene valor alguno, invalida."))</f>
        <v>válido pero dudable, cuestionable.</v>
      </c>
      <c r="R8" s="96" t="str">
        <f>Q8</f>
        <v>válido pero dudable, cuestionable.</v>
      </c>
    </row>
    <row r="9" spans="1:22" x14ac:dyDescent="0.2">
      <c r="J9" s="97" t="s">
        <v>431</v>
      </c>
      <c r="N9" s="98" t="s">
        <v>244</v>
      </c>
      <c r="O9" s="99" t="s">
        <v>251</v>
      </c>
      <c r="P9" s="96">
        <f>CORRECCION!D11</f>
        <v>7</v>
      </c>
      <c r="Q9" s="96" t="str">
        <f>IF(P9&gt;18,"cuestionables o inválidos por posibles respuestas aleatorias.","consistente.")</f>
        <v>consistente.</v>
      </c>
      <c r="R9" s="96" t="str">
        <f t="shared" ref="R9:R10" si="0">Q9</f>
        <v>consistente.</v>
      </c>
    </row>
    <row r="10" spans="1:22" ht="14.25" x14ac:dyDescent="0.2">
      <c r="A10" s="161" t="s">
        <v>403</v>
      </c>
      <c r="B10" s="161"/>
      <c r="C10" s="161"/>
      <c r="D10" s="161"/>
      <c r="E10" s="161"/>
      <c r="F10" s="161"/>
      <c r="G10" s="161"/>
      <c r="J10" s="97" t="s">
        <v>432</v>
      </c>
      <c r="N10" s="98" t="s">
        <v>245</v>
      </c>
      <c r="O10" s="99" t="s">
        <v>250</v>
      </c>
      <c r="P10" s="96">
        <f>CORRECCION!D12</f>
        <v>30</v>
      </c>
      <c r="Q10" s="96" t="str">
        <f>IF(P10&lt;6,"el protocolo debe considerarse inválido.",IF(P10&gt;113,"el protocolo debe considerarse inválido.","clínicamente interpretable"))</f>
        <v>clínicamente interpretable</v>
      </c>
      <c r="R10" s="96" t="str">
        <f t="shared" si="0"/>
        <v>clínicamente interpretable</v>
      </c>
    </row>
    <row r="11" spans="1:22" x14ac:dyDescent="0.2">
      <c r="A11" s="92"/>
      <c r="B11" s="92"/>
      <c r="C11" s="92"/>
      <c r="D11" s="92"/>
      <c r="E11" s="92"/>
      <c r="F11" s="92"/>
      <c r="G11" s="92"/>
      <c r="J11" s="97" t="s">
        <v>433</v>
      </c>
      <c r="N11" s="98" t="s">
        <v>246</v>
      </c>
      <c r="O11" s="99" t="s">
        <v>249</v>
      </c>
      <c r="P11" s="96">
        <v>75</v>
      </c>
      <c r="Q11" s="96" t="str">
        <f>IF(P11&lt;75,"1","2")</f>
        <v>2</v>
      </c>
      <c r="R11" s="96" t="str">
        <f>IF(Q11="1","se muestra revelador, abierto y expresivo en sus respuestas.",R6)</f>
        <v>Tendencia a parecer socialmente agradable, moralmente admirable o emocionalmente equilibrado. Tendencia a mostrar una imagen de sí mismo positiva e interesante. Cuanto más alta sea la puntuación, más probable es que el paciente haya ocultado ciertos aspectos de sus dificultades psicológicas o interpersonales.</v>
      </c>
    </row>
    <row r="12" spans="1:22" x14ac:dyDescent="0.2">
      <c r="A12" s="166" t="str">
        <f>CONCATENATE(J8,R8)</f>
        <v>La escala V señala que sus respuestas son válido pero dudable, cuestionable.</v>
      </c>
      <c r="B12" s="166"/>
      <c r="C12" s="166"/>
      <c r="D12" s="166"/>
      <c r="E12" s="166"/>
      <c r="F12" s="166"/>
      <c r="G12" s="166"/>
      <c r="J12" s="97" t="s">
        <v>434</v>
      </c>
      <c r="N12" s="98" t="s">
        <v>247</v>
      </c>
      <c r="O12" s="99" t="s">
        <v>248</v>
      </c>
      <c r="P12" s="96">
        <v>76</v>
      </c>
      <c r="Q12" s="96" t="str">
        <f>IF(P12&lt;75,"1","2")</f>
        <v>2</v>
      </c>
      <c r="R12" s="96" t="str">
        <f>IF(Q12="1","tiende a presentarse tal como se ve a sí mismo, sin ocultar aquello que le parece importante sobre sus sentimientos, emociones y comportamientos.",R7)</f>
        <v>Tendencia del sujeto a menospreciarse o subestimarse manifestando más problemas emocionales y perso¬nales de los que un análisis posterior pueda reflejar.</v>
      </c>
    </row>
    <row r="13" spans="1:22" x14ac:dyDescent="0.2">
      <c r="A13" s="166" t="str">
        <f t="shared" ref="A13:A15" si="1">CONCATENATE(J9,R9)</f>
        <v>La escala W señala que sus respuestas son consistente.</v>
      </c>
      <c r="B13" s="166"/>
      <c r="C13" s="166"/>
      <c r="D13" s="166"/>
      <c r="E13" s="166"/>
      <c r="F13" s="166"/>
      <c r="G13" s="166"/>
      <c r="N13" s="100"/>
      <c r="O13" s="100"/>
    </row>
    <row r="14" spans="1:22" x14ac:dyDescent="0.2">
      <c r="A14" s="166" t="str">
        <f t="shared" si="1"/>
        <v>La escala X señala que sus respuestas son clínicamente interpretable</v>
      </c>
      <c r="B14" s="166"/>
      <c r="C14" s="166"/>
      <c r="D14" s="166"/>
      <c r="E14" s="166"/>
      <c r="F14" s="166"/>
      <c r="G14" s="166"/>
      <c r="I14" s="96" t="s">
        <v>436</v>
      </c>
      <c r="N14" s="165" t="s">
        <v>206</v>
      </c>
      <c r="O14" s="165"/>
    </row>
    <row r="15" spans="1:22" ht="36" customHeight="1" x14ac:dyDescent="0.2">
      <c r="A15" s="167" t="str">
        <f t="shared" si="1"/>
        <v>La escala Y señala que Tendencia a parecer socialmente agradable, moralmente admirable o emocionalmente equilibrado. Tendencia a mostrar una imagen de sí mismo positiva e interesante. Cuanto más alta sea la puntuación, más probable es que el paciente haya ocultado ciertos aspectos de sus dificultades psicológicas o interpersonales.</v>
      </c>
      <c r="B15" s="167"/>
      <c r="C15" s="167"/>
      <c r="D15" s="167"/>
      <c r="E15" s="167"/>
      <c r="F15" s="167"/>
      <c r="G15" s="167"/>
      <c r="I15" s="96" t="str">
        <f>IF(R15=1,J15," ")</f>
        <v xml:space="preserve"> </v>
      </c>
      <c r="J15" s="96" t="str">
        <f>CONCATENATE(O15," presenta ",Q15, "Se caracteriza por ",S15)</f>
        <v xml:space="preserve">Esquizoide   presenta No presenta Se caracteriza por  </v>
      </c>
      <c r="N15" s="98">
        <v>1</v>
      </c>
      <c r="O15" s="99" t="s">
        <v>207</v>
      </c>
      <c r="P15" s="96">
        <f>CORRECCION!D17</f>
        <v>40</v>
      </c>
      <c r="Q15" s="96" t="str">
        <f>IF(P15&lt;=60,"No presenta ",IF(P15&gt;=85,"Trastornos Críticos ",IF(P15&gt;=75,"Patrones menos adaptativos y Trastornos ","Categoría de Riesgo ")))</f>
        <v xml:space="preserve">No presenta </v>
      </c>
      <c r="R15" s="101" t="str">
        <f>IF(P15&lt;=60,"0",1)</f>
        <v>0</v>
      </c>
      <c r="S15" s="95" t="str">
        <f>IF(R15=1,V15," ")</f>
        <v xml:space="preserve"> </v>
      </c>
      <c r="V15" s="95" t="s">
        <v>406</v>
      </c>
    </row>
    <row r="16" spans="1:22" ht="24.75" customHeight="1" x14ac:dyDescent="0.2">
      <c r="A16" s="168" t="str">
        <f t="shared" ref="A16" si="2">CONCATENATE(J12,R12)</f>
        <v>La escala Z señala que trata deTendencia del sujeto a menospreciarse o subestimarse manifestando más problemas emocionales y perso¬nales de los que un análisis posterior pueda reflejar.</v>
      </c>
      <c r="B16" s="168"/>
      <c r="C16" s="168"/>
      <c r="D16" s="168"/>
      <c r="E16" s="168"/>
      <c r="F16" s="168"/>
      <c r="G16" s="168"/>
      <c r="I16" s="96" t="str">
        <f>IF(R16=1,J16," ")</f>
        <v xml:space="preserve"> </v>
      </c>
      <c r="J16" s="96" t="str">
        <f t="shared" ref="J16:J42" si="3">CONCATENATE(O16," presenta ",Q16, "Se caracteriza por ",S16)</f>
        <v xml:space="preserve">Evitativo presenta No presenta Se caracteriza por  </v>
      </c>
      <c r="N16" s="98" t="s">
        <v>200</v>
      </c>
      <c r="O16" s="99" t="s">
        <v>208</v>
      </c>
      <c r="P16" s="96">
        <f>CORRECCION!D18</f>
        <v>6</v>
      </c>
      <c r="Q16" s="96" t="str">
        <f t="shared" ref="Q16:Q42" si="4">IF(P16&lt;=60,"No presenta ",IF(P16&gt;=85,"Trastornos Críticos ",IF(P16&gt;=75,"Patrones menos adaptativos y Trastornos ","Categoría de Riesgo ")))</f>
        <v xml:space="preserve">No presenta </v>
      </c>
      <c r="R16" s="101" t="str">
        <f t="shared" ref="R16:R42" si="5">IF(P16&lt;=60,"0",1)</f>
        <v>0</v>
      </c>
      <c r="S16" s="95" t="str">
        <f t="shared" ref="S16:S42" si="6">IF(R16=1,V16," ")</f>
        <v xml:space="preserve"> </v>
      </c>
      <c r="V16" s="95" t="s">
        <v>407</v>
      </c>
    </row>
    <row r="17" spans="1:22" x14ac:dyDescent="0.2">
      <c r="A17" s="94"/>
      <c r="B17" s="94"/>
      <c r="C17" s="94"/>
      <c r="D17" s="94"/>
      <c r="E17" s="94"/>
      <c r="F17" s="94"/>
      <c r="G17" s="94"/>
      <c r="I17" s="96" t="str">
        <f t="shared" ref="I17:I42" si="7">IF(R17=1,J17," ")</f>
        <v xml:space="preserve"> </v>
      </c>
      <c r="J17" s="96" t="str">
        <f t="shared" si="3"/>
        <v xml:space="preserve">Melancólico  presenta No presenta Se caracteriza por  </v>
      </c>
      <c r="N17" s="98" t="s">
        <v>201</v>
      </c>
      <c r="O17" s="99" t="s">
        <v>209</v>
      </c>
      <c r="P17" s="96">
        <f>CORRECCION!D19</f>
        <v>30</v>
      </c>
      <c r="Q17" s="96" t="str">
        <f t="shared" si="4"/>
        <v xml:space="preserve">No presenta </v>
      </c>
      <c r="R17" s="101" t="str">
        <f t="shared" si="5"/>
        <v>0</v>
      </c>
      <c r="S17" s="95" t="str">
        <f t="shared" si="6"/>
        <v xml:space="preserve"> </v>
      </c>
      <c r="V17" s="95" t="s">
        <v>408</v>
      </c>
    </row>
    <row r="18" spans="1:22" x14ac:dyDescent="0.2">
      <c r="A18" s="92"/>
      <c r="B18" s="92"/>
      <c r="C18" s="92"/>
      <c r="D18" s="92"/>
      <c r="E18" s="92"/>
      <c r="F18" s="92"/>
      <c r="G18" s="92"/>
      <c r="I18" s="96" t="str">
        <f t="shared" si="7"/>
        <v xml:space="preserve"> </v>
      </c>
      <c r="J18" s="96" t="str">
        <f t="shared" si="3"/>
        <v xml:space="preserve">Dependiente presenta No presenta Se caracteriza por  </v>
      </c>
      <c r="N18" s="98">
        <v>3</v>
      </c>
      <c r="O18" s="99" t="s">
        <v>210</v>
      </c>
      <c r="P18" s="96">
        <f>CORRECCION!D20</f>
        <v>36</v>
      </c>
      <c r="Q18" s="96" t="str">
        <f t="shared" si="4"/>
        <v xml:space="preserve">No presenta </v>
      </c>
      <c r="R18" s="101" t="str">
        <f t="shared" si="5"/>
        <v>0</v>
      </c>
      <c r="S18" s="95" t="str">
        <f t="shared" si="6"/>
        <v xml:space="preserve"> </v>
      </c>
      <c r="V18" s="95" t="s">
        <v>409</v>
      </c>
    </row>
    <row r="19" spans="1:22" ht="12" x14ac:dyDescent="0.2">
      <c r="A19" s="169" t="str">
        <f>I14</f>
        <v xml:space="preserve">En los patrones de la escala clínica de personalidad presenta </v>
      </c>
      <c r="B19" s="169"/>
      <c r="C19" s="169"/>
      <c r="D19" s="169"/>
      <c r="E19" s="169"/>
      <c r="F19" s="169"/>
      <c r="G19" s="169"/>
      <c r="I19" s="96" t="str">
        <f t="shared" si="7"/>
        <v>Histriónico presenta Patrones menos adaptativos y Trastornos Se caracteriza por Los sujetos histriónicos, al igual que los dependientes, recurren a los demás, pero maximizan la atención y los favores que reciben, manipulando los hechos de una forma superficial y entusiasta. Su comportamiento social inteligente y a menudo ingenioso transmite confianza y seguridad en sí mismo; sin embargo, debajo de esta apariencia, subyace el miedo a la autonomía real y la necesidad de recibir señales recurrentes de aceptación y aprobación casi constantemente.</v>
      </c>
      <c r="J19" s="96" t="str">
        <f t="shared" si="3"/>
        <v>Histriónico presenta Patrones menos adaptativos y Trastornos Se caracteriza por Los sujetos histriónicos, al igual que los dependientes, recurren a los demás, pero maximizan la atención y los favores que reciben, manipulando los hechos de una forma superficial y entusiasta. Su comportamiento social inteligente y a menudo ingenioso transmite confianza y seguridad en sí mismo; sin embargo, debajo de esta apariencia, subyace el miedo a la autonomía real y la necesidad de recibir señales recurrentes de aceptación y aprobación casi constantemente.</v>
      </c>
      <c r="N19" s="98" t="s">
        <v>211</v>
      </c>
      <c r="O19" s="99" t="s">
        <v>212</v>
      </c>
      <c r="P19" s="96">
        <f>CORRECCION!D21</f>
        <v>75</v>
      </c>
      <c r="Q19" s="96" t="str">
        <f t="shared" si="4"/>
        <v xml:space="preserve">Patrones menos adaptativos y Trastornos </v>
      </c>
      <c r="R19" s="101">
        <f t="shared" si="5"/>
        <v>1</v>
      </c>
      <c r="S19" s="95" t="str">
        <f>IF(R19=1,V19," ")</f>
        <v>Los sujetos histriónicos, al igual que los dependientes, recurren a los demás, pero maximizan la atención y los favores que reciben, manipulando los hechos de una forma superficial y entusiasta. Su comportamiento social inteligente y a menudo ingenioso transmite confianza y seguridad en sí mismo; sin embargo, debajo de esta apariencia, subyace el miedo a la autonomía real y la necesidad de recibir señales recurrentes de aceptación y aprobación casi constantemente.</v>
      </c>
      <c r="V19" s="95" t="s">
        <v>410</v>
      </c>
    </row>
    <row r="20" spans="1:22" ht="17.25" customHeight="1" x14ac:dyDescent="0.2">
      <c r="A20" s="170" t="str">
        <f>I15</f>
        <v xml:space="preserve"> </v>
      </c>
      <c r="B20" s="171"/>
      <c r="C20" s="171"/>
      <c r="D20" s="171"/>
      <c r="E20" s="171"/>
      <c r="F20" s="171"/>
      <c r="G20" s="172"/>
      <c r="I20" s="96" t="str">
        <f t="shared" si="7"/>
        <v xml:space="preserve">Tempestuoso presenta Patrones menos adaptativos y Trastornos Se caracteriza por Los sujetos tempestuosos son muy alegres y animados, pero su persistente euforia, entrometimiento y vo¬lubilidad puede resultar irritante para los demás. Aunque son apasionados y entusiastas, se aburren con  
demasiada facilidad y carecen de los recursos y la regularidad necesarios para llevar a término sus objetivos y planes. Sin control, su conducta puede llegar a ser más extrema, temeraria y errática. Con bastante fre¬cuencia, este patrón tipo maníaco, puede conducir al agotamiento depresivo. De todo ello resulta un patrón de conducta impredecible, de pensamiento disperso y de acciones y estados de ánimo impetuosos e impul¬sivos, interrumpidos por arrebatos de ira momentánea y ansiedad temerosa.
</v>
      </c>
      <c r="J20" s="96" t="str">
        <f t="shared" si="3"/>
        <v xml:space="preserve">Tempestuoso presenta Patrones menos adaptativos y Trastornos Se caracteriza por Los sujetos tempestuosos son muy alegres y animados, pero su persistente euforia, entrometimiento y vo¬lubilidad puede resultar irritante para los demás. Aunque son apasionados y entusiastas, se aburren con  
demasiada facilidad y carecen de los recursos y la regularidad necesarios para llevar a término sus objetivos y planes. Sin control, su conducta puede llegar a ser más extrema, temeraria y errática. Con bastante fre¬cuencia, este patrón tipo maníaco, puede conducir al agotamiento depresivo. De todo ello resulta un patrón de conducta impredecible, de pensamiento disperso y de acciones y estados de ánimo impetuosos e impul¬sivos, interrumpidos por arrebatos de ira momentánea y ansiedad temerosa.
</v>
      </c>
      <c r="N20" s="98" t="s">
        <v>213</v>
      </c>
      <c r="O20" s="99" t="s">
        <v>214</v>
      </c>
      <c r="P20" s="96">
        <f>CORRECCION!D22</f>
        <v>80</v>
      </c>
      <c r="Q20" s="96" t="str">
        <f t="shared" si="4"/>
        <v xml:space="preserve">Patrones menos adaptativos y Trastornos </v>
      </c>
      <c r="R20" s="101">
        <f t="shared" si="5"/>
        <v>1</v>
      </c>
      <c r="S20" s="95" t="str">
        <f t="shared" si="6"/>
        <v xml:space="preserve">Los sujetos tempestuosos son muy alegres y animados, pero su persistente euforia, entrometimiento y vo¬lubilidad puede resultar irritante para los demás. Aunque son apasionados y entusiastas, se aburren con  
demasiada facilidad y carecen de los recursos y la regularidad necesarios para llevar a término sus objetivos y planes. Sin control, su conducta puede llegar a ser más extrema, temeraria y errática. Con bastante fre¬cuencia, este patrón tipo maníaco, puede conducir al agotamiento depresivo. De todo ello resulta un patrón de conducta impredecible, de pensamiento disperso y de acciones y estados de ánimo impetuosos e impul¬sivos, interrumpidos por arrebatos de ira momentánea y ansiedad temerosa.
</v>
      </c>
      <c r="V20" s="102" t="s">
        <v>411</v>
      </c>
    </row>
    <row r="21" spans="1:22" ht="17.25" customHeight="1" x14ac:dyDescent="0.2">
      <c r="A21" s="170" t="str">
        <f>I16</f>
        <v xml:space="preserve"> </v>
      </c>
      <c r="B21" s="171"/>
      <c r="C21" s="171"/>
      <c r="D21" s="171"/>
      <c r="E21" s="171"/>
      <c r="F21" s="171"/>
      <c r="G21" s="172"/>
      <c r="I21" s="96" t="str">
        <f t="shared" si="7"/>
        <v>Narcisista presenta Categoría de Riesgo Se caracteriza por Los sujetos narcisistas destacan por su egocentrismo egotista, por sentir placer simplemente centrándose en sí mismos. Sus sentimientos de superioridad pueden no estar basados en logros reales o maduros; sin embargo, los narcisistas conservan un aire arrogante de seguridad en sí mismos y, sin pensarlo demasiado ni pretenderlo conscientemente, explotan a los demás en beneficio propio. Aunque agradecen y fomentan los elogios y las atenciones que reciben de los demás, no necesitan logros reales o aprobación social para mantener su aire de esnobismo y superioridad pretenciosa. Su confianza extrema hace que no se sientan motivados a implicarse en las interacciones propias de la vida social.</v>
      </c>
      <c r="J21" s="96" t="str">
        <f t="shared" si="3"/>
        <v>Narcisista presenta Categoría de Riesgo Se caracteriza por Los sujetos narcisistas destacan por su egocentrismo egotista, por sentir placer simplemente centrándose en sí mismos. Sus sentimientos de superioridad pueden no estar basados en logros reales o maduros; sin embargo, los narcisistas conservan un aire arrogante de seguridad en sí mismos y, sin pensarlo demasiado ni pretenderlo conscientemente, explotan a los demás en beneficio propio. Aunque agradecen y fomentan los elogios y las atenciones que reciben de los demás, no necesitan logros reales o aprobación social para mantener su aire de esnobismo y superioridad pretenciosa. Su confianza extrema hace que no se sientan motivados a implicarse en las interacciones propias de la vida social.</v>
      </c>
      <c r="N21" s="98">
        <v>5</v>
      </c>
      <c r="O21" s="99" t="s">
        <v>215</v>
      </c>
      <c r="P21" s="96">
        <f>CORRECCION!D23</f>
        <v>62</v>
      </c>
      <c r="Q21" s="96" t="str">
        <f t="shared" si="4"/>
        <v xml:space="preserve">Categoría de Riesgo </v>
      </c>
      <c r="R21" s="101">
        <f t="shared" si="5"/>
        <v>1</v>
      </c>
      <c r="S21" s="95" t="str">
        <f t="shared" si="6"/>
        <v>Los sujetos narcisistas destacan por su egocentrismo egotista, por sentir placer simplemente centrándose en sí mismos. Sus sentimientos de superioridad pueden no estar basados en logros reales o maduros; sin embargo, los narcisistas conservan un aire arrogante de seguridad en sí mismos y, sin pensarlo demasiado ni pretenderlo conscientemente, explotan a los demás en beneficio propio. Aunque agradecen y fomentan los elogios y las atenciones que reciben de los demás, no necesitan logros reales o aprobación social para mantener su aire de esnobismo y superioridad pretenciosa. Su confianza extrema hace que no se sientan motivados a implicarse en las interacciones propias de la vida social.</v>
      </c>
      <c r="V21" s="102" t="s">
        <v>412</v>
      </c>
    </row>
    <row r="22" spans="1:22" ht="17.25" customHeight="1" x14ac:dyDescent="0.2">
      <c r="A22" s="170" t="str">
        <f t="shared" ref="A22" si="8">I17</f>
        <v xml:space="preserve"> </v>
      </c>
      <c r="B22" s="171"/>
      <c r="C22" s="171"/>
      <c r="D22" s="171"/>
      <c r="E22" s="171"/>
      <c r="F22" s="171"/>
      <c r="G22" s="172"/>
      <c r="I22" s="96" t="str">
        <f t="shared" si="7"/>
        <v xml:space="preserve"> </v>
      </c>
      <c r="J22" s="96" t="str">
        <f t="shared" si="3"/>
        <v xml:space="preserve">Antisocial presenta No presenta Se caracteriza por  </v>
      </c>
      <c r="N22" s="98" t="s">
        <v>202</v>
      </c>
      <c r="O22" s="99" t="s">
        <v>216</v>
      </c>
      <c r="P22" s="96">
        <f>CORRECCION!D24</f>
        <v>20</v>
      </c>
      <c r="Q22" s="96" t="str">
        <f t="shared" si="4"/>
        <v xml:space="preserve">No presenta </v>
      </c>
      <c r="R22" s="101" t="str">
        <f t="shared" si="5"/>
        <v>0</v>
      </c>
      <c r="S22" s="95" t="str">
        <f t="shared" si="6"/>
        <v xml:space="preserve"> </v>
      </c>
      <c r="V22" s="102" t="s">
        <v>413</v>
      </c>
    </row>
    <row r="23" spans="1:22" ht="17.25" customHeight="1" x14ac:dyDescent="0.2">
      <c r="A23" s="170" t="str">
        <f t="shared" ref="A23:A32" si="9">I18</f>
        <v xml:space="preserve"> </v>
      </c>
      <c r="B23" s="171"/>
      <c r="C23" s="171"/>
      <c r="D23" s="171"/>
      <c r="E23" s="171"/>
      <c r="F23" s="171"/>
      <c r="G23" s="172"/>
      <c r="I23" s="96" t="str">
        <f t="shared" si="7"/>
        <v xml:space="preserve"> </v>
      </c>
      <c r="J23" s="96" t="str">
        <f t="shared" si="3"/>
        <v xml:space="preserve">Sádico  presenta No presenta Se caracteriza por  </v>
      </c>
      <c r="N23" s="98" t="s">
        <v>203</v>
      </c>
      <c r="O23" s="99" t="s">
        <v>217</v>
      </c>
      <c r="P23" s="96">
        <f>CORRECCION!D25</f>
        <v>10</v>
      </c>
      <c r="Q23" s="96" t="str">
        <f t="shared" si="4"/>
        <v xml:space="preserve">No presenta </v>
      </c>
      <c r="R23" s="101" t="str">
        <f t="shared" si="5"/>
        <v>0</v>
      </c>
      <c r="S23" s="95" t="str">
        <f t="shared" si="6"/>
        <v xml:space="preserve"> </v>
      </c>
      <c r="V23" s="102" t="s">
        <v>414</v>
      </c>
    </row>
    <row r="24" spans="1:22" ht="17.25" customHeight="1" x14ac:dyDescent="0.2">
      <c r="A24" s="170" t="str">
        <f t="shared" si="9"/>
        <v>Histriónico presenta Patrones menos adaptativos y Trastornos Se caracteriza por Los sujetos histriónicos, al igual que los dependientes, recurren a los demás, pero maximizan la atención y los favores que reciben, manipulando los hechos de una forma superficial y entusiasta. Su comportamiento social inteligente y a menudo ingenioso transmite confianza y seguridad en sí mismo; sin embargo, debajo de esta apariencia, subyace el miedo a la autonomía real y la necesidad de recibir señales recurrentes de aceptación y aprobación casi constantemente.</v>
      </c>
      <c r="B24" s="171"/>
      <c r="C24" s="171"/>
      <c r="D24" s="171"/>
      <c r="E24" s="171"/>
      <c r="F24" s="171"/>
      <c r="G24" s="172"/>
      <c r="I24" s="96" t="str">
        <f t="shared" si="7"/>
        <v xml:space="preserve"> </v>
      </c>
      <c r="J24" s="96" t="str">
        <f t="shared" si="3"/>
        <v xml:space="preserve">Compulsivo presenta No presenta Se caracteriza por  </v>
      </c>
      <c r="N24" s="98">
        <v>7</v>
      </c>
      <c r="O24" s="99" t="s">
        <v>218</v>
      </c>
      <c r="P24" s="96">
        <f>CORRECCION!D26</f>
        <v>49</v>
      </c>
      <c r="Q24" s="96" t="str">
        <f t="shared" si="4"/>
        <v xml:space="preserve">No presenta </v>
      </c>
      <c r="R24" s="101" t="str">
        <f t="shared" si="5"/>
        <v>0</v>
      </c>
      <c r="S24" s="95" t="str">
        <f t="shared" si="6"/>
        <v xml:space="preserve"> </v>
      </c>
      <c r="V24" s="102" t="s">
        <v>415</v>
      </c>
    </row>
    <row r="25" spans="1:22" ht="17.25" customHeight="1" x14ac:dyDescent="0.2">
      <c r="A25" s="170" t="str">
        <f t="shared" si="9"/>
        <v xml:space="preserve">Tempestuoso presenta Patrones menos adaptativos y Trastornos Se caracteriza por Los sujetos tempestuosos son muy alegres y animados, pero su persistente euforia, entrometimiento y vo¬lubilidad puede resultar irritante para los demás. Aunque son apasionados y entusiastas, se aburren con  
demasiada facilidad y carecen de los recursos y la regularidad necesarios para llevar a término sus objetivos y planes. Sin control, su conducta puede llegar a ser más extrema, temeraria y errática. Con bastante fre¬cuencia, este patrón tipo maníaco, puede conducir al agotamiento depresivo. De todo ello resulta un patrón de conducta impredecible, de pensamiento disperso y de acciones y estados de ánimo impetuosos e impul¬sivos, interrumpidos por arrebatos de ira momentánea y ansiedad temerosa.
</v>
      </c>
      <c r="B25" s="171"/>
      <c r="C25" s="171"/>
      <c r="D25" s="171"/>
      <c r="E25" s="171"/>
      <c r="F25" s="171"/>
      <c r="G25" s="172"/>
      <c r="I25" s="96" t="str">
        <f t="shared" si="7"/>
        <v xml:space="preserve"> </v>
      </c>
      <c r="J25" s="96" t="str">
        <f t="shared" si="3"/>
        <v xml:space="preserve">Negativista presenta No presenta Se caracteriza por  </v>
      </c>
      <c r="N25" s="98" t="s">
        <v>204</v>
      </c>
      <c r="O25" s="99" t="s">
        <v>220</v>
      </c>
      <c r="P25" s="96">
        <f>CORRECCION!D27</f>
        <v>60</v>
      </c>
      <c r="Q25" s="96" t="str">
        <f t="shared" si="4"/>
        <v xml:space="preserve">No presenta </v>
      </c>
      <c r="R25" s="101" t="str">
        <f t="shared" si="5"/>
        <v>0</v>
      </c>
      <c r="S25" s="95" t="str">
        <f t="shared" si="6"/>
        <v xml:space="preserve"> </v>
      </c>
      <c r="V25" s="102" t="s">
        <v>416</v>
      </c>
    </row>
    <row r="26" spans="1:22" ht="17.25" customHeight="1" x14ac:dyDescent="0.2">
      <c r="A26" s="170" t="str">
        <f t="shared" si="9"/>
        <v>Narcisista presenta Categoría de Riesgo Se caracteriza por Los sujetos narcisistas destacan por su egocentrismo egotista, por sentir placer simplemente centrándose en sí mismos. Sus sentimientos de superioridad pueden no estar basados en logros reales o maduros; sin embargo, los narcisistas conservan un aire arrogante de seguridad en sí mismos y, sin pensarlo demasiado ni pretenderlo conscientemente, explotan a los demás en beneficio propio. Aunque agradecen y fomentan los elogios y las atenciones que reciben de los demás, no necesitan logros reales o aprobación social para mantener su aire de esnobismo y superioridad pretenciosa. Su confianza extrema hace que no se sientan motivados a implicarse en las interacciones propias de la vida social.</v>
      </c>
      <c r="B26" s="171"/>
      <c r="C26" s="171"/>
      <c r="D26" s="171"/>
      <c r="E26" s="171"/>
      <c r="F26" s="171"/>
      <c r="G26" s="172"/>
      <c r="I26" s="96" t="str">
        <f t="shared" si="7"/>
        <v xml:space="preserve"> </v>
      </c>
      <c r="J26" s="96" t="str">
        <f t="shared" si="3"/>
        <v xml:space="preserve">Masoquista presenta No presenta Se caracteriza por  </v>
      </c>
      <c r="N26" s="98" t="s">
        <v>205</v>
      </c>
      <c r="O26" s="99" t="s">
        <v>219</v>
      </c>
      <c r="P26" s="96">
        <f>CORRECCION!D28</f>
        <v>38</v>
      </c>
      <c r="Q26" s="96" t="str">
        <f t="shared" si="4"/>
        <v xml:space="preserve">No presenta </v>
      </c>
      <c r="R26" s="101" t="str">
        <f t="shared" si="5"/>
        <v>0</v>
      </c>
      <c r="S26" s="95" t="str">
        <f t="shared" si="6"/>
        <v xml:space="preserve"> </v>
      </c>
      <c r="V26" s="102" t="s">
        <v>417</v>
      </c>
    </row>
    <row r="27" spans="1:22" ht="17.25" customHeight="1" x14ac:dyDescent="0.2">
      <c r="A27" s="170" t="str">
        <f t="shared" si="9"/>
        <v xml:space="preserve"> </v>
      </c>
      <c r="B27" s="171"/>
      <c r="C27" s="171"/>
      <c r="D27" s="171"/>
      <c r="E27" s="171"/>
      <c r="F27" s="171"/>
      <c r="G27" s="172"/>
      <c r="I27" s="103" t="s">
        <v>437</v>
      </c>
      <c r="J27" s="96" t="str">
        <f t="shared" si="3"/>
        <v xml:space="preserve"> presenta Se caracteriza por </v>
      </c>
      <c r="N27" s="165" t="s">
        <v>400</v>
      </c>
      <c r="O27" s="165"/>
      <c r="R27" s="101" t="str">
        <f t="shared" si="5"/>
        <v>0</v>
      </c>
    </row>
    <row r="28" spans="1:22" ht="17.25" customHeight="1" x14ac:dyDescent="0.2">
      <c r="A28" s="170" t="str">
        <f t="shared" si="9"/>
        <v xml:space="preserve"> </v>
      </c>
      <c r="B28" s="171"/>
      <c r="C28" s="171"/>
      <c r="D28" s="171"/>
      <c r="E28" s="171"/>
      <c r="F28" s="171"/>
      <c r="G28" s="172"/>
      <c r="I28" s="96" t="str">
        <f t="shared" si="7"/>
        <v xml:space="preserve"> </v>
      </c>
      <c r="J28" s="96" t="str">
        <f t="shared" si="3"/>
        <v xml:space="preserve">Esquizotípico  presenta No presenta Se caracteriza por  </v>
      </c>
      <c r="N28" s="98" t="s">
        <v>197</v>
      </c>
      <c r="O28" s="99" t="s">
        <v>221</v>
      </c>
      <c r="P28" s="96">
        <f>CORRECCION!D30</f>
        <v>12</v>
      </c>
      <c r="Q28" s="96" t="str">
        <f t="shared" si="4"/>
        <v xml:space="preserve">No presenta </v>
      </c>
      <c r="R28" s="101" t="str">
        <f t="shared" si="5"/>
        <v>0</v>
      </c>
      <c r="S28" s="95" t="str">
        <f t="shared" si="6"/>
        <v xml:space="preserve"> </v>
      </c>
      <c r="V28" s="95" t="s">
        <v>418</v>
      </c>
    </row>
    <row r="29" spans="1:22" ht="17.25" customHeight="1" x14ac:dyDescent="0.2">
      <c r="A29" s="170" t="str">
        <f t="shared" si="9"/>
        <v xml:space="preserve"> </v>
      </c>
      <c r="B29" s="171"/>
      <c r="C29" s="171"/>
      <c r="D29" s="171"/>
      <c r="E29" s="171"/>
      <c r="F29" s="171"/>
      <c r="G29" s="172"/>
      <c r="I29" s="96" t="str">
        <f t="shared" si="7"/>
        <v xml:space="preserve"> </v>
      </c>
      <c r="J29" s="96" t="str">
        <f t="shared" si="3"/>
        <v xml:space="preserve">Límite     presenta No presenta Se caracteriza por  </v>
      </c>
      <c r="N29" s="98" t="s">
        <v>198</v>
      </c>
      <c r="O29" s="99" t="s">
        <v>222</v>
      </c>
      <c r="P29" s="96">
        <f>CORRECCION!D31</f>
        <v>45</v>
      </c>
      <c r="Q29" s="96" t="str">
        <f t="shared" si="4"/>
        <v xml:space="preserve">No presenta </v>
      </c>
      <c r="R29" s="101" t="str">
        <f t="shared" si="5"/>
        <v>0</v>
      </c>
      <c r="S29" s="95" t="str">
        <f t="shared" si="6"/>
        <v xml:space="preserve"> </v>
      </c>
      <c r="V29" s="95" t="s">
        <v>419</v>
      </c>
    </row>
    <row r="30" spans="1:22" ht="17.25" customHeight="1" x14ac:dyDescent="0.2">
      <c r="A30" s="170" t="str">
        <f t="shared" si="9"/>
        <v xml:space="preserve"> </v>
      </c>
      <c r="B30" s="171"/>
      <c r="C30" s="171"/>
      <c r="D30" s="171"/>
      <c r="E30" s="171"/>
      <c r="F30" s="171"/>
      <c r="G30" s="172"/>
      <c r="I30" s="96" t="str">
        <f t="shared" si="7"/>
        <v>Paranoide presenta Categoría de Riesgo Se caracteriza por Los sujetos paranoides se muestran desconfiados y en alerta hacia los demás y tensos y a la defensiva ante posibles críticas y engaños. Presentan una irritabilidad desabrida y tienden a hacer que los demás se exas¬peren o se enfaden. Asimismo se distinguen por la inmutabilidad de sus sentimientos y la inflexlbilidad de su pensamiento. A menudo expresan miedo a perder la independencia, lo que los lleva a resistirse enérgicamen¬te a las influencias y al control externo.</v>
      </c>
      <c r="J30" s="96" t="str">
        <f t="shared" si="3"/>
        <v>Paranoide presenta Categoría de Riesgo Se caracteriza por Los sujetos paranoides se muestran desconfiados y en alerta hacia los demás y tensos y a la defensiva ante posibles críticas y engaños. Presentan una irritabilidad desabrida y tienden a hacer que los demás se exas¬peren o se enfaden. Asimismo se distinguen por la inmutabilidad de sus sentimientos y la inflexlbilidad de su pensamiento. A menudo expresan miedo a perder la independencia, lo que los lleva a resistirse enérgicamen¬te a las influencias y al control externo.</v>
      </c>
      <c r="N30" s="98" t="s">
        <v>199</v>
      </c>
      <c r="O30" s="99" t="s">
        <v>223</v>
      </c>
      <c r="P30" s="96">
        <f>CORRECCION!D32</f>
        <v>66</v>
      </c>
      <c r="Q30" s="96" t="str">
        <f t="shared" si="4"/>
        <v xml:space="preserve">Categoría de Riesgo </v>
      </c>
      <c r="R30" s="101">
        <f t="shared" si="5"/>
        <v>1</v>
      </c>
      <c r="S30" s="95" t="str">
        <f t="shared" si="6"/>
        <v>Los sujetos paranoides se muestran desconfiados y en alerta hacia los demás y tensos y a la defensiva ante posibles críticas y engaños. Presentan una irritabilidad desabrida y tienden a hacer que los demás se exas¬peren o se enfaden. Asimismo se distinguen por la inmutabilidad de sus sentimientos y la inflexlbilidad de su pensamiento. A menudo expresan miedo a perder la independencia, lo que los lleva a resistirse enérgicamen¬te a las influencias y al control externo.</v>
      </c>
      <c r="V30" s="95" t="s">
        <v>420</v>
      </c>
    </row>
    <row r="31" spans="1:22" ht="17.25" customHeight="1" x14ac:dyDescent="0.2">
      <c r="A31" s="170" t="str">
        <f t="shared" si="9"/>
        <v xml:space="preserve"> </v>
      </c>
      <c r="B31" s="171"/>
      <c r="C31" s="171"/>
      <c r="D31" s="171"/>
      <c r="E31" s="171"/>
      <c r="F31" s="171"/>
      <c r="G31" s="172"/>
      <c r="I31" s="96" t="str">
        <f t="shared" si="7"/>
        <v xml:space="preserve"> </v>
      </c>
      <c r="N31" s="104"/>
      <c r="O31" s="104"/>
      <c r="R31" s="101" t="str">
        <f t="shared" si="5"/>
        <v>0</v>
      </c>
    </row>
    <row r="32" spans="1:22" ht="11.25" customHeight="1" x14ac:dyDescent="0.2">
      <c r="A32" s="173" t="str">
        <f t="shared" si="9"/>
        <v xml:space="preserve">En las Patologías Graves Personalidad presenta </v>
      </c>
      <c r="B32" s="174"/>
      <c r="C32" s="174"/>
      <c r="D32" s="174"/>
      <c r="E32" s="174"/>
      <c r="F32" s="174"/>
      <c r="G32" s="175"/>
      <c r="I32" s="103" t="s">
        <v>438</v>
      </c>
      <c r="N32" s="164" t="s">
        <v>401</v>
      </c>
      <c r="O32" s="164"/>
      <c r="R32" s="101" t="str">
        <f t="shared" si="5"/>
        <v>0</v>
      </c>
    </row>
    <row r="33" spans="1:22" ht="17.25" customHeight="1" x14ac:dyDescent="0.2">
      <c r="A33" s="170" t="str">
        <f t="shared" ref="A33:A43" si="10">I28</f>
        <v xml:space="preserve"> </v>
      </c>
      <c r="B33" s="171"/>
      <c r="C33" s="171"/>
      <c r="D33" s="171"/>
      <c r="E33" s="171"/>
      <c r="F33" s="171"/>
      <c r="G33" s="172"/>
      <c r="I33" s="96" t="str">
        <f t="shared" si="7"/>
        <v xml:space="preserve"> </v>
      </c>
      <c r="J33" s="96" t="str">
        <f t="shared" si="3"/>
        <v xml:space="preserve">Ansiedad Generalizada presenta No presenta Se caracteriza por  </v>
      </c>
      <c r="N33" s="98" t="s">
        <v>224</v>
      </c>
      <c r="O33" s="99" t="s">
        <v>231</v>
      </c>
      <c r="P33" s="96">
        <f>CORRECCION!D35</f>
        <v>15</v>
      </c>
      <c r="Q33" s="96" t="str">
        <f t="shared" si="4"/>
        <v xml:space="preserve">No presenta </v>
      </c>
      <c r="R33" s="101" t="str">
        <f t="shared" si="5"/>
        <v>0</v>
      </c>
      <c r="S33" s="95" t="str">
        <f t="shared" si="6"/>
        <v xml:space="preserve"> </v>
      </c>
      <c r="V33" s="95" t="s">
        <v>421</v>
      </c>
    </row>
    <row r="34" spans="1:22" ht="17.25" customHeight="1" x14ac:dyDescent="0.2">
      <c r="A34" s="170" t="str">
        <f t="shared" si="10"/>
        <v xml:space="preserve"> </v>
      </c>
      <c r="B34" s="171"/>
      <c r="C34" s="171"/>
      <c r="D34" s="171"/>
      <c r="E34" s="171"/>
      <c r="F34" s="171"/>
      <c r="G34" s="172"/>
      <c r="I34" s="96" t="str">
        <f t="shared" si="7"/>
        <v xml:space="preserve"> </v>
      </c>
      <c r="J34" s="96" t="str">
        <f t="shared" si="3"/>
        <v xml:space="preserve">Síntomas Somáticos  presenta No presenta Se caracteriza por  </v>
      </c>
      <c r="N34" s="98" t="s">
        <v>225</v>
      </c>
      <c r="O34" s="99" t="s">
        <v>230</v>
      </c>
      <c r="P34" s="96">
        <f>CORRECCION!D36</f>
        <v>0</v>
      </c>
      <c r="Q34" s="96" t="str">
        <f t="shared" si="4"/>
        <v xml:space="preserve">No presenta </v>
      </c>
      <c r="R34" s="101" t="str">
        <f t="shared" si="5"/>
        <v>0</v>
      </c>
      <c r="S34" s="95" t="str">
        <f t="shared" si="6"/>
        <v xml:space="preserve"> </v>
      </c>
      <c r="V34" s="95" t="s">
        <v>421</v>
      </c>
    </row>
    <row r="35" spans="1:22" ht="17.25" customHeight="1" x14ac:dyDescent="0.2">
      <c r="A35" s="170" t="str">
        <f t="shared" si="10"/>
        <v>Paranoide presenta Categoría de Riesgo Se caracteriza por Los sujetos paranoides se muestran desconfiados y en alerta hacia los demás y tensos y a la defensiva ante posibles críticas y engaños. Presentan una irritabilidad desabrida y tienden a hacer que los demás se exas¬peren o se enfaden. Asimismo se distinguen por la inmutabilidad de sus sentimientos y la inflexlbilidad de su pensamiento. A menudo expresan miedo a perder la independencia, lo que los lleva a resistirse enérgicamen¬te a las influencias y al control externo.</v>
      </c>
      <c r="B35" s="171"/>
      <c r="C35" s="171"/>
      <c r="D35" s="171"/>
      <c r="E35" s="171"/>
      <c r="F35" s="171"/>
      <c r="G35" s="172"/>
      <c r="I35" s="96" t="str">
        <f t="shared" si="7"/>
        <v xml:space="preserve"> </v>
      </c>
      <c r="J35" s="96" t="str">
        <f t="shared" si="3"/>
        <v xml:space="preserve">Espectro Bípolar presenta No presenta Se caracteriza por  </v>
      </c>
      <c r="N35" s="98" t="s">
        <v>232</v>
      </c>
      <c r="O35" s="99" t="s">
        <v>233</v>
      </c>
      <c r="P35" s="96">
        <f>CORRECCION!D37</f>
        <v>30</v>
      </c>
      <c r="Q35" s="96" t="str">
        <f t="shared" si="4"/>
        <v xml:space="preserve">No presenta </v>
      </c>
      <c r="R35" s="101" t="str">
        <f t="shared" si="5"/>
        <v>0</v>
      </c>
      <c r="S35" s="95" t="str">
        <f t="shared" si="6"/>
        <v xml:space="preserve"> </v>
      </c>
      <c r="V35" s="95" t="s">
        <v>422</v>
      </c>
    </row>
    <row r="36" spans="1:22" ht="17.25" customHeight="1" x14ac:dyDescent="0.2">
      <c r="A36" s="170" t="str">
        <f t="shared" si="10"/>
        <v xml:space="preserve"> </v>
      </c>
      <c r="B36" s="171"/>
      <c r="C36" s="171"/>
      <c r="D36" s="171"/>
      <c r="E36" s="171"/>
      <c r="F36" s="171"/>
      <c r="G36" s="172"/>
      <c r="I36" s="96" t="str">
        <f t="shared" si="7"/>
        <v xml:space="preserve"> </v>
      </c>
      <c r="J36" s="96" t="str">
        <f t="shared" si="3"/>
        <v xml:space="preserve">Depresión Persistente presenta No presenta Se caracteriza por  </v>
      </c>
      <c r="N36" s="98" t="s">
        <v>226</v>
      </c>
      <c r="O36" s="99" t="s">
        <v>234</v>
      </c>
      <c r="P36" s="96">
        <f>CORRECCION!D38</f>
        <v>30</v>
      </c>
      <c r="Q36" s="96" t="str">
        <f t="shared" si="4"/>
        <v xml:space="preserve">No presenta </v>
      </c>
      <c r="R36" s="101" t="str">
        <f t="shared" si="5"/>
        <v>0</v>
      </c>
      <c r="S36" s="95" t="str">
        <f t="shared" si="6"/>
        <v xml:space="preserve"> </v>
      </c>
      <c r="V36" s="95" t="s">
        <v>423</v>
      </c>
    </row>
    <row r="37" spans="1:22" ht="10.5" customHeight="1" x14ac:dyDescent="0.2">
      <c r="A37" s="173" t="str">
        <f t="shared" si="10"/>
        <v xml:space="preserve">En los Sindromes Clínicos de la Personalidad presenta </v>
      </c>
      <c r="B37" s="174"/>
      <c r="C37" s="174"/>
      <c r="D37" s="174"/>
      <c r="E37" s="174"/>
      <c r="F37" s="174"/>
      <c r="G37" s="175"/>
      <c r="I37" s="96" t="str">
        <f t="shared" si="7"/>
        <v xml:space="preserve"> </v>
      </c>
      <c r="J37" s="96" t="str">
        <f t="shared" si="3"/>
        <v xml:space="preserve">Consumo de Alcohol presenta No presenta Se caracteriza por  </v>
      </c>
      <c r="N37" s="98" t="s">
        <v>227</v>
      </c>
      <c r="O37" s="99" t="s">
        <v>235</v>
      </c>
      <c r="P37" s="96">
        <f>CORRECCION!D39</f>
        <v>0</v>
      </c>
      <c r="Q37" s="96" t="str">
        <f t="shared" si="4"/>
        <v xml:space="preserve">No presenta </v>
      </c>
      <c r="R37" s="101" t="str">
        <f t="shared" si="5"/>
        <v>0</v>
      </c>
      <c r="S37" s="95" t="str">
        <f t="shared" si="6"/>
        <v xml:space="preserve"> </v>
      </c>
      <c r="V37" s="95" t="s">
        <v>424</v>
      </c>
    </row>
    <row r="38" spans="1:22" ht="17.25" customHeight="1" x14ac:dyDescent="0.2">
      <c r="A38" s="170" t="str">
        <f t="shared" si="10"/>
        <v xml:space="preserve"> </v>
      </c>
      <c r="B38" s="171"/>
      <c r="C38" s="171"/>
      <c r="D38" s="171"/>
      <c r="E38" s="171"/>
      <c r="F38" s="171"/>
      <c r="G38" s="172"/>
      <c r="I38" s="96" t="str">
        <f t="shared" si="7"/>
        <v xml:space="preserve"> </v>
      </c>
      <c r="J38" s="96" t="str">
        <f t="shared" si="3"/>
        <v xml:space="preserve">Consumo de Drogas presenta No presenta Se caracteriza por  </v>
      </c>
      <c r="N38" s="98" t="s">
        <v>228</v>
      </c>
      <c r="O38" s="99" t="s">
        <v>236</v>
      </c>
      <c r="P38" s="96">
        <f>CORRECCION!D40</f>
        <v>0</v>
      </c>
      <c r="Q38" s="96" t="str">
        <f t="shared" si="4"/>
        <v xml:space="preserve">No presenta </v>
      </c>
      <c r="R38" s="101" t="str">
        <f t="shared" si="5"/>
        <v>0</v>
      </c>
      <c r="S38" s="95" t="str">
        <f t="shared" si="6"/>
        <v xml:space="preserve"> </v>
      </c>
      <c r="V38" s="95" t="s">
        <v>425</v>
      </c>
    </row>
    <row r="39" spans="1:22" ht="17.25" customHeight="1" x14ac:dyDescent="0.2">
      <c r="A39" s="170" t="str">
        <f t="shared" si="10"/>
        <v xml:space="preserve"> </v>
      </c>
      <c r="B39" s="171"/>
      <c r="C39" s="171"/>
      <c r="D39" s="171"/>
      <c r="E39" s="171"/>
      <c r="F39" s="171"/>
      <c r="G39" s="172"/>
      <c r="I39" s="96" t="str">
        <f t="shared" si="7"/>
        <v xml:space="preserve"> </v>
      </c>
      <c r="J39" s="96" t="str">
        <f t="shared" si="3"/>
        <v xml:space="preserve">Estrés Postraumático presenta No presenta Se caracteriza por  </v>
      </c>
      <c r="N39" s="98" t="s">
        <v>229</v>
      </c>
      <c r="O39" s="99" t="s">
        <v>237</v>
      </c>
      <c r="P39" s="96">
        <f>CORRECCION!D41</f>
        <v>48</v>
      </c>
      <c r="Q39" s="96" t="str">
        <f t="shared" si="4"/>
        <v xml:space="preserve">No presenta </v>
      </c>
      <c r="R39" s="101" t="str">
        <f t="shared" si="5"/>
        <v>0</v>
      </c>
      <c r="S39" s="95" t="str">
        <f t="shared" si="6"/>
        <v xml:space="preserve"> </v>
      </c>
      <c r="V39" s="95" t="s">
        <v>426</v>
      </c>
    </row>
    <row r="40" spans="1:22" ht="17.25" customHeight="1" x14ac:dyDescent="0.2">
      <c r="A40" s="170" t="str">
        <f t="shared" si="10"/>
        <v xml:space="preserve"> </v>
      </c>
      <c r="B40" s="171"/>
      <c r="C40" s="171"/>
      <c r="D40" s="171"/>
      <c r="E40" s="171"/>
      <c r="F40" s="171"/>
      <c r="G40" s="172"/>
      <c r="I40" s="96" t="str">
        <f t="shared" si="7"/>
        <v xml:space="preserve"> </v>
      </c>
      <c r="J40" s="96" t="str">
        <f t="shared" si="3"/>
        <v xml:space="preserve">Espectro Esquizofrénico presenta No presenta Se caracteriza por  </v>
      </c>
      <c r="N40" s="98" t="s">
        <v>238</v>
      </c>
      <c r="O40" s="99" t="s">
        <v>239</v>
      </c>
      <c r="P40" s="96">
        <f>CORRECCION!D42</f>
        <v>40</v>
      </c>
      <c r="Q40" s="96" t="str">
        <f t="shared" si="4"/>
        <v xml:space="preserve">No presenta </v>
      </c>
      <c r="R40" s="101" t="str">
        <f t="shared" si="5"/>
        <v>0</v>
      </c>
      <c r="S40" s="95" t="str">
        <f t="shared" si="6"/>
        <v xml:space="preserve"> </v>
      </c>
      <c r="V40" s="95" t="s">
        <v>427</v>
      </c>
    </row>
    <row r="41" spans="1:22" ht="17.25" customHeight="1" x14ac:dyDescent="0.2">
      <c r="A41" s="170" t="str">
        <f t="shared" si="10"/>
        <v xml:space="preserve"> </v>
      </c>
      <c r="B41" s="171"/>
      <c r="C41" s="171"/>
      <c r="D41" s="171"/>
      <c r="E41" s="171"/>
      <c r="F41" s="171"/>
      <c r="G41" s="172"/>
      <c r="I41" s="96" t="str">
        <f t="shared" si="7"/>
        <v xml:space="preserve"> </v>
      </c>
      <c r="J41" s="96" t="str">
        <f t="shared" si="3"/>
        <v xml:space="preserve">Depresión Mayor presenta No presenta Se caracteriza por  </v>
      </c>
      <c r="N41" s="98" t="s">
        <v>240</v>
      </c>
      <c r="O41" s="99" t="s">
        <v>241</v>
      </c>
      <c r="P41" s="96">
        <f>CORRECCION!D43</f>
        <v>51</v>
      </c>
      <c r="Q41" s="96" t="str">
        <f t="shared" si="4"/>
        <v xml:space="preserve">No presenta </v>
      </c>
      <c r="R41" s="101" t="str">
        <f t="shared" si="5"/>
        <v>0</v>
      </c>
      <c r="S41" s="95" t="str">
        <f t="shared" si="6"/>
        <v xml:space="preserve"> </v>
      </c>
      <c r="V41" s="95" t="s">
        <v>428</v>
      </c>
    </row>
    <row r="42" spans="1:22" ht="17.25" customHeight="1" x14ac:dyDescent="0.2">
      <c r="A42" s="170" t="str">
        <f t="shared" si="10"/>
        <v xml:space="preserve"> </v>
      </c>
      <c r="B42" s="171"/>
      <c r="C42" s="171"/>
      <c r="D42" s="171"/>
      <c r="E42" s="171"/>
      <c r="F42" s="171"/>
      <c r="G42" s="172"/>
      <c r="I42" s="96" t="str">
        <f t="shared" si="7"/>
        <v xml:space="preserve"> </v>
      </c>
      <c r="J42" s="96" t="str">
        <f t="shared" si="3"/>
        <v xml:space="preserve">Delirante presenta No presenta Se caracteriza por  </v>
      </c>
      <c r="N42" s="98" t="s">
        <v>242</v>
      </c>
      <c r="O42" s="99" t="s">
        <v>243</v>
      </c>
      <c r="P42" s="96">
        <f>CORRECCION!D44</f>
        <v>60</v>
      </c>
      <c r="Q42" s="96" t="str">
        <f t="shared" si="4"/>
        <v xml:space="preserve">No presenta </v>
      </c>
      <c r="R42" s="101" t="str">
        <f t="shared" si="5"/>
        <v>0</v>
      </c>
      <c r="S42" s="95" t="str">
        <f t="shared" si="6"/>
        <v xml:space="preserve"> </v>
      </c>
      <c r="V42" s="95" t="s">
        <v>429</v>
      </c>
    </row>
    <row r="43" spans="1:22" ht="17.25" customHeight="1" x14ac:dyDescent="0.2">
      <c r="A43" s="170" t="str">
        <f t="shared" si="10"/>
        <v xml:space="preserve"> </v>
      </c>
      <c r="B43" s="171"/>
      <c r="C43" s="171"/>
      <c r="D43" s="171"/>
      <c r="E43" s="171"/>
      <c r="F43" s="171"/>
      <c r="G43" s="172"/>
    </row>
    <row r="44" spans="1:22" ht="17.25" customHeight="1" x14ac:dyDescent="0.2">
      <c r="A44" s="170" t="str">
        <f t="shared" ref="A44:A47" si="11">I39</f>
        <v xml:space="preserve"> </v>
      </c>
      <c r="B44" s="171"/>
      <c r="C44" s="171"/>
      <c r="D44" s="171"/>
      <c r="E44" s="171"/>
      <c r="F44" s="171"/>
      <c r="G44" s="172"/>
    </row>
    <row r="45" spans="1:22" ht="17.25" customHeight="1" x14ac:dyDescent="0.2">
      <c r="A45" s="170" t="str">
        <f t="shared" si="11"/>
        <v xml:space="preserve"> </v>
      </c>
      <c r="B45" s="171"/>
      <c r="C45" s="171"/>
      <c r="D45" s="171"/>
      <c r="E45" s="171"/>
      <c r="F45" s="171"/>
      <c r="G45" s="172"/>
    </row>
    <row r="46" spans="1:22" ht="17.25" customHeight="1" x14ac:dyDescent="0.2">
      <c r="A46" s="170" t="str">
        <f t="shared" si="11"/>
        <v xml:space="preserve"> </v>
      </c>
      <c r="B46" s="171"/>
      <c r="C46" s="171"/>
      <c r="D46" s="171"/>
      <c r="E46" s="171"/>
      <c r="F46" s="171"/>
      <c r="G46" s="172"/>
    </row>
    <row r="47" spans="1:22" ht="17.25" customHeight="1" x14ac:dyDescent="0.2">
      <c r="A47" s="170" t="str">
        <f t="shared" si="11"/>
        <v xml:space="preserve"> </v>
      </c>
      <c r="B47" s="171"/>
      <c r="C47" s="171"/>
      <c r="D47" s="171"/>
      <c r="E47" s="171"/>
      <c r="F47" s="171"/>
      <c r="G47" s="172"/>
    </row>
    <row r="48" spans="1:22" ht="21.75" customHeight="1" x14ac:dyDescent="0.2">
      <c r="A48" s="93"/>
      <c r="B48" s="93"/>
      <c r="C48" s="93"/>
      <c r="D48" s="93"/>
      <c r="E48" s="93"/>
      <c r="F48" s="93"/>
      <c r="G48" s="93"/>
    </row>
    <row r="49" spans="1:7" ht="21.75" customHeight="1" x14ac:dyDescent="0.2">
      <c r="A49" s="92"/>
      <c r="B49" s="92"/>
      <c r="C49" s="92"/>
      <c r="D49" s="92"/>
      <c r="E49" s="92"/>
      <c r="F49" s="92"/>
      <c r="G49" s="92"/>
    </row>
    <row r="50" spans="1:7" ht="21.75" customHeight="1" x14ac:dyDescent="0.2"/>
    <row r="51" spans="1:7" ht="21.75" customHeight="1" x14ac:dyDescent="0.2"/>
    <row r="52" spans="1:7" ht="21.75" customHeight="1" x14ac:dyDescent="0.2"/>
    <row r="53" spans="1:7" ht="21.75" customHeight="1" x14ac:dyDescent="0.2"/>
    <row r="54" spans="1:7" ht="21.75" customHeight="1" x14ac:dyDescent="0.2"/>
    <row r="55" spans="1:7" ht="21.75" customHeight="1" x14ac:dyDescent="0.2"/>
    <row r="56" spans="1:7" ht="21.75" customHeight="1" x14ac:dyDescent="0.2"/>
    <row r="57" spans="1:7" ht="21.75" customHeight="1" x14ac:dyDescent="0.2"/>
    <row r="58" spans="1:7" ht="21.75" customHeight="1" x14ac:dyDescent="0.2"/>
    <row r="59" spans="1:7" ht="21.75" customHeight="1" x14ac:dyDescent="0.2"/>
    <row r="60" spans="1:7" ht="21.75" customHeight="1" x14ac:dyDescent="0.2"/>
    <row r="61" spans="1:7" ht="21.75" customHeight="1" x14ac:dyDescent="0.2"/>
    <row r="62" spans="1:7" ht="21.75" customHeight="1" x14ac:dyDescent="0.2"/>
    <row r="63" spans="1:7" ht="21.75" customHeight="1" x14ac:dyDescent="0.2"/>
  </sheetData>
  <mergeCells count="39">
    <mergeCell ref="A45:G45"/>
    <mergeCell ref="A46:G46"/>
    <mergeCell ref="A47:G47"/>
    <mergeCell ref="A40:G40"/>
    <mergeCell ref="A41:G41"/>
    <mergeCell ref="A42:G42"/>
    <mergeCell ref="A43:G43"/>
    <mergeCell ref="A44:G44"/>
    <mergeCell ref="A35:G35"/>
    <mergeCell ref="A36:G36"/>
    <mergeCell ref="A37:G37"/>
    <mergeCell ref="A38:G38"/>
    <mergeCell ref="A39:G39"/>
    <mergeCell ref="A30:G30"/>
    <mergeCell ref="A31:G31"/>
    <mergeCell ref="A32:G32"/>
    <mergeCell ref="A33:G33"/>
    <mergeCell ref="A34:G34"/>
    <mergeCell ref="A25:G25"/>
    <mergeCell ref="A26:G26"/>
    <mergeCell ref="A27:G27"/>
    <mergeCell ref="A28:G28"/>
    <mergeCell ref="A29:G29"/>
    <mergeCell ref="N7:O7"/>
    <mergeCell ref="N14:O14"/>
    <mergeCell ref="N27:O27"/>
    <mergeCell ref="N32:O32"/>
    <mergeCell ref="A10:G10"/>
    <mergeCell ref="A12:G12"/>
    <mergeCell ref="A13:G13"/>
    <mergeCell ref="A14:G14"/>
    <mergeCell ref="A15:G15"/>
    <mergeCell ref="A16:G16"/>
    <mergeCell ref="A19:G19"/>
    <mergeCell ref="A20:G20"/>
    <mergeCell ref="A21:G21"/>
    <mergeCell ref="A22:G22"/>
    <mergeCell ref="A23:G23"/>
    <mergeCell ref="A24:G24"/>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
  <sheetViews>
    <sheetView workbookViewId="0"/>
  </sheetViews>
  <sheetFormatPr baseColWidth="10" defaultColWidth="9.140625" defaultRowHeight="15" x14ac:dyDescent="0.25"/>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2:D117"/>
  <sheetViews>
    <sheetView topLeftCell="A112" workbookViewId="0">
      <selection activeCell="E20" sqref="E20"/>
    </sheetView>
  </sheetViews>
  <sheetFormatPr baseColWidth="10" defaultColWidth="9.140625" defaultRowHeight="15" x14ac:dyDescent="0.25"/>
  <sheetData>
    <row r="2" spans="1:4" x14ac:dyDescent="0.25">
      <c r="B2" s="1" t="s">
        <v>245</v>
      </c>
      <c r="C2" s="1" t="s">
        <v>246</v>
      </c>
      <c r="D2" s="1" t="s">
        <v>247</v>
      </c>
    </row>
    <row r="3" spans="1:4" x14ac:dyDescent="0.25">
      <c r="A3">
        <v>0</v>
      </c>
      <c r="B3" s="1"/>
      <c r="C3" s="1">
        <v>0</v>
      </c>
      <c r="D3" s="1">
        <v>0</v>
      </c>
    </row>
    <row r="4" spans="1:4" x14ac:dyDescent="0.25">
      <c r="A4">
        <v>1</v>
      </c>
      <c r="B4" s="1"/>
      <c r="C4" s="1">
        <v>5</v>
      </c>
      <c r="D4" s="1">
        <v>12</v>
      </c>
    </row>
    <row r="5" spans="1:4" x14ac:dyDescent="0.25">
      <c r="A5">
        <v>2</v>
      </c>
      <c r="B5" s="1"/>
      <c r="C5" s="1">
        <v>10</v>
      </c>
      <c r="D5" s="1">
        <v>23</v>
      </c>
    </row>
    <row r="6" spans="1:4" x14ac:dyDescent="0.25">
      <c r="A6">
        <v>3</v>
      </c>
      <c r="B6" s="1"/>
      <c r="C6" s="1">
        <v>15</v>
      </c>
      <c r="D6" s="1">
        <v>35</v>
      </c>
    </row>
    <row r="7" spans="1:4" x14ac:dyDescent="0.25">
      <c r="A7">
        <v>4</v>
      </c>
      <c r="B7" s="1"/>
      <c r="C7" s="1">
        <v>20</v>
      </c>
      <c r="D7" s="1">
        <v>37</v>
      </c>
    </row>
    <row r="8" spans="1:4" x14ac:dyDescent="0.25">
      <c r="A8">
        <v>5</v>
      </c>
      <c r="B8" s="1"/>
      <c r="C8" s="1">
        <v>25</v>
      </c>
      <c r="D8" s="1">
        <v>40</v>
      </c>
    </row>
    <row r="9" spans="1:4" x14ac:dyDescent="0.25">
      <c r="A9">
        <v>6</v>
      </c>
      <c r="B9" s="1"/>
      <c r="C9" s="1">
        <v>30</v>
      </c>
      <c r="D9" s="1">
        <v>42</v>
      </c>
    </row>
    <row r="10" spans="1:4" x14ac:dyDescent="0.25">
      <c r="A10">
        <v>7</v>
      </c>
      <c r="B10" s="1">
        <v>0</v>
      </c>
      <c r="C10" s="1">
        <v>35</v>
      </c>
      <c r="D10" s="1">
        <v>44</v>
      </c>
    </row>
    <row r="11" spans="1:4" x14ac:dyDescent="0.25">
      <c r="A11">
        <v>8</v>
      </c>
      <c r="B11" s="1">
        <v>2</v>
      </c>
      <c r="C11" s="1">
        <v>39</v>
      </c>
      <c r="D11" s="1">
        <v>47</v>
      </c>
    </row>
    <row r="12" spans="1:4" x14ac:dyDescent="0.25">
      <c r="A12">
        <v>9</v>
      </c>
      <c r="B12" s="1">
        <v>3</v>
      </c>
      <c r="C12" s="1">
        <v>43</v>
      </c>
      <c r="D12" s="1">
        <v>49</v>
      </c>
    </row>
    <row r="13" spans="1:4" x14ac:dyDescent="0.25">
      <c r="A13">
        <v>10</v>
      </c>
      <c r="B13" s="1">
        <v>5</v>
      </c>
      <c r="C13" s="1">
        <v>47</v>
      </c>
      <c r="D13" s="1">
        <v>51</v>
      </c>
    </row>
    <row r="14" spans="1:4" x14ac:dyDescent="0.25">
      <c r="A14">
        <v>11</v>
      </c>
      <c r="B14" s="1">
        <v>6</v>
      </c>
      <c r="C14" s="1">
        <v>51</v>
      </c>
      <c r="D14" s="1">
        <v>54</v>
      </c>
    </row>
    <row r="15" spans="1:4" x14ac:dyDescent="0.25">
      <c r="A15">
        <v>12</v>
      </c>
      <c r="B15" s="1">
        <v>8</v>
      </c>
      <c r="C15" s="1">
        <v>55</v>
      </c>
      <c r="D15" s="1">
        <v>56</v>
      </c>
    </row>
    <row r="16" spans="1:4" x14ac:dyDescent="0.25">
      <c r="A16">
        <v>13</v>
      </c>
      <c r="B16" s="1">
        <v>10</v>
      </c>
      <c r="C16" s="1">
        <v>59</v>
      </c>
      <c r="D16" s="1">
        <v>59</v>
      </c>
    </row>
    <row r="17" spans="1:4" x14ac:dyDescent="0.25">
      <c r="A17">
        <v>14</v>
      </c>
      <c r="B17" s="1">
        <v>11</v>
      </c>
      <c r="C17" s="1">
        <v>63</v>
      </c>
      <c r="D17" s="1">
        <v>61</v>
      </c>
    </row>
    <row r="18" spans="1:4" x14ac:dyDescent="0.25">
      <c r="A18">
        <v>15</v>
      </c>
      <c r="B18" s="1">
        <v>13</v>
      </c>
      <c r="C18" s="1">
        <v>67</v>
      </c>
      <c r="D18" s="1">
        <v>63</v>
      </c>
    </row>
    <row r="19" spans="1:4" x14ac:dyDescent="0.25">
      <c r="A19">
        <v>16</v>
      </c>
      <c r="B19" s="1">
        <v>14</v>
      </c>
      <c r="C19" s="1">
        <v>71</v>
      </c>
      <c r="D19" s="1">
        <v>66</v>
      </c>
    </row>
    <row r="20" spans="1:4" x14ac:dyDescent="0.25">
      <c r="A20">
        <v>17</v>
      </c>
      <c r="B20" s="1">
        <v>16</v>
      </c>
      <c r="C20" s="1">
        <v>75</v>
      </c>
      <c r="D20" s="1">
        <v>68</v>
      </c>
    </row>
    <row r="21" spans="1:4" x14ac:dyDescent="0.25">
      <c r="A21">
        <v>18</v>
      </c>
      <c r="B21" s="1">
        <v>18</v>
      </c>
      <c r="C21" s="1">
        <v>78</v>
      </c>
      <c r="D21" s="1">
        <v>70</v>
      </c>
    </row>
    <row r="22" spans="1:4" x14ac:dyDescent="0.25">
      <c r="A22">
        <v>19</v>
      </c>
      <c r="B22" s="1">
        <v>19</v>
      </c>
      <c r="C22" s="1">
        <v>80</v>
      </c>
      <c r="D22" s="1">
        <v>73</v>
      </c>
    </row>
    <row r="23" spans="1:4" x14ac:dyDescent="0.25">
      <c r="A23">
        <v>20</v>
      </c>
      <c r="B23" s="1">
        <v>21</v>
      </c>
      <c r="C23" s="1">
        <v>83</v>
      </c>
      <c r="D23" s="1">
        <v>75</v>
      </c>
    </row>
    <row r="24" spans="1:4" x14ac:dyDescent="0.25">
      <c r="A24">
        <v>21</v>
      </c>
      <c r="B24" s="1">
        <v>22</v>
      </c>
      <c r="C24" s="1">
        <v>85</v>
      </c>
      <c r="D24" s="1">
        <v>77</v>
      </c>
    </row>
    <row r="25" spans="1:4" x14ac:dyDescent="0.25">
      <c r="A25">
        <v>22</v>
      </c>
      <c r="B25" s="1">
        <v>24</v>
      </c>
      <c r="C25" s="1">
        <v>90</v>
      </c>
      <c r="D25" s="1">
        <v>78</v>
      </c>
    </row>
    <row r="26" spans="1:4" x14ac:dyDescent="0.25">
      <c r="A26">
        <v>23</v>
      </c>
      <c r="B26" s="1">
        <v>25</v>
      </c>
      <c r="C26" s="1">
        <v>95</v>
      </c>
      <c r="D26" s="1">
        <v>80</v>
      </c>
    </row>
    <row r="27" spans="1:4" x14ac:dyDescent="0.25">
      <c r="A27">
        <v>24</v>
      </c>
      <c r="B27" s="1">
        <v>27</v>
      </c>
      <c r="C27" s="1">
        <v>100</v>
      </c>
      <c r="D27" s="1">
        <v>82</v>
      </c>
    </row>
    <row r="28" spans="1:4" x14ac:dyDescent="0.25">
      <c r="A28">
        <v>25</v>
      </c>
      <c r="B28" s="1">
        <v>29</v>
      </c>
      <c r="D28" s="1">
        <v>83</v>
      </c>
    </row>
    <row r="29" spans="1:4" x14ac:dyDescent="0.25">
      <c r="A29">
        <v>26</v>
      </c>
      <c r="B29" s="1">
        <v>30</v>
      </c>
      <c r="D29" s="1">
        <v>85</v>
      </c>
    </row>
    <row r="30" spans="1:4" x14ac:dyDescent="0.25">
      <c r="A30">
        <v>27</v>
      </c>
      <c r="B30" s="1">
        <v>32</v>
      </c>
      <c r="D30" s="1">
        <v>89</v>
      </c>
    </row>
    <row r="31" spans="1:4" x14ac:dyDescent="0.25">
      <c r="A31">
        <v>28</v>
      </c>
      <c r="B31" s="1">
        <v>33</v>
      </c>
      <c r="D31" s="1">
        <v>93</v>
      </c>
    </row>
    <row r="32" spans="1:4" x14ac:dyDescent="0.25">
      <c r="A32">
        <v>29</v>
      </c>
      <c r="B32" s="1">
        <v>35</v>
      </c>
      <c r="D32" s="1">
        <v>96</v>
      </c>
    </row>
    <row r="33" spans="1:4" x14ac:dyDescent="0.25">
      <c r="A33">
        <v>30</v>
      </c>
      <c r="B33" s="1">
        <v>36</v>
      </c>
      <c r="D33" s="1">
        <v>100</v>
      </c>
    </row>
    <row r="34" spans="1:4" x14ac:dyDescent="0.25">
      <c r="A34">
        <v>31</v>
      </c>
      <c r="B34" s="1">
        <v>38</v>
      </c>
    </row>
    <row r="35" spans="1:4" x14ac:dyDescent="0.25">
      <c r="A35">
        <v>32</v>
      </c>
      <c r="B35" s="1">
        <v>39</v>
      </c>
    </row>
    <row r="36" spans="1:4" x14ac:dyDescent="0.25">
      <c r="A36">
        <v>33</v>
      </c>
      <c r="B36" s="1">
        <v>40</v>
      </c>
    </row>
    <row r="37" spans="1:4" x14ac:dyDescent="0.25">
      <c r="A37">
        <v>34</v>
      </c>
      <c r="B37" s="1">
        <v>41</v>
      </c>
    </row>
    <row r="38" spans="1:4" x14ac:dyDescent="0.25">
      <c r="A38">
        <v>35</v>
      </c>
      <c r="B38" s="1">
        <v>43</v>
      </c>
    </row>
    <row r="39" spans="1:4" x14ac:dyDescent="0.25">
      <c r="A39">
        <v>36</v>
      </c>
      <c r="B39" s="1">
        <v>44</v>
      </c>
    </row>
    <row r="40" spans="1:4" x14ac:dyDescent="0.25">
      <c r="A40">
        <v>37</v>
      </c>
      <c r="B40" s="1">
        <v>45</v>
      </c>
    </row>
    <row r="41" spans="1:4" x14ac:dyDescent="0.25">
      <c r="A41">
        <v>38</v>
      </c>
      <c r="B41" s="1">
        <v>47</v>
      </c>
    </row>
    <row r="42" spans="1:4" x14ac:dyDescent="0.25">
      <c r="A42">
        <v>39</v>
      </c>
      <c r="B42" s="1">
        <v>48</v>
      </c>
    </row>
    <row r="43" spans="1:4" x14ac:dyDescent="0.25">
      <c r="A43">
        <v>40</v>
      </c>
      <c r="B43" s="1">
        <v>49</v>
      </c>
    </row>
    <row r="44" spans="1:4" x14ac:dyDescent="0.25">
      <c r="A44">
        <v>41</v>
      </c>
      <c r="B44" s="1">
        <v>50</v>
      </c>
    </row>
    <row r="45" spans="1:4" x14ac:dyDescent="0.25">
      <c r="A45">
        <v>42</v>
      </c>
      <c r="B45" s="1">
        <v>52</v>
      </c>
    </row>
    <row r="46" spans="1:4" x14ac:dyDescent="0.25">
      <c r="A46">
        <v>43</v>
      </c>
      <c r="B46" s="1">
        <v>53</v>
      </c>
    </row>
    <row r="47" spans="1:4" x14ac:dyDescent="0.25">
      <c r="A47">
        <v>44</v>
      </c>
      <c r="B47" s="1">
        <v>54</v>
      </c>
    </row>
    <row r="48" spans="1:4" x14ac:dyDescent="0.25">
      <c r="A48">
        <v>45</v>
      </c>
      <c r="B48" s="1">
        <v>56</v>
      </c>
    </row>
    <row r="49" spans="1:2" x14ac:dyDescent="0.25">
      <c r="A49">
        <v>46</v>
      </c>
      <c r="B49" s="1">
        <v>57</v>
      </c>
    </row>
    <row r="50" spans="1:2" x14ac:dyDescent="0.25">
      <c r="A50">
        <v>47</v>
      </c>
      <c r="B50" s="1">
        <v>58</v>
      </c>
    </row>
    <row r="51" spans="1:2" x14ac:dyDescent="0.25">
      <c r="A51">
        <v>48</v>
      </c>
      <c r="B51" s="1">
        <v>60</v>
      </c>
    </row>
    <row r="52" spans="1:2" x14ac:dyDescent="0.25">
      <c r="A52">
        <v>49</v>
      </c>
      <c r="B52" s="1">
        <v>61</v>
      </c>
    </row>
    <row r="53" spans="1:2" x14ac:dyDescent="0.25">
      <c r="A53">
        <v>50</v>
      </c>
      <c r="B53" s="1">
        <v>62</v>
      </c>
    </row>
    <row r="54" spans="1:2" x14ac:dyDescent="0.25">
      <c r="A54">
        <v>51</v>
      </c>
      <c r="B54" s="1">
        <v>63</v>
      </c>
    </row>
    <row r="55" spans="1:2" x14ac:dyDescent="0.25">
      <c r="A55">
        <v>52</v>
      </c>
      <c r="B55" s="1">
        <v>65</v>
      </c>
    </row>
    <row r="56" spans="1:2" x14ac:dyDescent="0.25">
      <c r="A56">
        <v>53</v>
      </c>
      <c r="B56" s="1">
        <v>66</v>
      </c>
    </row>
    <row r="57" spans="1:2" x14ac:dyDescent="0.25">
      <c r="A57">
        <v>54</v>
      </c>
      <c r="B57" s="1">
        <v>67</v>
      </c>
    </row>
    <row r="58" spans="1:2" x14ac:dyDescent="0.25">
      <c r="A58">
        <v>55</v>
      </c>
      <c r="B58" s="1">
        <v>69</v>
      </c>
    </row>
    <row r="59" spans="1:2" x14ac:dyDescent="0.25">
      <c r="A59">
        <v>56</v>
      </c>
      <c r="B59" s="1">
        <v>70</v>
      </c>
    </row>
    <row r="60" spans="1:2" x14ac:dyDescent="0.25">
      <c r="A60">
        <v>57</v>
      </c>
      <c r="B60" s="1">
        <v>71</v>
      </c>
    </row>
    <row r="61" spans="1:2" x14ac:dyDescent="0.25">
      <c r="A61">
        <v>58</v>
      </c>
      <c r="B61" s="1">
        <v>72</v>
      </c>
    </row>
    <row r="62" spans="1:2" x14ac:dyDescent="0.25">
      <c r="A62">
        <v>59</v>
      </c>
      <c r="B62" s="1">
        <v>74</v>
      </c>
    </row>
    <row r="63" spans="1:2" x14ac:dyDescent="0.25">
      <c r="A63">
        <v>60</v>
      </c>
      <c r="B63" s="1">
        <v>75</v>
      </c>
    </row>
    <row r="64" spans="1:2" x14ac:dyDescent="0.25">
      <c r="A64">
        <v>61</v>
      </c>
      <c r="B64" s="1">
        <v>76</v>
      </c>
    </row>
    <row r="65" spans="1:2" x14ac:dyDescent="0.25">
      <c r="A65">
        <v>62</v>
      </c>
      <c r="B65" s="1">
        <v>77</v>
      </c>
    </row>
    <row r="66" spans="1:2" x14ac:dyDescent="0.25">
      <c r="A66">
        <v>63</v>
      </c>
      <c r="B66" s="1">
        <v>78</v>
      </c>
    </row>
    <row r="67" spans="1:2" x14ac:dyDescent="0.25">
      <c r="A67">
        <v>64</v>
      </c>
      <c r="B67" s="1">
        <v>79</v>
      </c>
    </row>
    <row r="68" spans="1:2" x14ac:dyDescent="0.25">
      <c r="A68">
        <v>65</v>
      </c>
      <c r="B68" s="1">
        <v>80</v>
      </c>
    </row>
    <row r="69" spans="1:2" x14ac:dyDescent="0.25">
      <c r="A69">
        <v>66</v>
      </c>
      <c r="B69" s="1">
        <v>80</v>
      </c>
    </row>
    <row r="70" spans="1:2" x14ac:dyDescent="0.25">
      <c r="A70">
        <v>67</v>
      </c>
      <c r="B70" s="1">
        <v>81</v>
      </c>
    </row>
    <row r="71" spans="1:2" x14ac:dyDescent="0.25">
      <c r="A71">
        <v>68</v>
      </c>
      <c r="B71" s="1">
        <v>82</v>
      </c>
    </row>
    <row r="72" spans="1:2" x14ac:dyDescent="0.25">
      <c r="A72">
        <v>69</v>
      </c>
      <c r="B72" s="1">
        <v>83</v>
      </c>
    </row>
    <row r="73" spans="1:2" x14ac:dyDescent="0.25">
      <c r="A73">
        <v>70</v>
      </c>
      <c r="B73" s="1">
        <v>84</v>
      </c>
    </row>
    <row r="74" spans="1:2" x14ac:dyDescent="0.25">
      <c r="A74">
        <v>71</v>
      </c>
      <c r="B74" s="1">
        <v>85</v>
      </c>
    </row>
    <row r="75" spans="1:2" x14ac:dyDescent="0.25">
      <c r="A75">
        <v>72</v>
      </c>
      <c r="B75" s="1">
        <v>86</v>
      </c>
    </row>
    <row r="76" spans="1:2" x14ac:dyDescent="0.25">
      <c r="A76">
        <v>73</v>
      </c>
      <c r="B76" s="1">
        <v>86</v>
      </c>
    </row>
    <row r="77" spans="1:2" x14ac:dyDescent="0.25">
      <c r="A77">
        <v>74</v>
      </c>
      <c r="B77" s="1">
        <v>87</v>
      </c>
    </row>
    <row r="78" spans="1:2" x14ac:dyDescent="0.25">
      <c r="A78">
        <v>75</v>
      </c>
      <c r="B78" s="1">
        <v>87</v>
      </c>
    </row>
    <row r="79" spans="1:2" x14ac:dyDescent="0.25">
      <c r="A79">
        <v>76</v>
      </c>
      <c r="B79" s="1">
        <v>88</v>
      </c>
    </row>
    <row r="80" spans="1:2" x14ac:dyDescent="0.25">
      <c r="A80">
        <v>77</v>
      </c>
      <c r="B80" s="1">
        <v>88</v>
      </c>
    </row>
    <row r="81" spans="1:2" x14ac:dyDescent="0.25">
      <c r="A81">
        <v>78</v>
      </c>
      <c r="B81" s="1">
        <v>89</v>
      </c>
    </row>
    <row r="82" spans="1:2" x14ac:dyDescent="0.25">
      <c r="A82">
        <v>79</v>
      </c>
      <c r="B82" s="1">
        <v>89</v>
      </c>
    </row>
    <row r="83" spans="1:2" x14ac:dyDescent="0.25">
      <c r="A83">
        <v>80</v>
      </c>
      <c r="B83" s="1">
        <v>90</v>
      </c>
    </row>
    <row r="84" spans="1:2" x14ac:dyDescent="0.25">
      <c r="A84">
        <v>81</v>
      </c>
      <c r="B84" s="1">
        <v>90</v>
      </c>
    </row>
    <row r="85" spans="1:2" x14ac:dyDescent="0.25">
      <c r="A85">
        <v>82</v>
      </c>
      <c r="B85" s="1">
        <v>91</v>
      </c>
    </row>
    <row r="86" spans="1:2" x14ac:dyDescent="0.25">
      <c r="A86">
        <v>83</v>
      </c>
      <c r="B86" s="1">
        <v>91</v>
      </c>
    </row>
    <row r="87" spans="1:2" x14ac:dyDescent="0.25">
      <c r="A87">
        <v>84</v>
      </c>
      <c r="B87" s="1">
        <v>92</v>
      </c>
    </row>
    <row r="88" spans="1:2" x14ac:dyDescent="0.25">
      <c r="A88">
        <v>85</v>
      </c>
      <c r="B88" s="1">
        <v>93</v>
      </c>
    </row>
    <row r="89" spans="1:2" x14ac:dyDescent="0.25">
      <c r="A89">
        <v>86</v>
      </c>
      <c r="B89" s="1">
        <v>93</v>
      </c>
    </row>
    <row r="90" spans="1:2" x14ac:dyDescent="0.25">
      <c r="A90">
        <v>87</v>
      </c>
      <c r="B90" s="1">
        <v>94</v>
      </c>
    </row>
    <row r="91" spans="1:2" x14ac:dyDescent="0.25">
      <c r="A91">
        <v>88</v>
      </c>
      <c r="B91" s="1">
        <v>94</v>
      </c>
    </row>
    <row r="92" spans="1:2" x14ac:dyDescent="0.25">
      <c r="A92">
        <v>89</v>
      </c>
      <c r="B92" s="1">
        <v>95</v>
      </c>
    </row>
    <row r="93" spans="1:2" x14ac:dyDescent="0.25">
      <c r="A93">
        <v>90</v>
      </c>
      <c r="B93" s="1">
        <v>95</v>
      </c>
    </row>
    <row r="94" spans="1:2" x14ac:dyDescent="0.25">
      <c r="A94">
        <v>91</v>
      </c>
      <c r="B94" s="1">
        <v>96</v>
      </c>
    </row>
    <row r="95" spans="1:2" x14ac:dyDescent="0.25">
      <c r="A95">
        <v>92</v>
      </c>
      <c r="B95" s="1">
        <v>96</v>
      </c>
    </row>
    <row r="96" spans="1:2" x14ac:dyDescent="0.25">
      <c r="A96">
        <v>93</v>
      </c>
      <c r="B96" s="1">
        <v>97</v>
      </c>
    </row>
    <row r="97" spans="1:2" x14ac:dyDescent="0.25">
      <c r="A97">
        <v>94</v>
      </c>
      <c r="B97" s="1">
        <v>97</v>
      </c>
    </row>
    <row r="98" spans="1:2" x14ac:dyDescent="0.25">
      <c r="A98">
        <v>95</v>
      </c>
      <c r="B98" s="1">
        <v>98</v>
      </c>
    </row>
    <row r="99" spans="1:2" x14ac:dyDescent="0.25">
      <c r="A99">
        <v>96</v>
      </c>
      <c r="B99" s="1">
        <v>98</v>
      </c>
    </row>
    <row r="100" spans="1:2" x14ac:dyDescent="0.25">
      <c r="A100">
        <v>97</v>
      </c>
      <c r="B100" s="1">
        <v>99</v>
      </c>
    </row>
    <row r="101" spans="1:2" x14ac:dyDescent="0.25">
      <c r="A101">
        <v>98</v>
      </c>
      <c r="B101" s="1">
        <v>99</v>
      </c>
    </row>
    <row r="102" spans="1:2" x14ac:dyDescent="0.25">
      <c r="A102">
        <v>99</v>
      </c>
      <c r="B102" s="1">
        <v>100</v>
      </c>
    </row>
    <row r="103" spans="1:2" x14ac:dyDescent="0.25">
      <c r="A103">
        <v>100</v>
      </c>
      <c r="B103" s="1">
        <v>100</v>
      </c>
    </row>
    <row r="104" spans="1:2" x14ac:dyDescent="0.25">
      <c r="A104">
        <v>101</v>
      </c>
      <c r="B104" s="1">
        <v>100</v>
      </c>
    </row>
    <row r="105" spans="1:2" x14ac:dyDescent="0.25">
      <c r="A105">
        <v>102</v>
      </c>
      <c r="B105" s="1">
        <v>100</v>
      </c>
    </row>
    <row r="106" spans="1:2" x14ac:dyDescent="0.25">
      <c r="A106">
        <v>103</v>
      </c>
      <c r="B106" s="1">
        <v>100</v>
      </c>
    </row>
    <row r="107" spans="1:2" x14ac:dyDescent="0.25">
      <c r="A107">
        <v>104</v>
      </c>
      <c r="B107" s="1">
        <v>100</v>
      </c>
    </row>
    <row r="108" spans="1:2" x14ac:dyDescent="0.25">
      <c r="A108">
        <v>105</v>
      </c>
      <c r="B108" s="1">
        <v>100</v>
      </c>
    </row>
    <row r="109" spans="1:2" x14ac:dyDescent="0.25">
      <c r="A109">
        <v>106</v>
      </c>
      <c r="B109" s="1">
        <v>100</v>
      </c>
    </row>
    <row r="110" spans="1:2" x14ac:dyDescent="0.25">
      <c r="A110">
        <v>107</v>
      </c>
      <c r="B110" s="1">
        <v>100</v>
      </c>
    </row>
    <row r="111" spans="1:2" x14ac:dyDescent="0.25">
      <c r="A111">
        <v>108</v>
      </c>
      <c r="B111" s="1">
        <v>100</v>
      </c>
    </row>
    <row r="112" spans="1:2" x14ac:dyDescent="0.25">
      <c r="A112">
        <v>109</v>
      </c>
      <c r="B112" s="1">
        <v>100</v>
      </c>
    </row>
    <row r="113" spans="1:2" x14ac:dyDescent="0.25">
      <c r="A113">
        <v>110</v>
      </c>
      <c r="B113" s="1">
        <v>100</v>
      </c>
    </row>
    <row r="114" spans="1:2" x14ac:dyDescent="0.25">
      <c r="A114">
        <v>111</v>
      </c>
      <c r="B114" s="1">
        <v>100</v>
      </c>
    </row>
    <row r="115" spans="1:2" x14ac:dyDescent="0.25">
      <c r="A115">
        <v>112</v>
      </c>
      <c r="B115" s="1">
        <v>100</v>
      </c>
    </row>
    <row r="116" spans="1:2" x14ac:dyDescent="0.25">
      <c r="A116">
        <v>113</v>
      </c>
      <c r="B116" s="1">
        <v>100</v>
      </c>
    </row>
    <row r="117" spans="1:2" x14ac:dyDescent="0.25">
      <c r="A117">
        <v>114</v>
      </c>
      <c r="B117" s="1">
        <v>100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2:AB33"/>
  <sheetViews>
    <sheetView zoomScale="70" zoomScaleNormal="70" workbookViewId="0">
      <selection activeCell="AA35" sqref="AA35"/>
    </sheetView>
  </sheetViews>
  <sheetFormatPr baseColWidth="10" defaultColWidth="4.7109375" defaultRowHeight="15" x14ac:dyDescent="0.25"/>
  <cols>
    <col min="1" max="3" width="4.140625" style="1" customWidth="1"/>
    <col min="4" max="9" width="4.7109375" style="1"/>
    <col min="10" max="10" width="6.28515625" style="1" bestFit="1" customWidth="1"/>
    <col min="11" max="16384" width="4.7109375" style="1"/>
  </cols>
  <sheetData>
    <row r="2" spans="1:28" x14ac:dyDescent="0.25">
      <c r="A2" s="176" t="s">
        <v>288</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row>
    <row r="3" spans="1:28" ht="15" customHeight="1" x14ac:dyDescent="0.25">
      <c r="B3" s="12" t="s">
        <v>289</v>
      </c>
      <c r="C3" s="12"/>
      <c r="D3" s="2">
        <v>1</v>
      </c>
      <c r="E3" s="2" t="s">
        <v>200</v>
      </c>
      <c r="F3" s="2" t="s">
        <v>201</v>
      </c>
      <c r="G3" s="2">
        <v>3</v>
      </c>
      <c r="H3" s="2" t="s">
        <v>211</v>
      </c>
      <c r="I3" s="2" t="s">
        <v>213</v>
      </c>
      <c r="J3" s="2">
        <v>5</v>
      </c>
      <c r="K3" s="2" t="s">
        <v>202</v>
      </c>
      <c r="L3" s="2" t="s">
        <v>203</v>
      </c>
      <c r="M3" s="2">
        <v>7</v>
      </c>
      <c r="N3" s="2" t="s">
        <v>204</v>
      </c>
      <c r="O3" s="2" t="s">
        <v>205</v>
      </c>
      <c r="P3" s="2" t="s">
        <v>197</v>
      </c>
      <c r="Q3" s="2" t="s">
        <v>198</v>
      </c>
      <c r="R3" s="2" t="s">
        <v>199</v>
      </c>
      <c r="S3" s="3" t="s">
        <v>224</v>
      </c>
      <c r="T3" s="4" t="s">
        <v>225</v>
      </c>
      <c r="U3" s="4" t="s">
        <v>232</v>
      </c>
      <c r="V3" s="4" t="s">
        <v>226</v>
      </c>
      <c r="W3" s="4" t="s">
        <v>227</v>
      </c>
      <c r="X3" s="4" t="s">
        <v>228</v>
      </c>
      <c r="Y3" s="4" t="s">
        <v>229</v>
      </c>
      <c r="Z3" s="4" t="s">
        <v>238</v>
      </c>
      <c r="AA3" s="4" t="s">
        <v>240</v>
      </c>
      <c r="AB3" s="4" t="s">
        <v>242</v>
      </c>
    </row>
    <row r="4" spans="1:28" ht="15.75" x14ac:dyDescent="0.25">
      <c r="A4" s="5"/>
      <c r="B4" s="6">
        <v>0</v>
      </c>
      <c r="C4" s="5"/>
      <c r="D4" s="1">
        <v>0</v>
      </c>
      <c r="E4" s="1">
        <v>0</v>
      </c>
      <c r="F4" s="1">
        <v>0</v>
      </c>
      <c r="G4" s="1">
        <v>0</v>
      </c>
      <c r="H4" s="1">
        <v>0</v>
      </c>
      <c r="I4" s="1">
        <v>0</v>
      </c>
      <c r="J4" s="1">
        <v>0</v>
      </c>
      <c r="K4" s="1">
        <v>0</v>
      </c>
      <c r="L4" s="1">
        <v>0</v>
      </c>
      <c r="M4" s="1">
        <v>0</v>
      </c>
      <c r="N4" s="1">
        <v>0</v>
      </c>
      <c r="O4" s="1">
        <v>0</v>
      </c>
      <c r="P4" s="1">
        <v>0</v>
      </c>
      <c r="Q4" s="1">
        <v>0</v>
      </c>
      <c r="R4" s="1">
        <v>0</v>
      </c>
      <c r="S4" s="7">
        <v>0</v>
      </c>
      <c r="T4" s="8">
        <v>0</v>
      </c>
      <c r="U4" s="8">
        <v>0</v>
      </c>
      <c r="V4" s="8">
        <v>0</v>
      </c>
      <c r="W4" s="8">
        <v>0</v>
      </c>
      <c r="X4" s="8">
        <v>0</v>
      </c>
      <c r="Y4" s="8">
        <v>0</v>
      </c>
      <c r="Z4" s="8">
        <v>0</v>
      </c>
      <c r="AA4" s="8">
        <v>0</v>
      </c>
      <c r="AB4" s="8">
        <v>0</v>
      </c>
    </row>
    <row r="5" spans="1:28" ht="15.75" x14ac:dyDescent="0.25">
      <c r="B5" s="2">
        <v>1</v>
      </c>
      <c r="D5" s="1">
        <v>7</v>
      </c>
      <c r="E5" s="1">
        <v>6</v>
      </c>
      <c r="F5" s="1">
        <v>5</v>
      </c>
      <c r="G5" s="1">
        <v>6</v>
      </c>
      <c r="H5" s="1">
        <v>7</v>
      </c>
      <c r="I5" s="1">
        <v>6</v>
      </c>
      <c r="J5" s="1">
        <v>12</v>
      </c>
      <c r="K5" s="1">
        <v>20</v>
      </c>
      <c r="L5" s="1">
        <v>10</v>
      </c>
      <c r="M5" s="1">
        <v>4</v>
      </c>
      <c r="N5" s="1">
        <v>7</v>
      </c>
      <c r="O5" s="1">
        <v>8</v>
      </c>
      <c r="P5" s="1">
        <v>6</v>
      </c>
      <c r="Q5" s="1">
        <v>8</v>
      </c>
      <c r="R5" s="1">
        <v>9</v>
      </c>
      <c r="S5" s="7">
        <v>8</v>
      </c>
      <c r="T5" s="8">
        <v>10</v>
      </c>
      <c r="U5" s="8">
        <v>10</v>
      </c>
      <c r="V5" s="8">
        <v>5</v>
      </c>
      <c r="W5" s="8">
        <v>60</v>
      </c>
      <c r="X5" s="8">
        <v>60</v>
      </c>
      <c r="Y5" s="8">
        <v>12</v>
      </c>
      <c r="Z5" s="8">
        <v>7</v>
      </c>
      <c r="AA5" s="8">
        <v>9</v>
      </c>
      <c r="AB5" s="8">
        <v>30</v>
      </c>
    </row>
    <row r="6" spans="1:28" ht="15.75" x14ac:dyDescent="0.25">
      <c r="B6" s="2">
        <v>2</v>
      </c>
      <c r="D6" s="1">
        <v>13</v>
      </c>
      <c r="E6" s="1">
        <v>12</v>
      </c>
      <c r="F6" s="1">
        <v>10</v>
      </c>
      <c r="G6" s="1">
        <v>12</v>
      </c>
      <c r="H6" s="1">
        <v>13</v>
      </c>
      <c r="I6" s="1">
        <v>12</v>
      </c>
      <c r="J6" s="1">
        <v>24</v>
      </c>
      <c r="K6" s="1">
        <v>40</v>
      </c>
      <c r="L6" s="1">
        <v>20</v>
      </c>
      <c r="M6" s="1">
        <v>8</v>
      </c>
      <c r="N6" s="1">
        <v>13</v>
      </c>
      <c r="O6" s="1">
        <v>15</v>
      </c>
      <c r="P6" s="1">
        <v>12</v>
      </c>
      <c r="Q6" s="1">
        <v>15</v>
      </c>
      <c r="R6" s="1">
        <v>17</v>
      </c>
      <c r="S6" s="7">
        <v>15</v>
      </c>
      <c r="T6" s="8">
        <v>20</v>
      </c>
      <c r="U6" s="8">
        <v>20</v>
      </c>
      <c r="V6" s="8">
        <v>10</v>
      </c>
      <c r="W6" s="8">
        <v>68</v>
      </c>
      <c r="X6" s="8">
        <v>62</v>
      </c>
      <c r="Y6" s="8">
        <v>24</v>
      </c>
      <c r="Z6" s="8">
        <v>13</v>
      </c>
      <c r="AA6" s="8">
        <v>17</v>
      </c>
      <c r="AB6" s="8">
        <v>60</v>
      </c>
    </row>
    <row r="7" spans="1:28" ht="15.75" x14ac:dyDescent="0.25">
      <c r="B7" s="2">
        <v>3</v>
      </c>
      <c r="D7" s="1">
        <v>20</v>
      </c>
      <c r="E7" s="1">
        <v>18</v>
      </c>
      <c r="F7" s="1">
        <v>15</v>
      </c>
      <c r="G7" s="1">
        <v>18</v>
      </c>
      <c r="H7" s="1">
        <v>20</v>
      </c>
      <c r="I7" s="1">
        <v>18</v>
      </c>
      <c r="J7" s="1">
        <v>36</v>
      </c>
      <c r="K7" s="1">
        <v>60</v>
      </c>
      <c r="L7" s="1">
        <v>30</v>
      </c>
      <c r="M7" s="1">
        <v>11</v>
      </c>
      <c r="N7" s="1">
        <v>20</v>
      </c>
      <c r="O7" s="1">
        <v>23</v>
      </c>
      <c r="P7" s="1">
        <v>18</v>
      </c>
      <c r="Q7" s="1">
        <v>23</v>
      </c>
      <c r="R7" s="1">
        <v>26</v>
      </c>
      <c r="S7" s="7">
        <v>23</v>
      </c>
      <c r="T7" s="8">
        <v>30</v>
      </c>
      <c r="U7" s="8">
        <v>30</v>
      </c>
      <c r="V7" s="8">
        <v>15</v>
      </c>
      <c r="W7" s="8">
        <v>75</v>
      </c>
      <c r="X7" s="8">
        <v>64</v>
      </c>
      <c r="Y7" s="8">
        <v>36</v>
      </c>
      <c r="Z7" s="8">
        <v>20</v>
      </c>
      <c r="AA7" s="8">
        <v>26</v>
      </c>
      <c r="AB7" s="8">
        <v>62</v>
      </c>
    </row>
    <row r="8" spans="1:28" ht="15.75" x14ac:dyDescent="0.25">
      <c r="B8" s="2">
        <v>4</v>
      </c>
      <c r="D8" s="1">
        <v>27</v>
      </c>
      <c r="E8" s="1">
        <v>24</v>
      </c>
      <c r="F8" s="1">
        <v>20</v>
      </c>
      <c r="G8" s="1">
        <v>24</v>
      </c>
      <c r="H8" s="1">
        <v>27</v>
      </c>
      <c r="I8" s="1">
        <v>24</v>
      </c>
      <c r="J8" s="1">
        <v>48</v>
      </c>
      <c r="K8" s="1">
        <v>62</v>
      </c>
      <c r="L8" s="1">
        <v>40</v>
      </c>
      <c r="M8" s="1">
        <v>15</v>
      </c>
      <c r="N8" s="1">
        <v>27</v>
      </c>
      <c r="O8" s="1">
        <v>30</v>
      </c>
      <c r="P8" s="1">
        <v>24</v>
      </c>
      <c r="Q8" s="1">
        <v>30</v>
      </c>
      <c r="R8" s="1">
        <v>34</v>
      </c>
      <c r="S8" s="7">
        <v>30</v>
      </c>
      <c r="T8" s="8">
        <v>40</v>
      </c>
      <c r="U8" s="8">
        <v>40</v>
      </c>
      <c r="V8" s="8">
        <v>20</v>
      </c>
      <c r="W8" s="8">
        <v>85</v>
      </c>
      <c r="X8" s="8">
        <v>66</v>
      </c>
      <c r="Y8" s="8">
        <v>48</v>
      </c>
      <c r="Z8" s="8">
        <v>27</v>
      </c>
      <c r="AA8" s="8">
        <v>34</v>
      </c>
      <c r="AB8" s="8">
        <v>64</v>
      </c>
    </row>
    <row r="9" spans="1:28" ht="15.75" x14ac:dyDescent="0.25">
      <c r="B9" s="2">
        <v>5</v>
      </c>
      <c r="D9" s="1">
        <v>33</v>
      </c>
      <c r="E9" s="1">
        <v>30</v>
      </c>
      <c r="F9" s="1">
        <v>25</v>
      </c>
      <c r="G9" s="1">
        <v>30</v>
      </c>
      <c r="H9" s="1">
        <v>33</v>
      </c>
      <c r="I9" s="1">
        <v>30</v>
      </c>
      <c r="J9" s="1">
        <v>60</v>
      </c>
      <c r="K9" s="1">
        <v>64</v>
      </c>
      <c r="L9" s="1">
        <v>50</v>
      </c>
      <c r="M9" s="1">
        <v>19</v>
      </c>
      <c r="N9" s="1">
        <v>33</v>
      </c>
      <c r="O9" s="1">
        <v>38</v>
      </c>
      <c r="P9" s="1">
        <v>30</v>
      </c>
      <c r="Q9" s="1">
        <v>38</v>
      </c>
      <c r="R9" s="1">
        <v>43</v>
      </c>
      <c r="S9" s="7">
        <v>38</v>
      </c>
      <c r="T9" s="8">
        <v>50</v>
      </c>
      <c r="U9" s="8">
        <v>50</v>
      </c>
      <c r="V9" s="8">
        <v>25</v>
      </c>
      <c r="W9" s="8">
        <v>88</v>
      </c>
      <c r="X9" s="8">
        <v>68</v>
      </c>
      <c r="Y9" s="8">
        <v>60</v>
      </c>
      <c r="Z9" s="8">
        <v>33</v>
      </c>
      <c r="AA9" s="8">
        <v>43</v>
      </c>
      <c r="AB9" s="8">
        <v>66</v>
      </c>
    </row>
    <row r="10" spans="1:28" ht="15.75" x14ac:dyDescent="0.25">
      <c r="B10" s="2">
        <v>6</v>
      </c>
      <c r="D10" s="1">
        <v>40</v>
      </c>
      <c r="E10" s="1">
        <v>36</v>
      </c>
      <c r="F10" s="1">
        <v>30</v>
      </c>
      <c r="G10" s="1">
        <v>36</v>
      </c>
      <c r="H10" s="1">
        <v>40</v>
      </c>
      <c r="I10" s="1">
        <v>36</v>
      </c>
      <c r="J10" s="1">
        <v>62</v>
      </c>
      <c r="K10" s="1">
        <v>66</v>
      </c>
      <c r="L10" s="1">
        <v>60</v>
      </c>
      <c r="M10" s="1">
        <v>23</v>
      </c>
      <c r="N10" s="1">
        <v>40</v>
      </c>
      <c r="O10" s="1">
        <v>45</v>
      </c>
      <c r="P10" s="1">
        <v>36</v>
      </c>
      <c r="Q10" s="1">
        <v>45</v>
      </c>
      <c r="R10" s="1">
        <v>51</v>
      </c>
      <c r="S10" s="7">
        <v>45</v>
      </c>
      <c r="T10" s="8">
        <v>60</v>
      </c>
      <c r="U10" s="8">
        <v>60</v>
      </c>
      <c r="V10" s="8">
        <v>30</v>
      </c>
      <c r="W10" s="8">
        <v>92</v>
      </c>
      <c r="X10" s="8">
        <v>69</v>
      </c>
      <c r="Y10" s="8">
        <v>62</v>
      </c>
      <c r="Z10" s="8">
        <v>40</v>
      </c>
      <c r="AA10" s="8">
        <v>51</v>
      </c>
      <c r="AB10" s="8">
        <v>69</v>
      </c>
    </row>
    <row r="11" spans="1:28" ht="15.75" x14ac:dyDescent="0.25">
      <c r="B11" s="2">
        <v>7</v>
      </c>
      <c r="D11" s="1">
        <v>47</v>
      </c>
      <c r="E11" s="1">
        <v>42</v>
      </c>
      <c r="F11" s="1">
        <v>35</v>
      </c>
      <c r="G11" s="1">
        <v>42</v>
      </c>
      <c r="H11" s="1">
        <v>47</v>
      </c>
      <c r="I11" s="1">
        <v>42</v>
      </c>
      <c r="J11" s="1">
        <v>64</v>
      </c>
      <c r="K11" s="1">
        <v>69</v>
      </c>
      <c r="L11" s="1">
        <v>62</v>
      </c>
      <c r="M11" s="1">
        <v>26</v>
      </c>
      <c r="N11" s="1">
        <v>47</v>
      </c>
      <c r="O11" s="1">
        <v>53</v>
      </c>
      <c r="P11" s="1">
        <v>42</v>
      </c>
      <c r="Q11" s="1">
        <v>53</v>
      </c>
      <c r="R11" s="1">
        <v>60</v>
      </c>
      <c r="S11" s="7">
        <v>53</v>
      </c>
      <c r="T11" s="8">
        <v>64</v>
      </c>
      <c r="U11" s="8">
        <v>63</v>
      </c>
      <c r="V11" s="8">
        <v>35</v>
      </c>
      <c r="W11" s="8">
        <v>95</v>
      </c>
      <c r="X11" s="8">
        <v>71</v>
      </c>
      <c r="Y11" s="8">
        <v>64</v>
      </c>
      <c r="Z11" s="8">
        <v>47</v>
      </c>
      <c r="AA11" s="8">
        <v>60</v>
      </c>
      <c r="AB11" s="8">
        <v>71</v>
      </c>
    </row>
    <row r="12" spans="1:28" ht="15.75" x14ac:dyDescent="0.25">
      <c r="B12" s="2">
        <v>8</v>
      </c>
      <c r="D12" s="1">
        <v>53</v>
      </c>
      <c r="E12" s="1">
        <v>48</v>
      </c>
      <c r="F12" s="1">
        <v>40</v>
      </c>
      <c r="G12" s="1">
        <v>48</v>
      </c>
      <c r="H12" s="1">
        <v>53</v>
      </c>
      <c r="I12" s="1">
        <v>48</v>
      </c>
      <c r="J12" s="1">
        <v>66</v>
      </c>
      <c r="K12" s="1">
        <v>71</v>
      </c>
      <c r="L12" s="1">
        <v>63</v>
      </c>
      <c r="M12" s="1">
        <v>30</v>
      </c>
      <c r="N12" s="1">
        <v>53</v>
      </c>
      <c r="O12" s="1">
        <v>60</v>
      </c>
      <c r="P12" s="1">
        <v>48</v>
      </c>
      <c r="Q12" s="1">
        <v>60</v>
      </c>
      <c r="R12" s="1">
        <v>63</v>
      </c>
      <c r="S12" s="7">
        <v>60</v>
      </c>
      <c r="T12" s="8">
        <v>68</v>
      </c>
      <c r="U12" s="8">
        <v>66</v>
      </c>
      <c r="V12" s="8">
        <v>40</v>
      </c>
      <c r="W12" s="8">
        <v>98</v>
      </c>
      <c r="X12" s="8">
        <v>73</v>
      </c>
      <c r="Y12" s="8">
        <v>66</v>
      </c>
      <c r="Z12" s="8">
        <v>53</v>
      </c>
      <c r="AA12" s="8">
        <v>62</v>
      </c>
      <c r="AB12" s="8">
        <v>73</v>
      </c>
    </row>
    <row r="13" spans="1:28" ht="15.75" x14ac:dyDescent="0.25">
      <c r="B13" s="2">
        <v>9</v>
      </c>
      <c r="D13" s="1">
        <v>60</v>
      </c>
      <c r="E13" s="1">
        <v>54</v>
      </c>
      <c r="F13" s="1">
        <v>45</v>
      </c>
      <c r="G13" s="1">
        <v>54</v>
      </c>
      <c r="H13" s="1">
        <v>60</v>
      </c>
      <c r="I13" s="1">
        <v>54</v>
      </c>
      <c r="J13" s="1">
        <v>69</v>
      </c>
      <c r="K13" s="1">
        <v>73</v>
      </c>
      <c r="L13" s="1">
        <v>65</v>
      </c>
      <c r="M13" s="1">
        <v>34</v>
      </c>
      <c r="N13" s="1">
        <v>60</v>
      </c>
      <c r="O13" s="1">
        <v>62</v>
      </c>
      <c r="P13" s="1">
        <v>54</v>
      </c>
      <c r="Q13" s="1">
        <v>62</v>
      </c>
      <c r="R13" s="1">
        <v>66</v>
      </c>
      <c r="S13" s="7">
        <v>75</v>
      </c>
      <c r="T13" s="8">
        <v>71</v>
      </c>
      <c r="U13" s="8">
        <v>69</v>
      </c>
      <c r="V13" s="8">
        <v>45</v>
      </c>
      <c r="W13" s="8">
        <v>102</v>
      </c>
      <c r="X13" s="8">
        <v>75</v>
      </c>
      <c r="Y13" s="8">
        <v>68</v>
      </c>
      <c r="Z13" s="8">
        <v>60</v>
      </c>
      <c r="AA13" s="8">
        <v>64</v>
      </c>
      <c r="AB13" s="8">
        <v>75</v>
      </c>
    </row>
    <row r="14" spans="1:28" ht="15.75" x14ac:dyDescent="0.25">
      <c r="B14" s="2">
        <v>10</v>
      </c>
      <c r="D14" s="1">
        <v>63</v>
      </c>
      <c r="E14" s="1">
        <v>60</v>
      </c>
      <c r="F14" s="1">
        <v>50</v>
      </c>
      <c r="G14" s="1">
        <v>60</v>
      </c>
      <c r="H14" s="1">
        <v>63</v>
      </c>
      <c r="I14" s="1">
        <v>60</v>
      </c>
      <c r="J14" s="1">
        <v>71</v>
      </c>
      <c r="K14" s="1">
        <v>75</v>
      </c>
      <c r="L14" s="1">
        <v>67</v>
      </c>
      <c r="M14" s="1">
        <v>38</v>
      </c>
      <c r="N14" s="1">
        <v>62</v>
      </c>
      <c r="O14" s="1">
        <v>63</v>
      </c>
      <c r="P14" s="1">
        <v>60</v>
      </c>
      <c r="Q14" s="1">
        <v>64</v>
      </c>
      <c r="R14" s="1">
        <v>69</v>
      </c>
      <c r="S14" s="7">
        <v>78</v>
      </c>
      <c r="T14" s="8">
        <v>75</v>
      </c>
      <c r="U14" s="8">
        <v>72</v>
      </c>
      <c r="V14" s="8">
        <v>50</v>
      </c>
      <c r="W14" s="8">
        <v>105</v>
      </c>
      <c r="X14" s="8">
        <v>78</v>
      </c>
      <c r="Y14" s="8">
        <v>69</v>
      </c>
      <c r="Z14" s="8">
        <v>62</v>
      </c>
      <c r="AA14" s="8">
        <v>66</v>
      </c>
      <c r="AB14" s="8">
        <v>78</v>
      </c>
    </row>
    <row r="15" spans="1:28" ht="15.75" x14ac:dyDescent="0.25">
      <c r="B15" s="2">
        <v>11</v>
      </c>
      <c r="D15" s="1">
        <v>65</v>
      </c>
      <c r="E15" s="1">
        <v>75</v>
      </c>
      <c r="F15" s="1">
        <v>55</v>
      </c>
      <c r="G15" s="1">
        <v>68</v>
      </c>
      <c r="H15" s="1">
        <v>65</v>
      </c>
      <c r="I15" s="1">
        <v>61</v>
      </c>
      <c r="J15" s="1">
        <v>73</v>
      </c>
      <c r="K15" s="1">
        <v>78</v>
      </c>
      <c r="L15" s="1">
        <v>68</v>
      </c>
      <c r="M15" s="1">
        <v>41</v>
      </c>
      <c r="N15" s="1">
        <v>64</v>
      </c>
      <c r="O15" s="1">
        <v>65</v>
      </c>
      <c r="P15" s="1">
        <v>62</v>
      </c>
      <c r="Q15" s="1">
        <v>66</v>
      </c>
      <c r="R15" s="1">
        <v>72</v>
      </c>
      <c r="S15" s="7">
        <v>80</v>
      </c>
      <c r="T15" s="8">
        <v>80</v>
      </c>
      <c r="U15" s="8">
        <v>75</v>
      </c>
      <c r="V15" s="8">
        <v>55</v>
      </c>
      <c r="W15" s="1">
        <v>108</v>
      </c>
      <c r="X15" s="8">
        <v>82</v>
      </c>
      <c r="Y15" s="8">
        <v>71</v>
      </c>
      <c r="Z15" s="8">
        <v>64</v>
      </c>
      <c r="AA15" s="8">
        <v>69</v>
      </c>
      <c r="AB15" s="8">
        <v>80</v>
      </c>
    </row>
    <row r="16" spans="1:28" ht="15.75" x14ac:dyDescent="0.25">
      <c r="B16" s="2">
        <v>12</v>
      </c>
      <c r="D16" s="1">
        <v>68</v>
      </c>
      <c r="E16" s="1">
        <v>77</v>
      </c>
      <c r="F16" s="1">
        <v>60</v>
      </c>
      <c r="G16" s="1">
        <v>75</v>
      </c>
      <c r="H16" s="1">
        <v>68</v>
      </c>
      <c r="I16" s="1">
        <v>63</v>
      </c>
      <c r="J16" s="1">
        <v>75</v>
      </c>
      <c r="K16" s="1">
        <v>82</v>
      </c>
      <c r="L16" s="1">
        <v>70</v>
      </c>
      <c r="M16" s="1">
        <v>45</v>
      </c>
      <c r="N16" s="1">
        <v>66</v>
      </c>
      <c r="O16" s="1">
        <v>67</v>
      </c>
      <c r="P16" s="1">
        <v>63</v>
      </c>
      <c r="Q16" s="1">
        <v>68</v>
      </c>
      <c r="R16" s="1">
        <v>75</v>
      </c>
      <c r="S16" s="7">
        <v>83</v>
      </c>
      <c r="T16" s="8">
        <v>85</v>
      </c>
      <c r="U16" s="8">
        <v>80</v>
      </c>
      <c r="V16" s="8">
        <v>60</v>
      </c>
      <c r="W16" s="8">
        <v>112</v>
      </c>
      <c r="X16" s="8">
        <v>85</v>
      </c>
      <c r="Y16" s="8">
        <v>73</v>
      </c>
      <c r="Z16" s="8">
        <v>66</v>
      </c>
      <c r="AA16" s="8">
        <v>71</v>
      </c>
      <c r="AB16" s="8">
        <v>83</v>
      </c>
    </row>
    <row r="17" spans="2:28" ht="15.75" x14ac:dyDescent="0.25">
      <c r="B17" s="2">
        <v>13</v>
      </c>
      <c r="D17" s="1">
        <v>70</v>
      </c>
      <c r="E17" s="1">
        <v>78</v>
      </c>
      <c r="F17" s="1">
        <v>65</v>
      </c>
      <c r="G17" s="1">
        <v>78</v>
      </c>
      <c r="H17" s="1">
        <v>70</v>
      </c>
      <c r="I17" s="1">
        <v>64</v>
      </c>
      <c r="J17" s="1">
        <v>78</v>
      </c>
      <c r="K17" s="1">
        <v>85</v>
      </c>
      <c r="L17" s="1">
        <v>72</v>
      </c>
      <c r="M17" s="1">
        <v>49</v>
      </c>
      <c r="N17" s="1">
        <v>69</v>
      </c>
      <c r="O17" s="1">
        <v>68</v>
      </c>
      <c r="P17" s="1">
        <v>65</v>
      </c>
      <c r="Q17" s="1">
        <v>69</v>
      </c>
      <c r="R17" s="1">
        <v>78</v>
      </c>
      <c r="S17" s="7">
        <v>85</v>
      </c>
      <c r="T17" s="8">
        <v>95</v>
      </c>
      <c r="U17" s="8">
        <v>85</v>
      </c>
      <c r="V17" s="8">
        <v>63</v>
      </c>
      <c r="W17" s="8">
        <v>115</v>
      </c>
      <c r="X17" s="8">
        <v>90</v>
      </c>
      <c r="Y17" s="8">
        <v>75</v>
      </c>
      <c r="Z17" s="8">
        <v>68</v>
      </c>
      <c r="AA17" s="8">
        <v>73</v>
      </c>
      <c r="AB17" s="8">
        <v>85</v>
      </c>
    </row>
    <row r="18" spans="2:28" ht="15.75" x14ac:dyDescent="0.25">
      <c r="B18" s="2">
        <v>14</v>
      </c>
      <c r="D18" s="1">
        <v>73</v>
      </c>
      <c r="E18" s="1">
        <v>80</v>
      </c>
      <c r="F18" s="1">
        <v>70</v>
      </c>
      <c r="G18" s="1">
        <v>80</v>
      </c>
      <c r="H18" s="1">
        <v>73</v>
      </c>
      <c r="I18" s="1">
        <v>65</v>
      </c>
      <c r="J18" s="1">
        <v>80</v>
      </c>
      <c r="K18" s="1">
        <v>89</v>
      </c>
      <c r="L18" s="1">
        <v>73</v>
      </c>
      <c r="M18" s="1">
        <v>53</v>
      </c>
      <c r="N18" s="1">
        <v>71</v>
      </c>
      <c r="O18" s="1">
        <v>70</v>
      </c>
      <c r="P18" s="1">
        <v>66</v>
      </c>
      <c r="Q18" s="1">
        <v>71</v>
      </c>
      <c r="R18" s="1">
        <v>82</v>
      </c>
      <c r="S18" s="7">
        <v>90</v>
      </c>
      <c r="T18" s="8">
        <v>105</v>
      </c>
      <c r="U18" s="8">
        <v>90</v>
      </c>
      <c r="V18" s="8">
        <v>66</v>
      </c>
      <c r="W18" s="9" t="s">
        <v>292</v>
      </c>
      <c r="X18" s="8">
        <v>95</v>
      </c>
      <c r="Y18" s="8">
        <v>80</v>
      </c>
      <c r="Z18" s="8">
        <v>69</v>
      </c>
      <c r="AA18" s="8">
        <v>75</v>
      </c>
      <c r="AB18" s="8">
        <v>90</v>
      </c>
    </row>
    <row r="19" spans="2:28" ht="15.75" x14ac:dyDescent="0.25">
      <c r="B19" s="2">
        <v>15</v>
      </c>
      <c r="D19" s="1">
        <v>75</v>
      </c>
      <c r="E19" s="1">
        <v>82</v>
      </c>
      <c r="F19" s="1">
        <v>75</v>
      </c>
      <c r="G19" s="1">
        <v>83</v>
      </c>
      <c r="H19" s="1">
        <v>75</v>
      </c>
      <c r="I19" s="1">
        <v>67</v>
      </c>
      <c r="J19" s="1">
        <v>83</v>
      </c>
      <c r="K19" s="1">
        <v>93</v>
      </c>
      <c r="L19" s="1">
        <v>75</v>
      </c>
      <c r="M19" s="1">
        <v>56</v>
      </c>
      <c r="N19" s="1">
        <v>73</v>
      </c>
      <c r="O19" s="1">
        <v>72</v>
      </c>
      <c r="P19" s="1">
        <v>68</v>
      </c>
      <c r="Q19" s="1">
        <v>73</v>
      </c>
      <c r="R19" s="1">
        <v>85</v>
      </c>
      <c r="S19" s="7">
        <v>95</v>
      </c>
      <c r="T19" s="8">
        <v>115</v>
      </c>
      <c r="U19" s="8">
        <v>95</v>
      </c>
      <c r="V19" s="8">
        <v>69</v>
      </c>
      <c r="W19" s="9" t="s">
        <v>292</v>
      </c>
      <c r="X19" s="8">
        <v>100</v>
      </c>
      <c r="Y19" s="8">
        <v>85</v>
      </c>
      <c r="Z19" s="8">
        <v>71</v>
      </c>
      <c r="AA19" s="8">
        <v>78</v>
      </c>
      <c r="AB19" s="8">
        <v>95</v>
      </c>
    </row>
    <row r="20" spans="2:28" ht="15.75" x14ac:dyDescent="0.25">
      <c r="B20" s="2">
        <v>16</v>
      </c>
      <c r="D20" s="1">
        <v>78</v>
      </c>
      <c r="E20" s="1">
        <v>83</v>
      </c>
      <c r="F20" s="1">
        <v>76</v>
      </c>
      <c r="G20" s="1">
        <v>85</v>
      </c>
      <c r="H20" s="1">
        <v>78</v>
      </c>
      <c r="I20" s="1">
        <v>68</v>
      </c>
      <c r="J20" s="1">
        <v>85</v>
      </c>
      <c r="K20" s="1">
        <v>96</v>
      </c>
      <c r="L20" s="1">
        <v>78</v>
      </c>
      <c r="M20" s="1">
        <v>60</v>
      </c>
      <c r="N20" s="1">
        <v>75</v>
      </c>
      <c r="O20" s="1">
        <v>73</v>
      </c>
      <c r="P20" s="1">
        <v>69</v>
      </c>
      <c r="Q20" s="1">
        <v>75</v>
      </c>
      <c r="R20" s="1">
        <v>88</v>
      </c>
      <c r="S20" s="7">
        <v>100</v>
      </c>
      <c r="T20" s="9" t="s">
        <v>292</v>
      </c>
      <c r="U20" s="8">
        <v>100</v>
      </c>
      <c r="V20" s="8">
        <v>72</v>
      </c>
      <c r="W20" s="9" t="s">
        <v>292</v>
      </c>
      <c r="X20" s="8">
        <v>105</v>
      </c>
      <c r="Y20" s="8">
        <v>93</v>
      </c>
      <c r="Z20" s="8">
        <v>73</v>
      </c>
      <c r="AA20" s="8">
        <v>82</v>
      </c>
      <c r="AB20" s="8">
        <v>100</v>
      </c>
    </row>
    <row r="21" spans="2:28" ht="15.75" x14ac:dyDescent="0.25">
      <c r="B21" s="2">
        <v>17</v>
      </c>
      <c r="D21" s="1">
        <v>82</v>
      </c>
      <c r="E21" s="1">
        <v>85</v>
      </c>
      <c r="F21" s="1">
        <v>78</v>
      </c>
      <c r="G21" s="1">
        <v>89</v>
      </c>
      <c r="H21" s="1">
        <v>80</v>
      </c>
      <c r="I21" s="1">
        <v>70</v>
      </c>
      <c r="J21" s="1">
        <v>88</v>
      </c>
      <c r="K21" s="1">
        <v>100</v>
      </c>
      <c r="L21" s="1">
        <v>82</v>
      </c>
      <c r="M21" s="1">
        <v>64</v>
      </c>
      <c r="N21" s="1">
        <v>78</v>
      </c>
      <c r="O21" s="1">
        <v>75</v>
      </c>
      <c r="P21" s="1">
        <v>71</v>
      </c>
      <c r="Q21" s="1">
        <v>78</v>
      </c>
      <c r="R21" s="1">
        <v>92</v>
      </c>
      <c r="S21" s="7">
        <v>105</v>
      </c>
      <c r="T21" s="9" t="s">
        <v>292</v>
      </c>
      <c r="U21" s="8">
        <v>105</v>
      </c>
      <c r="V21" s="8">
        <v>75</v>
      </c>
      <c r="W21" s="9" t="s">
        <v>292</v>
      </c>
      <c r="X21" s="8">
        <v>110</v>
      </c>
      <c r="Y21" s="8">
        <v>100</v>
      </c>
      <c r="Z21" s="8">
        <v>75</v>
      </c>
      <c r="AA21" s="8">
        <v>85</v>
      </c>
      <c r="AB21" s="8">
        <v>105</v>
      </c>
    </row>
    <row r="22" spans="2:28" ht="15.75" x14ac:dyDescent="0.25">
      <c r="B22" s="2">
        <v>18</v>
      </c>
      <c r="D22" s="1">
        <v>85</v>
      </c>
      <c r="E22" s="1">
        <v>89</v>
      </c>
      <c r="F22" s="1">
        <v>79</v>
      </c>
      <c r="G22" s="1">
        <v>94</v>
      </c>
      <c r="H22" s="1">
        <v>83</v>
      </c>
      <c r="I22" s="1">
        <v>71</v>
      </c>
      <c r="J22" s="1">
        <v>91</v>
      </c>
      <c r="K22" s="1">
        <v>104</v>
      </c>
      <c r="L22" s="1">
        <v>85</v>
      </c>
      <c r="M22" s="1">
        <v>68</v>
      </c>
      <c r="N22" s="1">
        <v>80</v>
      </c>
      <c r="O22" s="1">
        <v>78</v>
      </c>
      <c r="P22" s="1">
        <v>72</v>
      </c>
      <c r="Q22" s="1">
        <v>81</v>
      </c>
      <c r="R22" s="1">
        <v>95</v>
      </c>
      <c r="S22" s="7">
        <v>110</v>
      </c>
      <c r="T22" s="9" t="s">
        <v>292</v>
      </c>
      <c r="U22" s="8">
        <v>110</v>
      </c>
      <c r="V22" s="8">
        <v>78</v>
      </c>
      <c r="W22" s="9" t="s">
        <v>292</v>
      </c>
      <c r="X22" s="8">
        <v>115</v>
      </c>
      <c r="Y22" s="8">
        <v>108</v>
      </c>
      <c r="Z22" s="8">
        <v>80</v>
      </c>
      <c r="AA22" s="8">
        <v>89</v>
      </c>
      <c r="AB22" s="8">
        <v>110</v>
      </c>
    </row>
    <row r="23" spans="2:28" ht="15.75" x14ac:dyDescent="0.25">
      <c r="B23" s="2">
        <v>19</v>
      </c>
      <c r="D23" s="1">
        <v>91</v>
      </c>
      <c r="E23" s="1">
        <v>94</v>
      </c>
      <c r="F23" s="1">
        <v>80</v>
      </c>
      <c r="G23" s="1">
        <v>98</v>
      </c>
      <c r="H23" s="1">
        <v>85</v>
      </c>
      <c r="I23" s="1">
        <v>72</v>
      </c>
      <c r="J23" s="1">
        <v>94</v>
      </c>
      <c r="K23" s="1">
        <v>108</v>
      </c>
      <c r="L23" s="1">
        <v>93</v>
      </c>
      <c r="M23" s="1">
        <v>71</v>
      </c>
      <c r="N23" s="1">
        <v>83</v>
      </c>
      <c r="O23" s="1">
        <v>80</v>
      </c>
      <c r="P23" s="1">
        <v>74</v>
      </c>
      <c r="Q23" s="1">
        <v>85</v>
      </c>
      <c r="R23" s="1">
        <v>98</v>
      </c>
      <c r="S23" s="7">
        <v>115</v>
      </c>
      <c r="T23" s="9" t="s">
        <v>292</v>
      </c>
      <c r="U23" s="8">
        <v>115</v>
      </c>
      <c r="V23" s="8">
        <v>80</v>
      </c>
      <c r="W23" s="9" t="s">
        <v>292</v>
      </c>
      <c r="X23" s="9" t="s">
        <v>292</v>
      </c>
      <c r="Y23" s="8">
        <v>115</v>
      </c>
      <c r="Z23" s="8">
        <v>85</v>
      </c>
      <c r="AA23" s="8">
        <v>94</v>
      </c>
      <c r="AB23" s="8">
        <v>115</v>
      </c>
    </row>
    <row r="24" spans="2:28" ht="15.75" x14ac:dyDescent="0.25">
      <c r="B24" s="2">
        <v>20</v>
      </c>
      <c r="D24" s="1">
        <v>97</v>
      </c>
      <c r="E24" s="1">
        <v>98</v>
      </c>
      <c r="F24" s="1">
        <v>81</v>
      </c>
      <c r="G24" s="1">
        <v>102</v>
      </c>
      <c r="H24" s="1">
        <v>88</v>
      </c>
      <c r="I24" s="1">
        <v>74</v>
      </c>
      <c r="J24" s="1">
        <v>97</v>
      </c>
      <c r="K24" s="1">
        <v>111</v>
      </c>
      <c r="L24" s="1">
        <v>100</v>
      </c>
      <c r="M24" s="1">
        <v>75</v>
      </c>
      <c r="N24" s="1">
        <v>85</v>
      </c>
      <c r="O24" s="1">
        <v>83</v>
      </c>
      <c r="P24" s="1">
        <v>75</v>
      </c>
      <c r="Q24" s="1">
        <v>89</v>
      </c>
      <c r="R24" s="1">
        <v>102</v>
      </c>
      <c r="S24" s="11" t="s">
        <v>292</v>
      </c>
      <c r="T24" s="9" t="s">
        <v>292</v>
      </c>
      <c r="U24" s="9" t="s">
        <v>292</v>
      </c>
      <c r="V24" s="8">
        <v>83</v>
      </c>
      <c r="W24" s="9" t="s">
        <v>292</v>
      </c>
      <c r="X24" s="9" t="s">
        <v>292</v>
      </c>
      <c r="Y24" s="9" t="s">
        <v>292</v>
      </c>
      <c r="Z24" s="8">
        <v>89</v>
      </c>
      <c r="AA24" s="8">
        <v>98</v>
      </c>
      <c r="AB24" s="9" t="s">
        <v>292</v>
      </c>
    </row>
    <row r="25" spans="2:28" ht="15.75" x14ac:dyDescent="0.25">
      <c r="B25" s="2">
        <v>21</v>
      </c>
      <c r="D25" s="1">
        <v>103</v>
      </c>
      <c r="E25" s="1">
        <v>102</v>
      </c>
      <c r="F25" s="1">
        <v>83</v>
      </c>
      <c r="G25" s="1">
        <v>106</v>
      </c>
      <c r="H25" s="1">
        <v>91</v>
      </c>
      <c r="I25" s="1">
        <v>75</v>
      </c>
      <c r="J25" s="1">
        <v>100</v>
      </c>
      <c r="K25" s="1">
        <v>115</v>
      </c>
      <c r="L25" s="1">
        <v>108</v>
      </c>
      <c r="M25" s="1">
        <v>80</v>
      </c>
      <c r="N25" s="1">
        <v>90</v>
      </c>
      <c r="O25" s="1">
        <v>85</v>
      </c>
      <c r="P25" s="1">
        <v>78</v>
      </c>
      <c r="Q25" s="1">
        <v>93</v>
      </c>
      <c r="R25" s="1">
        <v>105</v>
      </c>
      <c r="S25" s="11" t="s">
        <v>292</v>
      </c>
      <c r="T25" s="9" t="s">
        <v>292</v>
      </c>
      <c r="U25" s="9" t="s">
        <v>292</v>
      </c>
      <c r="V25" s="8">
        <v>85</v>
      </c>
      <c r="W25" s="9" t="s">
        <v>292</v>
      </c>
      <c r="X25" s="9" t="s">
        <v>292</v>
      </c>
      <c r="Y25" s="9" t="s">
        <v>292</v>
      </c>
      <c r="Z25" s="8">
        <v>93</v>
      </c>
      <c r="AA25" s="8">
        <v>102</v>
      </c>
      <c r="AB25" s="9" t="s">
        <v>292</v>
      </c>
    </row>
    <row r="26" spans="2:28" ht="15.75" x14ac:dyDescent="0.25">
      <c r="B26" s="2">
        <v>22</v>
      </c>
      <c r="D26" s="1">
        <v>109</v>
      </c>
      <c r="E26" s="1">
        <v>106</v>
      </c>
      <c r="F26" s="1">
        <v>84</v>
      </c>
      <c r="G26" s="1">
        <v>111</v>
      </c>
      <c r="H26" s="1">
        <v>94</v>
      </c>
      <c r="I26" s="1">
        <v>80</v>
      </c>
      <c r="J26" s="1">
        <v>103</v>
      </c>
      <c r="K26" s="9" t="s">
        <v>292</v>
      </c>
      <c r="L26" s="1">
        <v>115</v>
      </c>
      <c r="M26" s="1">
        <v>85</v>
      </c>
      <c r="N26" s="1">
        <v>95</v>
      </c>
      <c r="O26" s="1">
        <v>93</v>
      </c>
      <c r="P26" s="1">
        <v>82</v>
      </c>
      <c r="Q26" s="1">
        <v>96</v>
      </c>
      <c r="R26" s="1">
        <v>108</v>
      </c>
      <c r="S26" s="11" t="s">
        <v>292</v>
      </c>
      <c r="T26" s="9" t="s">
        <v>292</v>
      </c>
      <c r="U26" s="9" t="s">
        <v>292</v>
      </c>
      <c r="V26" s="8">
        <v>90</v>
      </c>
      <c r="W26" s="9" t="s">
        <v>292</v>
      </c>
      <c r="X26" s="9" t="s">
        <v>292</v>
      </c>
      <c r="Y26" s="9" t="s">
        <v>292</v>
      </c>
      <c r="Z26" s="8">
        <v>96</v>
      </c>
      <c r="AA26" s="8">
        <v>106</v>
      </c>
      <c r="AB26" s="9" t="s">
        <v>292</v>
      </c>
    </row>
    <row r="27" spans="2:28" ht="15.75" x14ac:dyDescent="0.25">
      <c r="B27" s="2">
        <v>23</v>
      </c>
      <c r="D27" s="1">
        <v>115</v>
      </c>
      <c r="E27" s="1">
        <v>111</v>
      </c>
      <c r="F27" s="1">
        <v>85</v>
      </c>
      <c r="G27" s="1">
        <v>115</v>
      </c>
      <c r="H27" s="1">
        <v>97</v>
      </c>
      <c r="I27" s="1">
        <v>85</v>
      </c>
      <c r="J27" s="1">
        <v>106</v>
      </c>
      <c r="K27" s="9" t="s">
        <v>292</v>
      </c>
      <c r="L27" s="9" t="s">
        <v>292</v>
      </c>
      <c r="M27" s="1">
        <v>100</v>
      </c>
      <c r="N27" s="1">
        <v>100</v>
      </c>
      <c r="O27" s="1">
        <v>100</v>
      </c>
      <c r="P27" s="1">
        <v>85</v>
      </c>
      <c r="Q27" s="1">
        <v>100</v>
      </c>
      <c r="R27" s="1">
        <v>112</v>
      </c>
      <c r="S27" s="11" t="s">
        <v>292</v>
      </c>
      <c r="T27" s="9" t="s">
        <v>292</v>
      </c>
      <c r="U27" s="9" t="s">
        <v>292</v>
      </c>
      <c r="V27" s="8">
        <v>95</v>
      </c>
      <c r="W27" s="9" t="s">
        <v>292</v>
      </c>
      <c r="X27" s="9" t="s">
        <v>292</v>
      </c>
      <c r="Y27" s="9" t="s">
        <v>292</v>
      </c>
      <c r="Z27" s="8">
        <v>100</v>
      </c>
      <c r="AA27" s="8">
        <v>111</v>
      </c>
      <c r="AB27" s="9" t="s">
        <v>292</v>
      </c>
    </row>
    <row r="28" spans="2:28" ht="15.75" x14ac:dyDescent="0.25">
      <c r="B28" s="2">
        <v>24</v>
      </c>
      <c r="D28" s="9" t="s">
        <v>292</v>
      </c>
      <c r="E28" s="1">
        <v>115</v>
      </c>
      <c r="F28" s="1">
        <v>91</v>
      </c>
      <c r="G28" s="9" t="s">
        <v>292</v>
      </c>
      <c r="H28" s="1">
        <v>100</v>
      </c>
      <c r="I28" s="1">
        <v>93</v>
      </c>
      <c r="J28" s="1">
        <v>109</v>
      </c>
      <c r="K28" s="9" t="s">
        <v>292</v>
      </c>
      <c r="L28" s="9" t="s">
        <v>292</v>
      </c>
      <c r="M28" s="9" t="s">
        <v>292</v>
      </c>
      <c r="N28" s="1">
        <v>105</v>
      </c>
      <c r="O28" s="1">
        <v>108</v>
      </c>
      <c r="P28" s="1">
        <v>90</v>
      </c>
      <c r="Q28" s="1">
        <v>104</v>
      </c>
      <c r="R28" s="1">
        <v>115</v>
      </c>
      <c r="S28" s="11" t="s">
        <v>292</v>
      </c>
      <c r="T28" s="9" t="s">
        <v>292</v>
      </c>
      <c r="U28" s="9" t="s">
        <v>292</v>
      </c>
      <c r="V28" s="8">
        <v>100</v>
      </c>
      <c r="W28" s="9" t="s">
        <v>292</v>
      </c>
      <c r="X28" s="9" t="s">
        <v>292</v>
      </c>
      <c r="Y28" s="9" t="s">
        <v>292</v>
      </c>
      <c r="Z28" s="8">
        <v>104</v>
      </c>
      <c r="AA28" s="8">
        <v>115</v>
      </c>
      <c r="AB28" s="9" t="s">
        <v>292</v>
      </c>
    </row>
    <row r="29" spans="2:28" ht="15.75" x14ac:dyDescent="0.25">
      <c r="B29" s="2">
        <v>25</v>
      </c>
      <c r="D29" s="9" t="s">
        <v>292</v>
      </c>
      <c r="E29" s="9" t="s">
        <v>292</v>
      </c>
      <c r="F29" s="1">
        <v>97</v>
      </c>
      <c r="G29" s="9" t="s">
        <v>292</v>
      </c>
      <c r="H29" s="9" t="s">
        <v>292</v>
      </c>
      <c r="I29" s="1">
        <v>100</v>
      </c>
      <c r="J29" s="1">
        <v>112</v>
      </c>
      <c r="K29" s="9" t="s">
        <v>292</v>
      </c>
      <c r="L29" s="9" t="s">
        <v>292</v>
      </c>
      <c r="M29" s="9" t="s">
        <v>292</v>
      </c>
      <c r="N29" s="1">
        <v>110</v>
      </c>
      <c r="O29" s="1">
        <v>115</v>
      </c>
      <c r="P29" s="1">
        <v>95</v>
      </c>
      <c r="Q29" s="1">
        <v>108</v>
      </c>
      <c r="R29" s="9" t="s">
        <v>292</v>
      </c>
      <c r="S29" s="11" t="s">
        <v>292</v>
      </c>
      <c r="T29" s="9" t="s">
        <v>292</v>
      </c>
      <c r="U29" s="9" t="s">
        <v>292</v>
      </c>
      <c r="V29" s="8">
        <v>105</v>
      </c>
      <c r="W29" s="9" t="s">
        <v>292</v>
      </c>
      <c r="X29" s="9" t="s">
        <v>292</v>
      </c>
      <c r="Y29" s="9" t="s">
        <v>292</v>
      </c>
      <c r="Z29" s="1">
        <v>108</v>
      </c>
      <c r="AA29" s="9" t="s">
        <v>292</v>
      </c>
      <c r="AB29" s="9" t="s">
        <v>292</v>
      </c>
    </row>
    <row r="30" spans="2:28" ht="15.75" x14ac:dyDescent="0.25">
      <c r="B30" s="2">
        <v>26</v>
      </c>
      <c r="D30" s="9" t="s">
        <v>292</v>
      </c>
      <c r="E30" s="9" t="s">
        <v>292</v>
      </c>
      <c r="F30" s="1">
        <v>103</v>
      </c>
      <c r="G30" s="9" t="s">
        <v>292</v>
      </c>
      <c r="H30" s="9" t="s">
        <v>292</v>
      </c>
      <c r="I30" s="9" t="s">
        <v>292</v>
      </c>
      <c r="J30" s="1">
        <v>115</v>
      </c>
      <c r="K30" s="9" t="s">
        <v>292</v>
      </c>
      <c r="L30" s="9" t="s">
        <v>292</v>
      </c>
      <c r="M30" s="9" t="s">
        <v>292</v>
      </c>
      <c r="N30" s="1">
        <v>115</v>
      </c>
      <c r="O30" s="9" t="s">
        <v>292</v>
      </c>
      <c r="P30" s="1">
        <v>100</v>
      </c>
      <c r="Q30" s="1">
        <v>111</v>
      </c>
      <c r="R30" s="9" t="s">
        <v>292</v>
      </c>
      <c r="S30" s="11" t="s">
        <v>292</v>
      </c>
      <c r="T30" s="9" t="s">
        <v>292</v>
      </c>
      <c r="U30" s="9" t="s">
        <v>292</v>
      </c>
      <c r="V30" s="8">
        <v>110</v>
      </c>
      <c r="W30" s="9" t="s">
        <v>292</v>
      </c>
      <c r="X30" s="9" t="s">
        <v>292</v>
      </c>
      <c r="Y30" s="9" t="s">
        <v>292</v>
      </c>
      <c r="Z30" s="8">
        <v>111</v>
      </c>
      <c r="AA30" s="9" t="s">
        <v>292</v>
      </c>
      <c r="AB30" s="9" t="s">
        <v>292</v>
      </c>
    </row>
    <row r="31" spans="2:28" ht="15.75" x14ac:dyDescent="0.25">
      <c r="B31" s="2">
        <v>27</v>
      </c>
      <c r="D31" s="9" t="s">
        <v>292</v>
      </c>
      <c r="E31" s="9" t="s">
        <v>292</v>
      </c>
      <c r="F31" s="1">
        <v>109</v>
      </c>
      <c r="G31" s="9" t="s">
        <v>292</v>
      </c>
      <c r="H31" s="9" t="s">
        <v>292</v>
      </c>
      <c r="I31" s="9" t="s">
        <v>292</v>
      </c>
      <c r="J31" s="9" t="s">
        <v>292</v>
      </c>
      <c r="K31" s="9" t="s">
        <v>292</v>
      </c>
      <c r="L31" s="9" t="s">
        <v>292</v>
      </c>
      <c r="M31" s="9" t="s">
        <v>292</v>
      </c>
      <c r="N31" s="9" t="s">
        <v>292</v>
      </c>
      <c r="O31" s="9" t="s">
        <v>292</v>
      </c>
      <c r="P31" s="1">
        <v>105</v>
      </c>
      <c r="Q31" s="1">
        <v>115</v>
      </c>
      <c r="R31" s="9" t="s">
        <v>292</v>
      </c>
      <c r="S31" s="11" t="s">
        <v>292</v>
      </c>
      <c r="T31" s="9" t="s">
        <v>292</v>
      </c>
      <c r="U31" s="9" t="s">
        <v>292</v>
      </c>
      <c r="V31" s="8">
        <v>115</v>
      </c>
      <c r="W31" s="9" t="s">
        <v>292</v>
      </c>
      <c r="X31" s="9" t="s">
        <v>292</v>
      </c>
      <c r="Y31" s="9" t="s">
        <v>292</v>
      </c>
      <c r="Z31" s="8">
        <v>115</v>
      </c>
      <c r="AA31" s="9" t="s">
        <v>292</v>
      </c>
      <c r="AB31" s="9" t="s">
        <v>292</v>
      </c>
    </row>
    <row r="32" spans="2:28" ht="15.75" x14ac:dyDescent="0.25">
      <c r="B32" s="2">
        <v>28</v>
      </c>
      <c r="D32" s="9" t="s">
        <v>292</v>
      </c>
      <c r="E32" s="9" t="s">
        <v>292</v>
      </c>
      <c r="F32" s="1">
        <v>115</v>
      </c>
      <c r="G32" s="9" t="s">
        <v>292</v>
      </c>
      <c r="H32" s="9" t="s">
        <v>292</v>
      </c>
      <c r="I32" s="9" t="s">
        <v>292</v>
      </c>
      <c r="J32" s="9" t="s">
        <v>292</v>
      </c>
      <c r="K32" s="9" t="s">
        <v>292</v>
      </c>
      <c r="L32" s="9" t="s">
        <v>292</v>
      </c>
      <c r="M32" s="9" t="s">
        <v>292</v>
      </c>
      <c r="N32" s="9" t="s">
        <v>292</v>
      </c>
      <c r="O32" s="9" t="s">
        <v>292</v>
      </c>
      <c r="P32" s="1">
        <v>110</v>
      </c>
      <c r="Q32" s="9" t="s">
        <v>292</v>
      </c>
      <c r="R32" s="9" t="s">
        <v>292</v>
      </c>
      <c r="S32" s="11" t="s">
        <v>292</v>
      </c>
      <c r="T32" s="9" t="s">
        <v>292</v>
      </c>
      <c r="U32" s="9" t="s">
        <v>292</v>
      </c>
      <c r="V32" s="9" t="s">
        <v>292</v>
      </c>
      <c r="W32" s="9" t="s">
        <v>292</v>
      </c>
      <c r="X32" s="9" t="s">
        <v>292</v>
      </c>
      <c r="Y32" s="9" t="s">
        <v>292</v>
      </c>
      <c r="Z32" s="9" t="s">
        <v>292</v>
      </c>
      <c r="AA32" s="9" t="s">
        <v>292</v>
      </c>
      <c r="AB32" s="9" t="s">
        <v>292</v>
      </c>
    </row>
    <row r="33" spans="2:28" ht="15.75" x14ac:dyDescent="0.25">
      <c r="B33" s="2">
        <v>29</v>
      </c>
      <c r="D33" s="9" t="s">
        <v>292</v>
      </c>
      <c r="E33" s="9" t="s">
        <v>292</v>
      </c>
      <c r="F33" s="9" t="s">
        <v>292</v>
      </c>
      <c r="G33" s="9" t="s">
        <v>292</v>
      </c>
      <c r="H33" s="9" t="s">
        <v>292</v>
      </c>
      <c r="I33" s="9" t="s">
        <v>292</v>
      </c>
      <c r="J33" s="9" t="s">
        <v>292</v>
      </c>
      <c r="K33" s="9" t="s">
        <v>292</v>
      </c>
      <c r="L33" s="9" t="s">
        <v>292</v>
      </c>
      <c r="M33" s="9" t="s">
        <v>292</v>
      </c>
      <c r="N33" s="9" t="s">
        <v>292</v>
      </c>
      <c r="O33" s="9" t="s">
        <v>292</v>
      </c>
      <c r="P33" s="1">
        <v>115</v>
      </c>
      <c r="Q33" s="9" t="s">
        <v>292</v>
      </c>
      <c r="R33" s="9" t="s">
        <v>292</v>
      </c>
      <c r="S33" s="11" t="s">
        <v>292</v>
      </c>
      <c r="T33" s="9" t="s">
        <v>292</v>
      </c>
      <c r="U33" s="9" t="s">
        <v>292</v>
      </c>
      <c r="V33" s="9" t="s">
        <v>292</v>
      </c>
      <c r="W33" s="9" t="s">
        <v>292</v>
      </c>
      <c r="X33" s="9" t="s">
        <v>292</v>
      </c>
      <c r="Y33" s="9" t="s">
        <v>292</v>
      </c>
      <c r="Z33" s="9" t="s">
        <v>292</v>
      </c>
      <c r="AA33" s="9" t="s">
        <v>292</v>
      </c>
      <c r="AB33" s="9" t="s">
        <v>292</v>
      </c>
    </row>
  </sheetData>
  <mergeCells count="1">
    <mergeCell ref="A2:AB2"/>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2:BD102"/>
  <sheetViews>
    <sheetView zoomScale="70" zoomScaleNormal="70" workbookViewId="0">
      <pane ySplit="825" activePane="bottomLeft"/>
      <selection activeCell="U1" sqref="T1:U1048576"/>
      <selection pane="bottomLeft" activeCell="AY103" sqref="AY103"/>
    </sheetView>
  </sheetViews>
  <sheetFormatPr baseColWidth="10" defaultColWidth="4.7109375" defaultRowHeight="15" x14ac:dyDescent="0.25"/>
  <cols>
    <col min="1" max="3" width="4.140625" style="1" customWidth="1"/>
    <col min="4" max="11" width="4.7109375" style="1" hidden="1" customWidth="1"/>
    <col min="12" max="12" width="5" style="1" hidden="1" customWidth="1"/>
    <col min="13" max="13" width="4.7109375" style="1" hidden="1" customWidth="1"/>
    <col min="14" max="15" width="0" style="1" hidden="1" customWidth="1"/>
    <col min="16" max="17" width="6.28515625" style="1" hidden="1" customWidth="1"/>
    <col min="18" max="21" width="0" style="1" hidden="1" customWidth="1"/>
    <col min="22" max="16384" width="4.7109375" style="1"/>
  </cols>
  <sheetData>
    <row r="2" spans="1:56" x14ac:dyDescent="0.25">
      <c r="A2" s="176" t="s">
        <v>290</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row>
    <row r="3" spans="1:56" ht="15" customHeight="1" x14ac:dyDescent="0.25">
      <c r="A3" s="181" t="s">
        <v>291</v>
      </c>
      <c r="B3" s="181"/>
      <c r="C3" s="181"/>
      <c r="D3" s="178">
        <v>1</v>
      </c>
      <c r="E3" s="178"/>
      <c r="F3" s="178" t="s">
        <v>200</v>
      </c>
      <c r="G3" s="178"/>
      <c r="H3" s="178" t="s">
        <v>201</v>
      </c>
      <c r="I3" s="178"/>
      <c r="J3" s="178">
        <v>3</v>
      </c>
      <c r="K3" s="178"/>
      <c r="L3" s="178" t="s">
        <v>211</v>
      </c>
      <c r="M3" s="178"/>
      <c r="N3" s="178" t="s">
        <v>213</v>
      </c>
      <c r="O3" s="178"/>
      <c r="P3" s="178">
        <v>5</v>
      </c>
      <c r="Q3" s="178"/>
      <c r="R3" s="178" t="s">
        <v>202</v>
      </c>
      <c r="S3" s="178"/>
      <c r="T3" s="178" t="s">
        <v>203</v>
      </c>
      <c r="U3" s="178"/>
      <c r="V3" s="178">
        <v>7</v>
      </c>
      <c r="W3" s="178"/>
      <c r="X3" s="178" t="s">
        <v>204</v>
      </c>
      <c r="Y3" s="178"/>
      <c r="Z3" s="178" t="s">
        <v>205</v>
      </c>
      <c r="AA3" s="178"/>
      <c r="AB3" s="178" t="s">
        <v>197</v>
      </c>
      <c r="AC3" s="178"/>
      <c r="AD3" s="178" t="s">
        <v>198</v>
      </c>
      <c r="AE3" s="178"/>
      <c r="AF3" s="178" t="s">
        <v>199</v>
      </c>
      <c r="AG3" s="179"/>
      <c r="AH3" s="180" t="s">
        <v>224</v>
      </c>
      <c r="AI3" s="177"/>
      <c r="AJ3" s="177" t="s">
        <v>225</v>
      </c>
      <c r="AK3" s="177"/>
      <c r="AL3" s="177" t="s">
        <v>232</v>
      </c>
      <c r="AM3" s="177"/>
      <c r="AN3" s="177" t="s">
        <v>226</v>
      </c>
      <c r="AO3" s="177"/>
      <c r="AP3" s="177" t="s">
        <v>227</v>
      </c>
      <c r="AQ3" s="177"/>
      <c r="AR3" s="177" t="s">
        <v>228</v>
      </c>
      <c r="AS3" s="177"/>
      <c r="AT3" s="177" t="s">
        <v>229</v>
      </c>
      <c r="AU3" s="177"/>
      <c r="AV3" s="177" t="s">
        <v>238</v>
      </c>
      <c r="AW3" s="177"/>
      <c r="AX3" s="177" t="s">
        <v>240</v>
      </c>
      <c r="AY3" s="177"/>
      <c r="AZ3" s="177" t="s">
        <v>242</v>
      </c>
      <c r="BA3" s="177"/>
    </row>
    <row r="4" spans="1:56" ht="15.75" x14ac:dyDescent="0.25">
      <c r="B4" s="2">
        <v>1</v>
      </c>
      <c r="V4" s="1">
        <v>0</v>
      </c>
      <c r="W4" s="1">
        <v>19</v>
      </c>
      <c r="AH4" s="7"/>
      <c r="AI4" s="8"/>
      <c r="AJ4" s="8"/>
      <c r="AK4" s="8"/>
      <c r="AL4" s="8"/>
      <c r="AM4" s="8"/>
      <c r="AN4" s="8"/>
      <c r="AO4" s="8"/>
      <c r="AP4" s="8"/>
      <c r="AQ4" s="8"/>
      <c r="AR4" s="8"/>
      <c r="AS4" s="8"/>
      <c r="AT4" s="8"/>
      <c r="AU4" s="8"/>
      <c r="AV4" s="8"/>
      <c r="AW4" s="8"/>
      <c r="AX4" s="8"/>
      <c r="AY4" s="8"/>
      <c r="AZ4" s="8"/>
      <c r="BD4" s="2">
        <v>1</v>
      </c>
    </row>
    <row r="5" spans="1:56" ht="15.75" x14ac:dyDescent="0.25">
      <c r="B5" s="2">
        <v>2</v>
      </c>
      <c r="D5" s="1">
        <v>0</v>
      </c>
      <c r="E5" s="1">
        <v>6</v>
      </c>
      <c r="F5" s="1">
        <v>0</v>
      </c>
      <c r="G5" s="1">
        <v>5</v>
      </c>
      <c r="J5" s="1">
        <v>0</v>
      </c>
      <c r="K5" s="1">
        <v>5</v>
      </c>
      <c r="V5" s="1">
        <v>20</v>
      </c>
      <c r="W5" s="1">
        <v>24</v>
      </c>
      <c r="AH5" s="7"/>
      <c r="AI5" s="8"/>
      <c r="AJ5" s="8"/>
      <c r="AK5" s="8"/>
      <c r="AL5" s="8"/>
      <c r="AM5" s="8"/>
      <c r="AN5" s="8"/>
      <c r="AO5" s="8"/>
      <c r="AP5" s="8"/>
      <c r="AQ5" s="8"/>
      <c r="AR5" s="8"/>
      <c r="AS5" s="8"/>
      <c r="AT5" s="8"/>
      <c r="AU5" s="8"/>
      <c r="AV5" s="8"/>
      <c r="AW5" s="8"/>
      <c r="AX5" s="8"/>
      <c r="AY5" s="8"/>
      <c r="AZ5" s="8"/>
      <c r="BD5" s="2">
        <v>2</v>
      </c>
    </row>
    <row r="6" spans="1:56" ht="15.75" x14ac:dyDescent="0.25">
      <c r="B6" s="2">
        <v>3</v>
      </c>
      <c r="D6" s="9" t="s">
        <v>292</v>
      </c>
      <c r="F6" s="9" t="s">
        <v>292</v>
      </c>
      <c r="J6" s="1">
        <v>6</v>
      </c>
      <c r="K6" s="1">
        <v>9</v>
      </c>
      <c r="V6" s="1">
        <v>25</v>
      </c>
      <c r="W6" s="1">
        <v>28</v>
      </c>
      <c r="X6" s="1">
        <v>0</v>
      </c>
      <c r="Y6" s="1">
        <v>0</v>
      </c>
      <c r="AH6" s="7"/>
      <c r="AI6" s="8"/>
      <c r="AJ6" s="8"/>
      <c r="AK6" s="8"/>
      <c r="AL6" s="8">
        <v>0</v>
      </c>
      <c r="AM6" s="8">
        <v>0</v>
      </c>
      <c r="AN6" s="8">
        <v>0</v>
      </c>
      <c r="AO6" s="8">
        <v>0</v>
      </c>
      <c r="AP6" s="8"/>
      <c r="AQ6" s="8"/>
      <c r="AR6" s="8"/>
      <c r="AS6" s="8"/>
      <c r="AT6" s="8"/>
      <c r="AU6" s="8"/>
      <c r="AV6" s="8">
        <v>0</v>
      </c>
      <c r="AW6" s="8">
        <v>0</v>
      </c>
      <c r="AX6" s="8"/>
      <c r="AY6" s="8"/>
      <c r="AZ6" s="8"/>
      <c r="BD6" s="2">
        <v>3</v>
      </c>
    </row>
    <row r="7" spans="1:56" ht="15.75" x14ac:dyDescent="0.25">
      <c r="B7" s="2">
        <v>4</v>
      </c>
      <c r="D7" s="9" t="s">
        <v>292</v>
      </c>
      <c r="F7" s="9" t="s">
        <v>292</v>
      </c>
      <c r="J7" s="1">
        <v>10</v>
      </c>
      <c r="K7" s="1">
        <v>11</v>
      </c>
      <c r="L7" s="1">
        <v>0</v>
      </c>
      <c r="M7" s="1">
        <v>5</v>
      </c>
      <c r="N7" s="1">
        <v>0</v>
      </c>
      <c r="O7" s="1">
        <v>4</v>
      </c>
      <c r="V7" s="1">
        <v>29</v>
      </c>
      <c r="W7" s="1">
        <v>29</v>
      </c>
      <c r="X7" s="1">
        <v>1</v>
      </c>
      <c r="Y7" s="1">
        <v>1</v>
      </c>
      <c r="AB7" s="1">
        <v>0</v>
      </c>
      <c r="AC7" s="1">
        <v>0</v>
      </c>
      <c r="AD7" s="1">
        <v>0</v>
      </c>
      <c r="AE7" s="1">
        <v>0</v>
      </c>
      <c r="AH7" s="7"/>
      <c r="AI7" s="8"/>
      <c r="AJ7" s="8"/>
      <c r="AK7" s="8"/>
      <c r="AL7" s="8">
        <v>1</v>
      </c>
      <c r="AM7" s="8">
        <v>9</v>
      </c>
      <c r="AN7" s="8">
        <v>1</v>
      </c>
      <c r="AO7" s="8">
        <v>4</v>
      </c>
      <c r="AP7" s="8"/>
      <c r="AQ7" s="8"/>
      <c r="AR7" s="8"/>
      <c r="AS7" s="8"/>
      <c r="AT7" s="8"/>
      <c r="AU7" s="8"/>
      <c r="AV7" s="8">
        <v>1</v>
      </c>
      <c r="AW7" s="8">
        <v>1</v>
      </c>
      <c r="AX7" s="8"/>
      <c r="AY7" s="8"/>
      <c r="AZ7" s="8"/>
      <c r="BD7" s="2">
        <v>4</v>
      </c>
    </row>
    <row r="8" spans="1:56" ht="15.75" x14ac:dyDescent="0.25">
      <c r="B8" s="2">
        <v>5</v>
      </c>
      <c r="D8" s="1">
        <v>7</v>
      </c>
      <c r="E8" s="1">
        <v>12</v>
      </c>
      <c r="F8" s="1">
        <v>6</v>
      </c>
      <c r="G8" s="1">
        <v>7</v>
      </c>
      <c r="H8" s="1">
        <v>0</v>
      </c>
      <c r="I8" s="1">
        <v>0</v>
      </c>
      <c r="J8" s="9" t="s">
        <v>292</v>
      </c>
      <c r="L8" s="9" t="s">
        <v>292</v>
      </c>
      <c r="N8" s="1">
        <v>5</v>
      </c>
      <c r="O8" s="1">
        <v>5</v>
      </c>
      <c r="V8" s="1">
        <v>30</v>
      </c>
      <c r="W8" s="1">
        <v>31</v>
      </c>
      <c r="X8" s="1">
        <v>2</v>
      </c>
      <c r="Y8" s="1">
        <v>2</v>
      </c>
      <c r="Z8" s="1">
        <v>0</v>
      </c>
      <c r="AA8" s="1">
        <v>2</v>
      </c>
      <c r="AB8" s="1">
        <v>1</v>
      </c>
      <c r="AC8" s="1">
        <v>1</v>
      </c>
      <c r="AD8" s="9" t="s">
        <v>292</v>
      </c>
      <c r="AH8" s="7">
        <v>0</v>
      </c>
      <c r="AI8" s="8">
        <v>1</v>
      </c>
      <c r="AJ8" s="8"/>
      <c r="AK8" s="8"/>
      <c r="AL8" s="10" t="s">
        <v>292</v>
      </c>
      <c r="AM8" s="8"/>
      <c r="AN8" s="10" t="s">
        <v>292</v>
      </c>
      <c r="AO8" s="8"/>
      <c r="AP8" s="8"/>
      <c r="AQ8" s="8"/>
      <c r="AR8" s="8"/>
      <c r="AS8" s="8"/>
      <c r="AT8" s="8"/>
      <c r="AU8" s="8"/>
      <c r="AV8" s="8">
        <v>2</v>
      </c>
      <c r="AW8" s="8">
        <v>6</v>
      </c>
      <c r="AX8" s="8"/>
      <c r="AY8" s="8"/>
      <c r="AZ8" s="8"/>
      <c r="BD8" s="2">
        <v>5</v>
      </c>
    </row>
    <row r="9" spans="1:56" ht="15.75" x14ac:dyDescent="0.25">
      <c r="B9" s="2">
        <v>6</v>
      </c>
      <c r="D9" s="9" t="s">
        <v>292</v>
      </c>
      <c r="F9" s="1">
        <v>8</v>
      </c>
      <c r="G9" s="1">
        <v>11</v>
      </c>
      <c r="H9" s="1">
        <v>1</v>
      </c>
      <c r="I9" s="1">
        <v>2</v>
      </c>
      <c r="J9" s="9" t="s">
        <v>292</v>
      </c>
      <c r="L9" s="9" t="s">
        <v>292</v>
      </c>
      <c r="N9" s="9" t="s">
        <v>292</v>
      </c>
      <c r="T9" s="1">
        <v>0</v>
      </c>
      <c r="U9" s="1">
        <v>0</v>
      </c>
      <c r="V9" s="1">
        <v>32</v>
      </c>
      <c r="W9" s="1">
        <v>33</v>
      </c>
      <c r="X9" s="1">
        <v>3</v>
      </c>
      <c r="Y9" s="1">
        <v>6</v>
      </c>
      <c r="Z9" s="1">
        <v>3</v>
      </c>
      <c r="AA9" s="1">
        <v>7</v>
      </c>
      <c r="AB9" s="1">
        <v>2</v>
      </c>
      <c r="AC9" s="1">
        <v>5</v>
      </c>
      <c r="AD9" s="1">
        <v>1</v>
      </c>
      <c r="AE9" s="1">
        <v>4</v>
      </c>
      <c r="AH9" s="7">
        <v>2</v>
      </c>
      <c r="AI9" s="8">
        <v>7</v>
      </c>
      <c r="AJ9" s="8"/>
      <c r="AK9" s="8"/>
      <c r="AL9" s="10" t="s">
        <v>292</v>
      </c>
      <c r="AM9" s="8"/>
      <c r="AN9" s="10" t="s">
        <v>292</v>
      </c>
      <c r="AO9" s="8"/>
      <c r="AP9" s="8"/>
      <c r="AQ9" s="8"/>
      <c r="AR9" s="8"/>
      <c r="AS9" s="8"/>
      <c r="AT9" s="8"/>
      <c r="AU9" s="8"/>
      <c r="AV9" s="10" t="s">
        <v>292</v>
      </c>
      <c r="AW9" s="8"/>
      <c r="AX9" s="8"/>
      <c r="AY9" s="8"/>
      <c r="AZ9" s="8"/>
      <c r="BD9" s="2">
        <v>6</v>
      </c>
    </row>
    <row r="10" spans="1:56" ht="15.75" x14ac:dyDescent="0.25">
      <c r="B10" s="2">
        <v>7</v>
      </c>
      <c r="D10" s="9" t="s">
        <v>292</v>
      </c>
      <c r="F10" s="9" t="s">
        <v>292</v>
      </c>
      <c r="H10" s="1">
        <v>3</v>
      </c>
      <c r="I10" s="1">
        <v>4</v>
      </c>
      <c r="J10" s="1">
        <v>12</v>
      </c>
      <c r="K10" s="1">
        <v>14</v>
      </c>
      <c r="L10" s="1">
        <v>6</v>
      </c>
      <c r="M10" s="1">
        <v>6</v>
      </c>
      <c r="N10" s="1">
        <v>6</v>
      </c>
      <c r="O10" s="1">
        <v>6</v>
      </c>
      <c r="T10" s="1">
        <v>1</v>
      </c>
      <c r="U10" s="1">
        <v>1</v>
      </c>
      <c r="V10" s="9" t="s">
        <v>292</v>
      </c>
      <c r="X10" s="9" t="s">
        <v>292</v>
      </c>
      <c r="Z10" s="9" t="s">
        <v>292</v>
      </c>
      <c r="AB10" s="9" t="s">
        <v>292</v>
      </c>
      <c r="AD10" s="1">
        <v>5</v>
      </c>
      <c r="AE10" s="1">
        <v>7</v>
      </c>
      <c r="AF10" s="1">
        <v>0</v>
      </c>
      <c r="AG10" s="1">
        <v>0</v>
      </c>
      <c r="AH10" s="11" t="s">
        <v>292</v>
      </c>
      <c r="AI10" s="8"/>
      <c r="AJ10" s="8"/>
      <c r="AK10" s="8"/>
      <c r="AL10" s="10" t="s">
        <v>292</v>
      </c>
      <c r="AM10" s="8"/>
      <c r="AN10" s="10" t="s">
        <v>292</v>
      </c>
      <c r="AO10" s="8"/>
      <c r="AP10" s="8"/>
      <c r="AQ10" s="8"/>
      <c r="AR10" s="8"/>
      <c r="AS10" s="8"/>
      <c r="AT10" s="8"/>
      <c r="AU10" s="8"/>
      <c r="AV10" s="10" t="s">
        <v>292</v>
      </c>
      <c r="AW10" s="8"/>
      <c r="AX10" s="8"/>
      <c r="AY10" s="8"/>
      <c r="AZ10" s="8"/>
      <c r="BD10" s="2">
        <v>7</v>
      </c>
    </row>
    <row r="11" spans="1:56" ht="15.75" x14ac:dyDescent="0.25">
      <c r="B11" s="2">
        <v>8</v>
      </c>
      <c r="D11" s="9" t="s">
        <v>292</v>
      </c>
      <c r="F11" s="9" t="s">
        <v>292</v>
      </c>
      <c r="H11" s="1">
        <v>5</v>
      </c>
      <c r="I11" s="1">
        <v>6</v>
      </c>
      <c r="J11" s="1">
        <v>15</v>
      </c>
      <c r="K11" s="1">
        <v>17</v>
      </c>
      <c r="L11" s="9" t="s">
        <v>292</v>
      </c>
      <c r="N11" s="1">
        <v>7</v>
      </c>
      <c r="O11" s="1">
        <v>10</v>
      </c>
      <c r="T11" s="1">
        <v>2</v>
      </c>
      <c r="U11" s="1">
        <v>9</v>
      </c>
      <c r="V11" s="9" t="s">
        <v>292</v>
      </c>
      <c r="X11" s="9" t="s">
        <v>292</v>
      </c>
      <c r="Z11" s="9" t="s">
        <v>292</v>
      </c>
      <c r="AB11" s="9" t="s">
        <v>292</v>
      </c>
      <c r="AD11" s="9" t="s">
        <v>292</v>
      </c>
      <c r="AF11" s="9" t="s">
        <v>292</v>
      </c>
      <c r="AH11" s="11" t="s">
        <v>292</v>
      </c>
      <c r="AI11" s="8"/>
      <c r="AJ11" s="8"/>
      <c r="AK11" s="8"/>
      <c r="AL11" s="8">
        <v>10</v>
      </c>
      <c r="AM11" s="8">
        <v>10</v>
      </c>
      <c r="AN11" s="8">
        <v>5</v>
      </c>
      <c r="AO11" s="8">
        <v>6</v>
      </c>
      <c r="AP11" s="8"/>
      <c r="AQ11" s="8"/>
      <c r="AR11" s="8"/>
      <c r="AS11" s="8"/>
      <c r="AT11" s="8">
        <v>0</v>
      </c>
      <c r="AU11" s="8">
        <v>0</v>
      </c>
      <c r="AV11" s="8">
        <v>7</v>
      </c>
      <c r="AW11" s="8">
        <v>8</v>
      </c>
      <c r="AX11" s="8"/>
      <c r="AY11" s="8"/>
      <c r="AZ11" s="8"/>
      <c r="BD11" s="2">
        <v>8</v>
      </c>
    </row>
    <row r="12" spans="1:56" ht="15.75" x14ac:dyDescent="0.25">
      <c r="B12" s="2">
        <v>9</v>
      </c>
      <c r="D12" s="1">
        <v>13</v>
      </c>
      <c r="E12" s="1">
        <v>19</v>
      </c>
      <c r="F12" s="9" t="s">
        <v>292</v>
      </c>
      <c r="H12" s="1">
        <v>7</v>
      </c>
      <c r="I12" s="1">
        <v>9</v>
      </c>
      <c r="J12" s="1">
        <v>18</v>
      </c>
      <c r="K12" s="1">
        <v>18</v>
      </c>
      <c r="L12" s="1">
        <v>7</v>
      </c>
      <c r="M12" s="1">
        <v>8</v>
      </c>
      <c r="N12" s="1">
        <v>11</v>
      </c>
      <c r="O12" s="1">
        <v>11</v>
      </c>
      <c r="T12" s="9" t="s">
        <v>292</v>
      </c>
      <c r="V12" s="1">
        <v>34</v>
      </c>
      <c r="W12" s="1">
        <v>36</v>
      </c>
      <c r="X12" s="1">
        <v>7</v>
      </c>
      <c r="Y12" s="1">
        <v>8</v>
      </c>
      <c r="Z12" s="9" t="s">
        <v>292</v>
      </c>
      <c r="AB12" s="1">
        <v>6</v>
      </c>
      <c r="AC12" s="1">
        <v>7</v>
      </c>
      <c r="AD12" s="9" t="s">
        <v>292</v>
      </c>
      <c r="AF12" s="1">
        <v>1</v>
      </c>
      <c r="AG12" s="1">
        <v>1</v>
      </c>
      <c r="AH12" s="11" t="s">
        <v>292</v>
      </c>
      <c r="AI12" s="8"/>
      <c r="AJ12" s="8"/>
      <c r="AK12" s="8"/>
      <c r="AL12" s="8">
        <v>11</v>
      </c>
      <c r="AM12" s="8">
        <v>19</v>
      </c>
      <c r="AN12" s="8">
        <v>7</v>
      </c>
      <c r="AO12" s="8">
        <v>9</v>
      </c>
      <c r="AP12" s="8"/>
      <c r="AQ12" s="8"/>
      <c r="AR12" s="8"/>
      <c r="AS12" s="8"/>
      <c r="AT12" s="8">
        <v>1</v>
      </c>
      <c r="AU12" s="8">
        <v>1</v>
      </c>
      <c r="AV12" s="8">
        <v>9</v>
      </c>
      <c r="AW12" s="8">
        <v>12</v>
      </c>
      <c r="AX12" s="8"/>
      <c r="AY12" s="8"/>
      <c r="AZ12" s="8"/>
      <c r="BD12" s="2">
        <v>9</v>
      </c>
    </row>
    <row r="13" spans="1:56" ht="15.75" x14ac:dyDescent="0.25">
      <c r="B13" s="2">
        <v>10</v>
      </c>
      <c r="D13" s="9" t="s">
        <v>292</v>
      </c>
      <c r="F13" s="1">
        <v>12</v>
      </c>
      <c r="G13" s="1">
        <v>17</v>
      </c>
      <c r="H13" s="9" t="s">
        <v>292</v>
      </c>
      <c r="J13" s="1">
        <v>19</v>
      </c>
      <c r="K13" s="1">
        <v>23</v>
      </c>
      <c r="L13" s="9">
        <v>9</v>
      </c>
      <c r="M13" s="1">
        <v>11</v>
      </c>
      <c r="N13" s="9" t="s">
        <v>292</v>
      </c>
      <c r="P13" s="1">
        <v>0</v>
      </c>
      <c r="Q13" s="1">
        <v>0</v>
      </c>
      <c r="T13" s="9" t="s">
        <v>292</v>
      </c>
      <c r="V13" s="1">
        <v>37</v>
      </c>
      <c r="W13" s="1">
        <v>37</v>
      </c>
      <c r="X13" s="1">
        <v>9</v>
      </c>
      <c r="Y13" s="1">
        <v>12</v>
      </c>
      <c r="Z13" s="1">
        <v>8</v>
      </c>
      <c r="AA13" s="1">
        <v>10</v>
      </c>
      <c r="AB13" s="1">
        <v>8</v>
      </c>
      <c r="AC13" s="1">
        <v>11</v>
      </c>
      <c r="AD13" s="9" t="s">
        <v>292</v>
      </c>
      <c r="AF13" s="1">
        <v>2</v>
      </c>
      <c r="AG13" s="1">
        <v>8</v>
      </c>
      <c r="AH13" s="7">
        <v>8</v>
      </c>
      <c r="AI13" s="8">
        <v>14</v>
      </c>
      <c r="AJ13" s="8"/>
      <c r="AK13" s="8"/>
      <c r="AL13" s="10" t="s">
        <v>292</v>
      </c>
      <c r="AM13" s="8"/>
      <c r="AN13" s="10" t="s">
        <v>292</v>
      </c>
      <c r="AO13" s="8"/>
      <c r="AP13" s="8"/>
      <c r="AQ13" s="8"/>
      <c r="AR13" s="8"/>
      <c r="AS13" s="8"/>
      <c r="AT13" s="8">
        <v>2</v>
      </c>
      <c r="AU13" s="8">
        <v>11</v>
      </c>
      <c r="AV13" s="10" t="s">
        <v>292</v>
      </c>
      <c r="AW13" s="8"/>
      <c r="AX13" s="8"/>
      <c r="AY13" s="8"/>
      <c r="AZ13" s="8"/>
      <c r="BD13" s="2">
        <v>10</v>
      </c>
    </row>
    <row r="14" spans="1:56" ht="15.75" x14ac:dyDescent="0.25">
      <c r="B14" s="2">
        <v>11</v>
      </c>
      <c r="D14" s="9" t="s">
        <v>292</v>
      </c>
      <c r="F14" s="9" t="s">
        <v>292</v>
      </c>
      <c r="H14" s="9" t="s">
        <v>292</v>
      </c>
      <c r="J14" s="9" t="s">
        <v>292</v>
      </c>
      <c r="L14" s="1">
        <v>12</v>
      </c>
      <c r="M14" s="1">
        <v>12</v>
      </c>
      <c r="N14" s="9" t="s">
        <v>292</v>
      </c>
      <c r="P14" s="1">
        <v>1</v>
      </c>
      <c r="Q14" s="1">
        <v>2</v>
      </c>
      <c r="R14" s="1">
        <v>0</v>
      </c>
      <c r="S14" s="1">
        <v>0</v>
      </c>
      <c r="T14" s="9" t="s">
        <v>292</v>
      </c>
      <c r="V14" s="9" t="s">
        <v>292</v>
      </c>
      <c r="X14" s="9" t="s">
        <v>292</v>
      </c>
      <c r="Z14" s="1">
        <v>11</v>
      </c>
      <c r="AA14" s="1">
        <v>14</v>
      </c>
      <c r="AB14" s="9" t="s">
        <v>292</v>
      </c>
      <c r="AD14" s="9" t="s">
        <v>292</v>
      </c>
      <c r="AF14" s="9" t="s">
        <v>292</v>
      </c>
      <c r="AH14" s="11" t="s">
        <v>292</v>
      </c>
      <c r="AI14" s="8"/>
      <c r="AJ14" s="8">
        <v>0</v>
      </c>
      <c r="AK14" s="8">
        <v>0</v>
      </c>
      <c r="AL14" s="10" t="s">
        <v>292</v>
      </c>
      <c r="AM14" s="8"/>
      <c r="AN14" s="10" t="s">
        <v>292</v>
      </c>
      <c r="AO14" s="8"/>
      <c r="AP14" s="8"/>
      <c r="AQ14" s="8"/>
      <c r="AR14" s="8"/>
      <c r="AS14" s="8"/>
      <c r="AT14" s="10" t="s">
        <v>292</v>
      </c>
      <c r="AU14" s="8"/>
      <c r="AV14" s="10" t="s">
        <v>292</v>
      </c>
      <c r="AW14" s="8"/>
      <c r="AX14" s="8"/>
      <c r="AY14" s="8"/>
      <c r="AZ14" s="8"/>
      <c r="BD14" s="2">
        <v>11</v>
      </c>
    </row>
    <row r="15" spans="1:56" ht="15.75" x14ac:dyDescent="0.25">
      <c r="B15" s="2">
        <v>12</v>
      </c>
      <c r="D15" s="9" t="s">
        <v>292</v>
      </c>
      <c r="F15" s="9" t="s">
        <v>292</v>
      </c>
      <c r="H15" s="9" t="s">
        <v>292</v>
      </c>
      <c r="J15" s="9" t="s">
        <v>292</v>
      </c>
      <c r="L15" s="9" t="s">
        <v>292</v>
      </c>
      <c r="N15" s="9" t="s">
        <v>292</v>
      </c>
      <c r="P15" s="1">
        <v>3</v>
      </c>
      <c r="Q15" s="1">
        <v>11</v>
      </c>
      <c r="R15" s="1">
        <v>1</v>
      </c>
      <c r="S15" s="1">
        <v>15</v>
      </c>
      <c r="T15" s="9" t="s">
        <v>292</v>
      </c>
      <c r="V15" s="1">
        <v>38</v>
      </c>
      <c r="W15" s="1">
        <v>39</v>
      </c>
      <c r="X15" s="9" t="s">
        <v>292</v>
      </c>
      <c r="Z15" s="9" t="s">
        <v>292</v>
      </c>
      <c r="AB15" s="9" t="s">
        <v>292</v>
      </c>
      <c r="AD15" s="1">
        <v>8</v>
      </c>
      <c r="AE15" s="1">
        <v>8</v>
      </c>
      <c r="AF15" s="9" t="s">
        <v>292</v>
      </c>
      <c r="AH15" s="11" t="s">
        <v>292</v>
      </c>
      <c r="AI15" s="8"/>
      <c r="AJ15" s="8">
        <v>1</v>
      </c>
      <c r="AK15" s="8">
        <v>9</v>
      </c>
      <c r="AL15" s="10" t="s">
        <v>292</v>
      </c>
      <c r="AM15" s="8"/>
      <c r="AN15" s="10" t="s">
        <v>292</v>
      </c>
      <c r="AO15" s="8"/>
      <c r="AR15" s="8"/>
      <c r="AS15" s="8"/>
      <c r="AT15" s="10" t="s">
        <v>292</v>
      </c>
      <c r="AU15" s="8"/>
      <c r="AV15" s="10" t="s">
        <v>292</v>
      </c>
      <c r="AW15" s="8"/>
      <c r="AX15" s="8"/>
      <c r="AY15" s="8"/>
      <c r="AZ15" s="8"/>
      <c r="BD15" s="2">
        <v>12</v>
      </c>
    </row>
    <row r="16" spans="1:56" ht="15.75" x14ac:dyDescent="0.25">
      <c r="B16" s="2">
        <v>13</v>
      </c>
      <c r="D16" s="1">
        <v>20</v>
      </c>
      <c r="E16" s="1">
        <v>20</v>
      </c>
      <c r="F16" s="9" t="s">
        <v>292</v>
      </c>
      <c r="H16" s="1">
        <v>10</v>
      </c>
      <c r="I16" s="1">
        <v>11</v>
      </c>
      <c r="J16" s="9" t="s">
        <v>292</v>
      </c>
      <c r="L16" s="9" t="s">
        <v>292</v>
      </c>
      <c r="N16" s="1">
        <v>12</v>
      </c>
      <c r="O16" s="1">
        <v>13</v>
      </c>
      <c r="P16" s="9" t="s">
        <v>292</v>
      </c>
      <c r="R16" s="1">
        <v>16</v>
      </c>
      <c r="S16" s="1">
        <v>18</v>
      </c>
      <c r="T16" s="1">
        <v>10</v>
      </c>
      <c r="U16" s="1">
        <v>18</v>
      </c>
      <c r="V16" s="1">
        <v>40</v>
      </c>
      <c r="W16" s="1">
        <v>40</v>
      </c>
      <c r="X16" s="9">
        <v>13</v>
      </c>
      <c r="Y16" s="1">
        <v>13</v>
      </c>
      <c r="Z16" s="9" t="s">
        <v>292</v>
      </c>
      <c r="AB16" s="9" t="s">
        <v>292</v>
      </c>
      <c r="AD16" s="1">
        <v>9</v>
      </c>
      <c r="AE16" s="1">
        <v>14</v>
      </c>
      <c r="AF16" s="9" t="s">
        <v>292</v>
      </c>
      <c r="AH16" s="11" t="s">
        <v>292</v>
      </c>
      <c r="AI16" s="8"/>
      <c r="AJ16" s="10" t="s">
        <v>292</v>
      </c>
      <c r="AK16" s="8"/>
      <c r="AL16" s="10" t="s">
        <v>292</v>
      </c>
      <c r="AM16" s="8"/>
      <c r="AN16" s="10">
        <v>10</v>
      </c>
      <c r="AO16" s="8">
        <v>10</v>
      </c>
      <c r="AP16" s="8"/>
      <c r="AQ16" s="8"/>
      <c r="AR16" s="8"/>
      <c r="AS16" s="8"/>
      <c r="AT16" s="10" t="s">
        <v>292</v>
      </c>
      <c r="AU16" s="8"/>
      <c r="AV16" s="8">
        <v>13</v>
      </c>
      <c r="AW16" s="8">
        <v>13</v>
      </c>
      <c r="AX16" s="8">
        <v>0</v>
      </c>
      <c r="AY16" s="8">
        <v>0</v>
      </c>
      <c r="AZ16" s="8"/>
      <c r="BD16" s="2">
        <v>13</v>
      </c>
    </row>
    <row r="17" spans="2:56" ht="15.75" x14ac:dyDescent="0.25">
      <c r="B17" s="2">
        <v>14</v>
      </c>
      <c r="D17" s="1">
        <v>21</v>
      </c>
      <c r="E17" s="1">
        <v>26</v>
      </c>
      <c r="F17" s="9" t="s">
        <v>292</v>
      </c>
      <c r="H17" s="1">
        <v>12</v>
      </c>
      <c r="I17" s="1">
        <v>14</v>
      </c>
      <c r="J17" s="1">
        <v>24</v>
      </c>
      <c r="K17" s="1">
        <v>24</v>
      </c>
      <c r="L17" s="1">
        <v>13</v>
      </c>
      <c r="M17" s="1">
        <v>18</v>
      </c>
      <c r="N17" s="1">
        <v>14</v>
      </c>
      <c r="O17" s="1">
        <v>16</v>
      </c>
      <c r="P17" s="9" t="s">
        <v>292</v>
      </c>
      <c r="R17" s="1">
        <v>19</v>
      </c>
      <c r="S17" s="1">
        <v>19</v>
      </c>
      <c r="T17" s="1">
        <v>19</v>
      </c>
      <c r="U17" s="1">
        <v>19</v>
      </c>
      <c r="V17" s="9" t="s">
        <v>292</v>
      </c>
      <c r="X17" s="1">
        <v>14</v>
      </c>
      <c r="Y17" s="1">
        <v>19</v>
      </c>
      <c r="Z17" s="9" t="s">
        <v>292</v>
      </c>
      <c r="AB17" s="1">
        <v>12</v>
      </c>
      <c r="AC17" s="1">
        <v>13</v>
      </c>
      <c r="AD17" s="9" t="s">
        <v>292</v>
      </c>
      <c r="AF17" s="9" t="s">
        <v>292</v>
      </c>
      <c r="AH17" s="7">
        <v>15</v>
      </c>
      <c r="AI17" s="8">
        <v>15</v>
      </c>
      <c r="AJ17" s="10" t="s">
        <v>292</v>
      </c>
      <c r="AK17" s="8"/>
      <c r="AL17" s="10" t="s">
        <v>292</v>
      </c>
      <c r="AM17" s="8"/>
      <c r="AN17" s="8">
        <v>11</v>
      </c>
      <c r="AO17" s="8">
        <v>14</v>
      </c>
      <c r="AP17" s="8"/>
      <c r="AQ17" s="8"/>
      <c r="AR17" s="8"/>
      <c r="AS17" s="8"/>
      <c r="AT17" s="10" t="s">
        <v>292</v>
      </c>
      <c r="AU17" s="8"/>
      <c r="AV17" s="8">
        <v>14</v>
      </c>
      <c r="AW17" s="8">
        <v>19</v>
      </c>
      <c r="AX17" s="8">
        <v>1</v>
      </c>
      <c r="AY17" s="8">
        <v>1</v>
      </c>
      <c r="AZ17" s="8"/>
      <c r="BD17" s="2">
        <v>14</v>
      </c>
    </row>
    <row r="18" spans="2:56" ht="15.75" x14ac:dyDescent="0.25">
      <c r="B18" s="2">
        <v>15</v>
      </c>
      <c r="D18" s="9" t="s">
        <v>292</v>
      </c>
      <c r="F18" s="9" t="s">
        <v>292</v>
      </c>
      <c r="H18" s="9" t="s">
        <v>292</v>
      </c>
      <c r="J18" s="9">
        <v>25</v>
      </c>
      <c r="K18" s="1">
        <v>29</v>
      </c>
      <c r="L18" s="1">
        <v>19</v>
      </c>
      <c r="M18" s="1">
        <v>19</v>
      </c>
      <c r="N18" s="1">
        <v>17</v>
      </c>
      <c r="O18" s="1">
        <v>17</v>
      </c>
      <c r="P18" s="1">
        <v>12</v>
      </c>
      <c r="Q18" s="1">
        <v>22</v>
      </c>
      <c r="R18" s="9" t="s">
        <v>292</v>
      </c>
      <c r="T18" s="9" t="s">
        <v>292</v>
      </c>
      <c r="V18" s="9" t="s">
        <v>292</v>
      </c>
      <c r="X18" s="9" t="s">
        <v>292</v>
      </c>
      <c r="Z18" s="1">
        <v>15</v>
      </c>
      <c r="AA18" s="1">
        <v>15</v>
      </c>
      <c r="AB18" s="1">
        <v>14</v>
      </c>
      <c r="AC18" s="1">
        <v>17</v>
      </c>
      <c r="AD18" s="9" t="s">
        <v>292</v>
      </c>
      <c r="AF18" s="1">
        <v>9</v>
      </c>
      <c r="AG18" s="1">
        <v>16</v>
      </c>
      <c r="AH18" s="7">
        <v>16</v>
      </c>
      <c r="AI18" s="8">
        <v>22</v>
      </c>
      <c r="AJ18" s="10" t="s">
        <v>292</v>
      </c>
      <c r="AK18" s="8"/>
      <c r="AL18" s="8">
        <v>20</v>
      </c>
      <c r="AM18" s="8">
        <v>28</v>
      </c>
      <c r="AN18" s="10" t="s">
        <v>292</v>
      </c>
      <c r="AO18" s="8"/>
      <c r="AP18" s="8"/>
      <c r="AQ18" s="8"/>
      <c r="AR18" s="8"/>
      <c r="AS18" s="8"/>
      <c r="AT18" s="10" t="s">
        <v>292</v>
      </c>
      <c r="AU18" s="8"/>
      <c r="AV18" s="10" t="s">
        <v>292</v>
      </c>
      <c r="AW18" s="8"/>
      <c r="AX18" s="8">
        <v>2</v>
      </c>
      <c r="AY18" s="8">
        <v>7</v>
      </c>
      <c r="AZ18" s="8"/>
      <c r="BD18" s="2">
        <v>15</v>
      </c>
    </row>
    <row r="19" spans="2:56" ht="15.75" x14ac:dyDescent="0.25">
      <c r="B19" s="2">
        <v>16</v>
      </c>
      <c r="D19" s="9" t="s">
        <v>292</v>
      </c>
      <c r="F19" s="1">
        <v>18</v>
      </c>
      <c r="G19" s="1">
        <v>23</v>
      </c>
      <c r="H19" s="9" t="s">
        <v>292</v>
      </c>
      <c r="J19" s="9" t="s">
        <v>292</v>
      </c>
      <c r="L19" s="9" t="s">
        <v>292</v>
      </c>
      <c r="N19" s="9" t="s">
        <v>292</v>
      </c>
      <c r="P19" s="1">
        <v>23</v>
      </c>
      <c r="Q19" s="1">
        <v>23</v>
      </c>
      <c r="R19" s="9" t="s">
        <v>292</v>
      </c>
      <c r="T19" s="9" t="s">
        <v>292</v>
      </c>
      <c r="V19" s="1">
        <v>41</v>
      </c>
      <c r="W19" s="1">
        <v>41</v>
      </c>
      <c r="X19" s="9" t="s">
        <v>292</v>
      </c>
      <c r="Z19" s="1">
        <v>16</v>
      </c>
      <c r="AA19" s="1">
        <v>22</v>
      </c>
      <c r="AB19" s="9" t="s">
        <v>292</v>
      </c>
      <c r="AD19" s="9" t="s">
        <v>292</v>
      </c>
      <c r="AF19" s="9" t="s">
        <v>292</v>
      </c>
      <c r="AH19" s="11" t="s">
        <v>292</v>
      </c>
      <c r="AI19" s="8"/>
      <c r="AJ19" s="10" t="s">
        <v>292</v>
      </c>
      <c r="AK19" s="8"/>
      <c r="AL19" s="8">
        <v>29</v>
      </c>
      <c r="AM19" s="8">
        <v>29</v>
      </c>
      <c r="AN19" s="10" t="s">
        <v>292</v>
      </c>
      <c r="AO19" s="8"/>
      <c r="AP19" s="8"/>
      <c r="AQ19" s="8"/>
      <c r="AR19" s="8"/>
      <c r="AS19" s="8"/>
      <c r="AT19" s="10" t="s">
        <v>292</v>
      </c>
      <c r="AU19" s="8"/>
      <c r="AV19" s="10" t="s">
        <v>292</v>
      </c>
      <c r="AW19" s="8"/>
      <c r="AX19" s="8">
        <v>8</v>
      </c>
      <c r="AY19" s="8">
        <v>8</v>
      </c>
      <c r="AZ19" s="8"/>
      <c r="BD19" s="2">
        <v>16</v>
      </c>
    </row>
    <row r="20" spans="2:56" ht="15.75" x14ac:dyDescent="0.25">
      <c r="B20" s="2">
        <v>17</v>
      </c>
      <c r="D20" s="9" t="s">
        <v>292</v>
      </c>
      <c r="F20" s="9" t="s">
        <v>292</v>
      </c>
      <c r="H20" s="1">
        <v>15</v>
      </c>
      <c r="I20" s="1">
        <v>17</v>
      </c>
      <c r="J20" s="9" t="s">
        <v>292</v>
      </c>
      <c r="L20" s="9" t="s">
        <v>292</v>
      </c>
      <c r="N20" s="9" t="s">
        <v>292</v>
      </c>
      <c r="P20" s="9" t="s">
        <v>292</v>
      </c>
      <c r="R20" s="9" t="s">
        <v>292</v>
      </c>
      <c r="T20" s="9" t="s">
        <v>292</v>
      </c>
      <c r="V20" s="1">
        <v>42</v>
      </c>
      <c r="W20" s="1">
        <v>43</v>
      </c>
      <c r="X20" s="9" t="s">
        <v>292</v>
      </c>
      <c r="Z20" s="9" t="s">
        <v>292</v>
      </c>
      <c r="AB20" s="9" t="s">
        <v>292</v>
      </c>
      <c r="AD20" s="9" t="s">
        <v>292</v>
      </c>
      <c r="AF20" s="9" t="s">
        <v>292</v>
      </c>
      <c r="AH20" s="11" t="s">
        <v>292</v>
      </c>
      <c r="AI20" s="8"/>
      <c r="AJ20" s="8">
        <v>10</v>
      </c>
      <c r="AK20" s="8">
        <v>10</v>
      </c>
      <c r="AL20" s="10" t="s">
        <v>292</v>
      </c>
      <c r="AM20" s="8"/>
      <c r="AN20" s="10" t="s">
        <v>292</v>
      </c>
      <c r="AO20" s="8"/>
      <c r="AP20" s="8"/>
      <c r="AQ20" s="8"/>
      <c r="AR20" s="8"/>
      <c r="AS20" s="8"/>
      <c r="AT20" s="10" t="s">
        <v>292</v>
      </c>
      <c r="AU20" s="8"/>
      <c r="AV20" s="10" t="s">
        <v>292</v>
      </c>
      <c r="AW20" s="8"/>
      <c r="AX20" s="10" t="s">
        <v>292</v>
      </c>
      <c r="AY20" s="8"/>
      <c r="AZ20" s="8">
        <v>0</v>
      </c>
      <c r="BA20" s="1">
        <v>0</v>
      </c>
      <c r="BD20" s="2">
        <v>17</v>
      </c>
    </row>
    <row r="21" spans="2:56" ht="15.75" x14ac:dyDescent="0.25">
      <c r="B21" s="2">
        <v>18</v>
      </c>
      <c r="D21" s="1">
        <v>27</v>
      </c>
      <c r="E21" s="1">
        <v>27</v>
      </c>
      <c r="F21" s="9" t="s">
        <v>292</v>
      </c>
      <c r="H21" s="1">
        <v>18</v>
      </c>
      <c r="I21" s="1">
        <v>19</v>
      </c>
      <c r="J21" s="9" t="s">
        <v>292</v>
      </c>
      <c r="L21" s="1">
        <v>20</v>
      </c>
      <c r="M21" s="1">
        <v>25</v>
      </c>
      <c r="N21" s="9" t="s">
        <v>292</v>
      </c>
      <c r="P21" s="9" t="s">
        <v>292</v>
      </c>
      <c r="R21" s="9" t="s">
        <v>292</v>
      </c>
      <c r="T21" s="9" t="s">
        <v>292</v>
      </c>
      <c r="V21" s="1">
        <v>44</v>
      </c>
      <c r="W21" s="1">
        <v>44</v>
      </c>
      <c r="X21" s="9" t="s">
        <v>292</v>
      </c>
      <c r="Z21" s="9" t="s">
        <v>292</v>
      </c>
      <c r="AB21" s="1">
        <v>18</v>
      </c>
      <c r="AC21" s="1">
        <v>23</v>
      </c>
      <c r="AD21" s="1">
        <v>15</v>
      </c>
      <c r="AE21" s="1">
        <v>15</v>
      </c>
      <c r="AF21" s="9" t="s">
        <v>292</v>
      </c>
      <c r="AH21" s="11" t="s">
        <v>292</v>
      </c>
      <c r="AI21" s="8"/>
      <c r="AJ21" s="10" t="s">
        <v>292</v>
      </c>
      <c r="AK21" s="8"/>
      <c r="AL21" s="10" t="s">
        <v>292</v>
      </c>
      <c r="AM21" s="8"/>
      <c r="AN21" s="8">
        <v>15</v>
      </c>
      <c r="AO21" s="8">
        <v>19</v>
      </c>
      <c r="AP21" s="8"/>
      <c r="AQ21" s="8"/>
      <c r="AR21" s="8"/>
      <c r="AS21" s="8"/>
      <c r="AT21" s="8">
        <v>12</v>
      </c>
      <c r="AU21" s="8">
        <v>12</v>
      </c>
      <c r="AV21" s="10" t="s">
        <v>292</v>
      </c>
      <c r="AW21" s="8"/>
      <c r="AX21" s="10" t="s">
        <v>292</v>
      </c>
      <c r="AY21" s="8"/>
      <c r="AZ21" s="10" t="s">
        <v>292</v>
      </c>
      <c r="BD21" s="2">
        <v>18</v>
      </c>
    </row>
    <row r="22" spans="2:56" ht="15.75" x14ac:dyDescent="0.25">
      <c r="B22" s="2">
        <v>19</v>
      </c>
      <c r="D22" s="1">
        <v>28</v>
      </c>
      <c r="E22" s="1">
        <v>31</v>
      </c>
      <c r="F22" s="9" t="s">
        <v>292</v>
      </c>
      <c r="H22" s="9" t="s">
        <v>292</v>
      </c>
      <c r="J22" s="9" t="s">
        <v>292</v>
      </c>
      <c r="L22" s="1">
        <v>26</v>
      </c>
      <c r="M22" s="1">
        <v>26</v>
      </c>
      <c r="N22" s="1">
        <v>18</v>
      </c>
      <c r="O22" s="1">
        <v>22</v>
      </c>
      <c r="P22" s="9" t="s">
        <v>292</v>
      </c>
      <c r="R22" s="9" t="s">
        <v>292</v>
      </c>
      <c r="T22" s="9" t="s">
        <v>292</v>
      </c>
      <c r="V22" s="9" t="s">
        <v>292</v>
      </c>
      <c r="X22" s="1">
        <v>20</v>
      </c>
      <c r="Y22" s="1">
        <v>26</v>
      </c>
      <c r="Z22" s="9" t="s">
        <v>292</v>
      </c>
      <c r="AB22" s="9" t="s">
        <v>292</v>
      </c>
      <c r="AD22" s="1">
        <v>16</v>
      </c>
      <c r="AE22" s="1">
        <v>22</v>
      </c>
      <c r="AF22" s="9" t="s">
        <v>292</v>
      </c>
      <c r="AH22" s="7">
        <v>23</v>
      </c>
      <c r="AI22" s="8">
        <v>23</v>
      </c>
      <c r="AJ22" s="8">
        <v>11</v>
      </c>
      <c r="AK22" s="8">
        <v>18</v>
      </c>
      <c r="AL22" s="10" t="s">
        <v>292</v>
      </c>
      <c r="AM22" s="8"/>
      <c r="AN22" s="10" t="s">
        <v>292</v>
      </c>
      <c r="AO22" s="8"/>
      <c r="AP22" s="8"/>
      <c r="AQ22" s="8"/>
      <c r="AR22" s="8"/>
      <c r="AS22" s="8"/>
      <c r="AT22" s="8">
        <v>13</v>
      </c>
      <c r="AU22" s="8">
        <v>23</v>
      </c>
      <c r="AV22" s="10" t="s">
        <v>292</v>
      </c>
      <c r="AW22" s="8"/>
      <c r="AX22" s="10" t="s">
        <v>292</v>
      </c>
      <c r="AY22" s="8"/>
      <c r="AZ22" s="8">
        <v>1</v>
      </c>
      <c r="BA22" s="1">
        <v>1</v>
      </c>
      <c r="BD22" s="2">
        <v>19</v>
      </c>
    </row>
    <row r="23" spans="2:56" ht="15.75" x14ac:dyDescent="0.25">
      <c r="B23" s="2">
        <v>20</v>
      </c>
      <c r="D23" s="1">
        <v>32</v>
      </c>
      <c r="E23" s="1">
        <v>32</v>
      </c>
      <c r="F23" s="1">
        <v>24</v>
      </c>
      <c r="G23" s="1">
        <v>27</v>
      </c>
      <c r="H23" s="1">
        <v>20</v>
      </c>
      <c r="I23" s="1">
        <v>23</v>
      </c>
      <c r="J23" s="1">
        <v>30</v>
      </c>
      <c r="K23" s="1">
        <v>32</v>
      </c>
      <c r="L23" s="9" t="s">
        <v>292</v>
      </c>
      <c r="N23" s="9" t="s">
        <v>292</v>
      </c>
      <c r="P23" s="9" t="s">
        <v>292</v>
      </c>
      <c r="R23" s="9" t="s">
        <v>292</v>
      </c>
      <c r="T23" s="9" t="s">
        <v>292</v>
      </c>
      <c r="V23" s="1">
        <v>45</v>
      </c>
      <c r="W23" s="1">
        <v>47</v>
      </c>
      <c r="X23" s="9" t="s">
        <v>292</v>
      </c>
      <c r="Z23" s="9" t="s">
        <v>292</v>
      </c>
      <c r="AB23" s="9" t="s">
        <v>292</v>
      </c>
      <c r="AD23" s="9" t="s">
        <v>292</v>
      </c>
      <c r="AF23" s="9" t="s">
        <v>292</v>
      </c>
      <c r="AH23" s="7">
        <v>24</v>
      </c>
      <c r="AI23" s="8">
        <v>29</v>
      </c>
      <c r="AJ23" s="8">
        <v>19</v>
      </c>
      <c r="AK23" s="8">
        <v>19</v>
      </c>
      <c r="AL23" s="10" t="s">
        <v>292</v>
      </c>
      <c r="AM23" s="8"/>
      <c r="AN23" s="10" t="s">
        <v>292</v>
      </c>
      <c r="AO23" s="8"/>
      <c r="AP23" s="8"/>
      <c r="AQ23" s="8"/>
      <c r="AR23" s="8"/>
      <c r="AS23" s="8"/>
      <c r="AT23" s="10" t="s">
        <v>292</v>
      </c>
      <c r="AU23" s="8"/>
      <c r="AV23" s="8">
        <v>20</v>
      </c>
      <c r="AW23" s="8">
        <v>26</v>
      </c>
      <c r="AX23" s="10" t="s">
        <v>292</v>
      </c>
      <c r="AY23" s="8"/>
      <c r="AZ23" s="8">
        <v>2</v>
      </c>
      <c r="BA23" s="1">
        <v>28</v>
      </c>
      <c r="BD23" s="2">
        <v>20</v>
      </c>
    </row>
    <row r="24" spans="2:56" ht="15.75" x14ac:dyDescent="0.25">
      <c r="B24" s="2">
        <v>21</v>
      </c>
      <c r="D24" s="9" t="s">
        <v>292</v>
      </c>
      <c r="F24" s="1">
        <v>28</v>
      </c>
      <c r="G24" s="1">
        <v>29</v>
      </c>
      <c r="H24" s="1">
        <v>24</v>
      </c>
      <c r="I24" s="1">
        <v>24</v>
      </c>
      <c r="J24" s="1">
        <v>33</v>
      </c>
      <c r="K24" s="1">
        <v>35</v>
      </c>
      <c r="L24" s="9" t="s">
        <v>292</v>
      </c>
      <c r="N24" s="1">
        <v>23</v>
      </c>
      <c r="O24" s="1">
        <v>23</v>
      </c>
      <c r="P24" s="1" t="s">
        <v>292</v>
      </c>
      <c r="R24" s="9" t="s">
        <v>292</v>
      </c>
      <c r="T24" s="9" t="s">
        <v>292</v>
      </c>
      <c r="V24" s="1">
        <v>48</v>
      </c>
      <c r="W24" s="1">
        <v>48</v>
      </c>
      <c r="X24" s="9" t="s">
        <v>292</v>
      </c>
      <c r="Z24" s="9" t="s">
        <v>292</v>
      </c>
      <c r="AB24" s="9" t="s">
        <v>292</v>
      </c>
      <c r="AD24" s="9" t="s">
        <v>292</v>
      </c>
      <c r="AF24" s="9" t="s">
        <v>292</v>
      </c>
      <c r="AH24" s="11" t="s">
        <v>292</v>
      </c>
      <c r="AI24" s="8"/>
      <c r="AJ24" s="10" t="s">
        <v>292</v>
      </c>
      <c r="AK24" s="8"/>
      <c r="AL24" s="10" t="s">
        <v>292</v>
      </c>
      <c r="AM24" s="8"/>
      <c r="AN24" s="8">
        <v>20</v>
      </c>
      <c r="AO24" s="8">
        <v>24</v>
      </c>
      <c r="AP24" s="8"/>
      <c r="AQ24" s="8"/>
      <c r="AR24" s="8"/>
      <c r="AS24" s="8"/>
      <c r="AT24" s="10" t="s">
        <v>292</v>
      </c>
      <c r="AU24" s="8"/>
      <c r="AV24" s="10" t="s">
        <v>292</v>
      </c>
      <c r="AW24" s="8"/>
      <c r="AX24" s="8">
        <v>9</v>
      </c>
      <c r="AY24" s="8">
        <v>10</v>
      </c>
      <c r="AZ24" s="8">
        <v>29</v>
      </c>
      <c r="BA24" s="1">
        <v>29</v>
      </c>
      <c r="BD24" s="2">
        <v>21</v>
      </c>
    </row>
    <row r="25" spans="2:56" ht="15.75" x14ac:dyDescent="0.25">
      <c r="B25" s="2">
        <v>22</v>
      </c>
      <c r="D25" s="9" t="s">
        <v>292</v>
      </c>
      <c r="F25" s="9" t="s">
        <v>292</v>
      </c>
      <c r="H25" s="9" t="s">
        <v>292</v>
      </c>
      <c r="J25" s="9" t="s">
        <v>292</v>
      </c>
      <c r="L25" s="9" t="s">
        <v>292</v>
      </c>
      <c r="N25" s="9" t="s">
        <v>292</v>
      </c>
      <c r="P25" s="9" t="s">
        <v>292</v>
      </c>
      <c r="R25" s="9" t="s">
        <v>292</v>
      </c>
      <c r="T25" s="1">
        <v>20</v>
      </c>
      <c r="U25" s="1">
        <v>21</v>
      </c>
      <c r="V25" s="9" t="s">
        <v>292</v>
      </c>
      <c r="X25" s="9" t="s">
        <v>292</v>
      </c>
      <c r="Z25" s="1">
        <v>23</v>
      </c>
      <c r="AA25" s="1">
        <v>26</v>
      </c>
      <c r="AB25" s="9" t="s">
        <v>292</v>
      </c>
      <c r="AD25" s="9" t="s">
        <v>292</v>
      </c>
      <c r="AF25" s="9" t="s">
        <v>292</v>
      </c>
      <c r="AH25" s="11" t="s">
        <v>292</v>
      </c>
      <c r="AI25" s="8"/>
      <c r="AJ25" s="10" t="s">
        <v>292</v>
      </c>
      <c r="AK25" s="8"/>
      <c r="AL25" s="8">
        <v>30</v>
      </c>
      <c r="AM25" s="8">
        <v>30</v>
      </c>
      <c r="AN25" s="10" t="s">
        <v>292</v>
      </c>
      <c r="AO25" s="8"/>
      <c r="AP25" s="8"/>
      <c r="AQ25" s="8"/>
      <c r="AR25" s="8"/>
      <c r="AS25" s="8"/>
      <c r="AT25" s="10" t="s">
        <v>292</v>
      </c>
      <c r="AU25" s="8"/>
      <c r="AV25" s="10" t="s">
        <v>292</v>
      </c>
      <c r="AW25" s="8"/>
      <c r="AX25" s="8">
        <v>11</v>
      </c>
      <c r="AY25" s="8">
        <v>16</v>
      </c>
      <c r="AZ25" s="10" t="s">
        <v>292</v>
      </c>
      <c r="BD25" s="2">
        <v>22</v>
      </c>
    </row>
    <row r="26" spans="2:56" ht="15.75" x14ac:dyDescent="0.25">
      <c r="B26" s="2">
        <v>23</v>
      </c>
      <c r="D26" s="9" t="s">
        <v>292</v>
      </c>
      <c r="F26" s="9" t="s">
        <v>292</v>
      </c>
      <c r="H26" s="1">
        <v>25</v>
      </c>
      <c r="I26" s="1">
        <v>28</v>
      </c>
      <c r="J26" s="9" t="s">
        <v>292</v>
      </c>
      <c r="L26" s="9" t="s">
        <v>292</v>
      </c>
      <c r="N26" s="9" t="s">
        <v>292</v>
      </c>
      <c r="P26" s="9" t="s">
        <v>292</v>
      </c>
      <c r="R26" s="9" t="s">
        <v>292</v>
      </c>
      <c r="T26" s="1">
        <v>22</v>
      </c>
      <c r="U26" s="1">
        <v>28</v>
      </c>
      <c r="V26" s="9" t="s">
        <v>292</v>
      </c>
      <c r="X26" s="9" t="s">
        <v>292</v>
      </c>
      <c r="Z26" s="1">
        <v>27</v>
      </c>
      <c r="AA26" s="1">
        <v>29</v>
      </c>
      <c r="AB26" s="9" t="s">
        <v>292</v>
      </c>
      <c r="AD26" s="9" t="s">
        <v>292</v>
      </c>
      <c r="AF26" s="9" t="s">
        <v>292</v>
      </c>
      <c r="AH26" s="11" t="s">
        <v>292</v>
      </c>
      <c r="AI26" s="8"/>
      <c r="AJ26" s="10" t="s">
        <v>292</v>
      </c>
      <c r="AK26" s="8"/>
      <c r="AL26" s="8">
        <v>31</v>
      </c>
      <c r="AM26" s="8">
        <v>38</v>
      </c>
      <c r="AN26" s="10" t="s">
        <v>292</v>
      </c>
      <c r="AO26" s="8"/>
      <c r="AP26" s="8"/>
      <c r="AQ26" s="8"/>
      <c r="AR26" s="8"/>
      <c r="AS26" s="8"/>
      <c r="AT26" s="10" t="s">
        <v>292</v>
      </c>
      <c r="AU26" s="8"/>
      <c r="AV26" s="8">
        <v>27</v>
      </c>
      <c r="AW26" s="8">
        <v>27</v>
      </c>
      <c r="AX26" s="10" t="s">
        <v>292</v>
      </c>
      <c r="AY26" s="8"/>
      <c r="AZ26" s="10" t="s">
        <v>292</v>
      </c>
      <c r="BD26" s="2">
        <v>23</v>
      </c>
    </row>
    <row r="27" spans="2:56" ht="15.75" x14ac:dyDescent="0.25">
      <c r="B27" s="2">
        <v>24</v>
      </c>
      <c r="D27" s="9" t="s">
        <v>292</v>
      </c>
      <c r="F27" s="9" t="s">
        <v>292</v>
      </c>
      <c r="H27" s="1">
        <v>29</v>
      </c>
      <c r="I27" s="1">
        <v>29</v>
      </c>
      <c r="J27" s="9" t="s">
        <v>292</v>
      </c>
      <c r="L27" s="1">
        <v>27</v>
      </c>
      <c r="M27" s="1">
        <v>28</v>
      </c>
      <c r="N27" s="1">
        <v>24</v>
      </c>
      <c r="O27" s="1">
        <v>28</v>
      </c>
      <c r="P27" s="9" t="s">
        <v>292</v>
      </c>
      <c r="R27" s="9" t="s">
        <v>292</v>
      </c>
      <c r="T27" s="1">
        <v>29</v>
      </c>
      <c r="U27" s="1">
        <v>29</v>
      </c>
      <c r="V27" s="9" t="s">
        <v>292</v>
      </c>
      <c r="X27" s="1">
        <v>27</v>
      </c>
      <c r="Y27" s="1">
        <v>32</v>
      </c>
      <c r="Z27" s="9" t="s">
        <v>292</v>
      </c>
      <c r="AB27" s="1">
        <v>24</v>
      </c>
      <c r="AC27" s="1">
        <v>29</v>
      </c>
      <c r="AD27" s="1">
        <v>23</v>
      </c>
      <c r="AE27" s="1">
        <v>29</v>
      </c>
      <c r="AF27" s="1">
        <v>17</v>
      </c>
      <c r="AG27" s="1">
        <v>25</v>
      </c>
      <c r="AH27" s="11" t="s">
        <v>292</v>
      </c>
      <c r="AI27" s="8"/>
      <c r="AJ27" s="10" t="s">
        <v>292</v>
      </c>
      <c r="AK27" s="8"/>
      <c r="AL27" s="8">
        <v>39</v>
      </c>
      <c r="AM27" s="8">
        <v>39</v>
      </c>
      <c r="AN27" s="8">
        <v>25</v>
      </c>
      <c r="AO27" s="8">
        <v>28</v>
      </c>
      <c r="AP27" s="8"/>
      <c r="AQ27" s="8"/>
      <c r="AR27" s="8">
        <v>0</v>
      </c>
      <c r="AS27" s="8">
        <v>0</v>
      </c>
      <c r="AT27" s="10" t="s">
        <v>292</v>
      </c>
      <c r="AU27" s="8"/>
      <c r="AV27" s="8">
        <v>28</v>
      </c>
      <c r="AW27" s="8">
        <v>32</v>
      </c>
      <c r="AX27" s="10" t="s">
        <v>292</v>
      </c>
      <c r="AY27" s="8"/>
      <c r="AZ27" s="10" t="s">
        <v>292</v>
      </c>
      <c r="BD27" s="2">
        <v>24</v>
      </c>
    </row>
    <row r="28" spans="2:56" ht="15.75" x14ac:dyDescent="0.25">
      <c r="B28" s="2">
        <v>25</v>
      </c>
      <c r="D28" s="9" t="s">
        <v>292</v>
      </c>
      <c r="F28" s="1">
        <v>30</v>
      </c>
      <c r="G28" s="1">
        <v>34</v>
      </c>
      <c r="H28" s="9" t="s">
        <v>292</v>
      </c>
      <c r="J28" s="1">
        <v>36</v>
      </c>
      <c r="K28" s="1">
        <v>40</v>
      </c>
      <c r="L28" s="1">
        <v>29</v>
      </c>
      <c r="M28" s="1">
        <v>31</v>
      </c>
      <c r="N28" s="1">
        <v>29</v>
      </c>
      <c r="O28" s="1">
        <v>29</v>
      </c>
      <c r="P28" s="1">
        <v>24</v>
      </c>
      <c r="Q28" s="1">
        <v>25</v>
      </c>
      <c r="R28" s="1">
        <v>20</v>
      </c>
      <c r="S28" s="1">
        <v>21</v>
      </c>
      <c r="T28" s="9" t="s">
        <v>292</v>
      </c>
      <c r="V28" s="9" t="s">
        <v>292</v>
      </c>
      <c r="X28" s="9" t="s">
        <v>292</v>
      </c>
      <c r="Z28" s="9" t="s">
        <v>292</v>
      </c>
      <c r="AB28" s="9" t="s">
        <v>292</v>
      </c>
      <c r="AD28" s="9" t="s">
        <v>292</v>
      </c>
      <c r="AF28" s="9" t="s">
        <v>292</v>
      </c>
      <c r="AH28" s="11" t="s">
        <v>292</v>
      </c>
      <c r="AI28" s="8"/>
      <c r="AJ28" s="10" t="s">
        <v>292</v>
      </c>
      <c r="AK28" s="8"/>
      <c r="AL28" s="10" t="s">
        <v>292</v>
      </c>
      <c r="AM28" s="8"/>
      <c r="AN28" s="8">
        <v>29</v>
      </c>
      <c r="AO28" s="8">
        <v>29</v>
      </c>
      <c r="AP28" s="8"/>
      <c r="AQ28" s="8"/>
      <c r="AR28" s="8">
        <v>1</v>
      </c>
      <c r="AS28" s="8">
        <v>4</v>
      </c>
      <c r="AT28" s="10" t="s">
        <v>292</v>
      </c>
      <c r="AU28" s="8"/>
      <c r="AV28" s="10" t="s">
        <v>292</v>
      </c>
      <c r="AW28" s="8"/>
      <c r="AX28" s="10" t="s">
        <v>292</v>
      </c>
      <c r="AY28" s="8"/>
      <c r="AZ28" s="10" t="s">
        <v>292</v>
      </c>
      <c r="BD28" s="2">
        <v>25</v>
      </c>
    </row>
    <row r="29" spans="2:56" ht="15.75" x14ac:dyDescent="0.25">
      <c r="B29" s="2">
        <v>26</v>
      </c>
      <c r="D29" s="1">
        <v>33</v>
      </c>
      <c r="E29" s="1">
        <v>38</v>
      </c>
      <c r="F29" s="1">
        <v>35</v>
      </c>
      <c r="G29" s="1">
        <v>35</v>
      </c>
      <c r="H29" s="9" t="s">
        <v>292</v>
      </c>
      <c r="J29" s="1">
        <v>41</v>
      </c>
      <c r="K29" s="1">
        <v>41</v>
      </c>
      <c r="L29" s="1">
        <v>32</v>
      </c>
      <c r="M29" s="1">
        <v>32</v>
      </c>
      <c r="N29" s="9" t="s">
        <v>292</v>
      </c>
      <c r="P29" s="1">
        <v>26</v>
      </c>
      <c r="Q29" s="1">
        <v>27</v>
      </c>
      <c r="R29" s="1">
        <v>22</v>
      </c>
      <c r="S29" s="1">
        <v>38</v>
      </c>
      <c r="T29" s="9" t="s">
        <v>292</v>
      </c>
      <c r="V29" s="1">
        <v>49</v>
      </c>
      <c r="W29" s="1">
        <v>50</v>
      </c>
      <c r="X29" s="9" t="s">
        <v>292</v>
      </c>
      <c r="Z29" s="9" t="s">
        <v>292</v>
      </c>
      <c r="AB29" s="9" t="s">
        <v>292</v>
      </c>
      <c r="AD29" s="9" t="s">
        <v>292</v>
      </c>
      <c r="AF29" s="9" t="s">
        <v>292</v>
      </c>
      <c r="AH29" s="7">
        <v>30</v>
      </c>
      <c r="AI29" s="8">
        <v>37</v>
      </c>
      <c r="AJ29" s="10" t="s">
        <v>292</v>
      </c>
      <c r="AK29" s="8"/>
      <c r="AL29" s="10" t="s">
        <v>292</v>
      </c>
      <c r="AM29" s="8"/>
      <c r="AN29" s="10" t="s">
        <v>292</v>
      </c>
      <c r="AO29" s="8"/>
      <c r="AP29" s="8"/>
      <c r="AQ29" s="8"/>
      <c r="AR29" s="8">
        <v>5</v>
      </c>
      <c r="AS29" s="8">
        <v>58</v>
      </c>
      <c r="AT29" s="10" t="s">
        <v>292</v>
      </c>
      <c r="AU29" s="8"/>
      <c r="AV29" s="9" t="s">
        <v>292</v>
      </c>
      <c r="AX29" s="10" t="s">
        <v>292</v>
      </c>
      <c r="AY29" s="8"/>
      <c r="AZ29" s="10" t="s">
        <v>292</v>
      </c>
      <c r="BD29" s="2">
        <v>26</v>
      </c>
    </row>
    <row r="30" spans="2:56" ht="15.75" x14ac:dyDescent="0.25">
      <c r="B30" s="2">
        <v>27</v>
      </c>
      <c r="D30" s="1">
        <v>39</v>
      </c>
      <c r="E30" s="1">
        <v>39</v>
      </c>
      <c r="F30" s="9" t="s">
        <v>292</v>
      </c>
      <c r="H30" s="9" t="s">
        <v>292</v>
      </c>
      <c r="J30" s="9" t="s">
        <v>292</v>
      </c>
      <c r="L30" s="9" t="s">
        <v>292</v>
      </c>
      <c r="N30" s="9" t="s">
        <v>292</v>
      </c>
      <c r="P30" s="1">
        <v>28</v>
      </c>
      <c r="Q30" s="1">
        <v>34</v>
      </c>
      <c r="R30" s="1">
        <v>39</v>
      </c>
      <c r="S30" s="1">
        <v>39</v>
      </c>
      <c r="T30" s="9" t="s">
        <v>292</v>
      </c>
      <c r="V30" s="1">
        <v>51</v>
      </c>
      <c r="W30" s="1">
        <v>51</v>
      </c>
      <c r="X30" s="9" t="s">
        <v>292</v>
      </c>
      <c r="Z30" s="9" t="s">
        <v>292</v>
      </c>
      <c r="AB30" s="9" t="s">
        <v>292</v>
      </c>
      <c r="AD30" s="9" t="s">
        <v>292</v>
      </c>
      <c r="AF30" s="9" t="s">
        <v>292</v>
      </c>
      <c r="AH30" s="11" t="s">
        <v>292</v>
      </c>
      <c r="AI30" s="8"/>
      <c r="AJ30" s="10" t="s">
        <v>292</v>
      </c>
      <c r="AK30" s="8"/>
      <c r="AL30" s="10" t="s">
        <v>292</v>
      </c>
      <c r="AM30" s="8"/>
      <c r="AN30" s="10" t="s">
        <v>292</v>
      </c>
      <c r="AO30" s="8"/>
      <c r="AP30" s="8"/>
      <c r="AQ30" s="8"/>
      <c r="AR30" s="10" t="s">
        <v>292</v>
      </c>
      <c r="AS30" s="8"/>
      <c r="AT30" s="10" t="s">
        <v>292</v>
      </c>
      <c r="AU30" s="8"/>
      <c r="AV30" s="8">
        <v>33</v>
      </c>
      <c r="AW30" s="8">
        <v>33</v>
      </c>
      <c r="AX30" s="10" t="s">
        <v>292</v>
      </c>
      <c r="AY30" s="8"/>
      <c r="AZ30" s="10" t="s">
        <v>292</v>
      </c>
      <c r="BD30" s="2">
        <v>27</v>
      </c>
    </row>
    <row r="31" spans="2:56" ht="15.75" x14ac:dyDescent="0.25">
      <c r="B31" s="2">
        <v>28</v>
      </c>
      <c r="D31" s="9" t="s">
        <v>292</v>
      </c>
      <c r="F31" s="9" t="s">
        <v>292</v>
      </c>
      <c r="H31" s="1">
        <v>30</v>
      </c>
      <c r="I31" s="1">
        <v>31</v>
      </c>
      <c r="J31" s="9" t="s">
        <v>292</v>
      </c>
      <c r="L31" s="9" t="s">
        <v>292</v>
      </c>
      <c r="N31" s="1">
        <v>30</v>
      </c>
      <c r="O31" s="1">
        <v>30</v>
      </c>
      <c r="P31" s="1">
        <v>35</v>
      </c>
      <c r="Q31" s="1">
        <v>35</v>
      </c>
      <c r="R31" s="9" t="s">
        <v>292</v>
      </c>
      <c r="T31" s="9" t="s">
        <v>292</v>
      </c>
      <c r="V31" s="1">
        <v>52</v>
      </c>
      <c r="W31" s="1">
        <v>52</v>
      </c>
      <c r="X31" s="9" t="s">
        <v>292</v>
      </c>
      <c r="Z31" s="1">
        <v>30</v>
      </c>
      <c r="AA31" s="1">
        <v>31</v>
      </c>
      <c r="AB31" s="9" t="s">
        <v>292</v>
      </c>
      <c r="AD31" s="9" t="s">
        <v>292</v>
      </c>
      <c r="AF31" s="9" t="s">
        <v>292</v>
      </c>
      <c r="AH31" s="11" t="s">
        <v>292</v>
      </c>
      <c r="AI31" s="8"/>
      <c r="AJ31" s="8">
        <v>20</v>
      </c>
      <c r="AK31" s="8">
        <v>20</v>
      </c>
      <c r="AL31" s="10" t="s">
        <v>292</v>
      </c>
      <c r="AM31" s="8"/>
      <c r="AN31" s="8">
        <v>30</v>
      </c>
      <c r="AO31" s="8">
        <v>34</v>
      </c>
      <c r="AP31" s="8"/>
      <c r="AQ31" s="8"/>
      <c r="AR31" s="10" t="s">
        <v>292</v>
      </c>
      <c r="AS31" s="8"/>
      <c r="AT31" s="8">
        <v>24</v>
      </c>
      <c r="AU31" s="8">
        <v>34</v>
      </c>
      <c r="AV31" s="8">
        <v>34</v>
      </c>
      <c r="AW31" s="8">
        <v>39</v>
      </c>
      <c r="AX31" s="8">
        <v>17</v>
      </c>
      <c r="AY31" s="8">
        <v>25</v>
      </c>
      <c r="AZ31" s="10" t="s">
        <v>292</v>
      </c>
      <c r="BD31" s="2">
        <v>28</v>
      </c>
    </row>
    <row r="32" spans="2:56" ht="15.75" x14ac:dyDescent="0.25">
      <c r="B32" s="2">
        <v>29</v>
      </c>
      <c r="D32" s="9" t="s">
        <v>292</v>
      </c>
      <c r="F32" s="9" t="s">
        <v>292</v>
      </c>
      <c r="H32" s="1">
        <v>32</v>
      </c>
      <c r="I32" s="1">
        <v>34</v>
      </c>
      <c r="J32" s="9" t="s">
        <v>292</v>
      </c>
      <c r="L32" s="9" t="s">
        <v>292</v>
      </c>
      <c r="N32" s="1">
        <v>31</v>
      </c>
      <c r="O32" s="1">
        <v>34</v>
      </c>
      <c r="P32" s="9" t="s">
        <v>292</v>
      </c>
      <c r="R32" s="9" t="s">
        <v>292</v>
      </c>
      <c r="T32" s="9" t="s">
        <v>292</v>
      </c>
      <c r="V32" s="9" t="s">
        <v>292</v>
      </c>
      <c r="X32" s="1">
        <v>33</v>
      </c>
      <c r="Y32" s="1">
        <v>39</v>
      </c>
      <c r="Z32" s="1">
        <v>32</v>
      </c>
      <c r="AA32" s="1">
        <v>37</v>
      </c>
      <c r="AB32" s="1">
        <v>30</v>
      </c>
      <c r="AC32" s="1">
        <v>34</v>
      </c>
      <c r="AD32" s="1">
        <v>30</v>
      </c>
      <c r="AF32" s="1">
        <v>26</v>
      </c>
      <c r="AG32" s="1">
        <v>33</v>
      </c>
      <c r="AH32" s="11" t="s">
        <v>292</v>
      </c>
      <c r="AI32" s="8"/>
      <c r="AJ32" s="8">
        <v>21</v>
      </c>
      <c r="AK32" s="8">
        <v>28</v>
      </c>
      <c r="AL32" s="10" t="s">
        <v>292</v>
      </c>
      <c r="AM32" s="8"/>
      <c r="AN32" s="10" t="s">
        <v>292</v>
      </c>
      <c r="AO32" s="8"/>
      <c r="AP32" s="8"/>
      <c r="AQ32" s="8"/>
      <c r="AR32" s="10" t="s">
        <v>292</v>
      </c>
      <c r="AS32" s="8"/>
      <c r="AT32" s="8">
        <v>35</v>
      </c>
      <c r="AU32" s="8">
        <v>35</v>
      </c>
      <c r="AV32" s="10" t="s">
        <v>292</v>
      </c>
      <c r="AW32" s="8"/>
      <c r="AX32" s="10" t="s">
        <v>292</v>
      </c>
      <c r="AY32" s="8"/>
      <c r="AZ32" s="10" t="s">
        <v>292</v>
      </c>
      <c r="BD32" s="2">
        <v>29</v>
      </c>
    </row>
    <row r="33" spans="2:56" ht="15.75" x14ac:dyDescent="0.25">
      <c r="B33" s="2">
        <v>30</v>
      </c>
      <c r="D33" s="9" t="s">
        <v>292</v>
      </c>
      <c r="F33" s="9" t="s">
        <v>292</v>
      </c>
      <c r="H33" s="9" t="s">
        <v>292</v>
      </c>
      <c r="J33" s="9" t="s">
        <v>292</v>
      </c>
      <c r="L33" s="1">
        <v>33</v>
      </c>
      <c r="M33" s="1">
        <v>38</v>
      </c>
      <c r="N33" s="1">
        <v>35</v>
      </c>
      <c r="O33" s="1">
        <v>35</v>
      </c>
      <c r="P33" s="9" t="s">
        <v>292</v>
      </c>
      <c r="R33" s="9" t="s">
        <v>292</v>
      </c>
      <c r="T33" s="1">
        <v>30</v>
      </c>
      <c r="U33" s="1">
        <v>39</v>
      </c>
      <c r="V33" s="9" t="s">
        <v>292</v>
      </c>
      <c r="X33" s="9" t="s">
        <v>292</v>
      </c>
      <c r="Z33" s="9" t="s">
        <v>292</v>
      </c>
      <c r="AB33" s="1">
        <v>35</v>
      </c>
      <c r="AC33" s="1">
        <v>35</v>
      </c>
      <c r="AD33" s="1">
        <v>31</v>
      </c>
      <c r="AE33" s="1">
        <v>37</v>
      </c>
      <c r="AF33" s="9" t="s">
        <v>292</v>
      </c>
      <c r="AH33" s="11" t="s">
        <v>292</v>
      </c>
      <c r="AI33" s="8"/>
      <c r="AJ33" s="8">
        <v>29</v>
      </c>
      <c r="AK33" s="8">
        <v>29</v>
      </c>
      <c r="AL33" s="8">
        <v>40</v>
      </c>
      <c r="AM33" s="8">
        <v>48</v>
      </c>
      <c r="AN33" s="10" t="s">
        <v>292</v>
      </c>
      <c r="AO33" s="8"/>
      <c r="AP33" s="8"/>
      <c r="AQ33" s="8"/>
      <c r="AR33" s="8">
        <v>59</v>
      </c>
      <c r="AS33" s="8">
        <v>59</v>
      </c>
      <c r="AT33" s="10" t="s">
        <v>292</v>
      </c>
      <c r="AU33" s="8"/>
      <c r="AV33" s="10" t="s">
        <v>292</v>
      </c>
      <c r="AW33" s="8"/>
      <c r="AX33" s="10" t="s">
        <v>292</v>
      </c>
      <c r="AY33" s="8"/>
      <c r="AZ33" s="10" t="s">
        <v>292</v>
      </c>
      <c r="BD33" s="2">
        <v>30</v>
      </c>
    </row>
    <row r="34" spans="2:56" ht="15.75" x14ac:dyDescent="0.25">
      <c r="B34" s="2">
        <v>31</v>
      </c>
      <c r="D34" s="1">
        <v>40</v>
      </c>
      <c r="E34" s="1">
        <v>45</v>
      </c>
      <c r="F34" s="1">
        <v>36</v>
      </c>
      <c r="G34" s="1">
        <v>39</v>
      </c>
      <c r="H34" s="9" t="s">
        <v>292</v>
      </c>
      <c r="I34" s="9"/>
      <c r="J34" s="9" t="s">
        <v>292</v>
      </c>
      <c r="K34" s="9"/>
      <c r="L34" s="9">
        <v>39</v>
      </c>
      <c r="M34" s="1">
        <v>39</v>
      </c>
      <c r="N34" s="9" t="s">
        <v>292</v>
      </c>
      <c r="P34" s="9" t="s">
        <v>292</v>
      </c>
      <c r="R34" s="9" t="s">
        <v>292</v>
      </c>
      <c r="T34" s="9" t="s">
        <v>292</v>
      </c>
      <c r="V34" s="1">
        <v>53</v>
      </c>
      <c r="W34" s="1">
        <v>54</v>
      </c>
      <c r="X34" s="9" t="s">
        <v>292</v>
      </c>
      <c r="Z34" s="9" t="s">
        <v>292</v>
      </c>
      <c r="AA34" s="9"/>
      <c r="AB34" s="9" t="s">
        <v>292</v>
      </c>
      <c r="AD34" s="9" t="s">
        <v>292</v>
      </c>
      <c r="AF34" s="9" t="s">
        <v>292</v>
      </c>
      <c r="AH34" s="7">
        <v>38</v>
      </c>
      <c r="AI34" s="1">
        <v>43</v>
      </c>
      <c r="AJ34" s="9" t="s">
        <v>292</v>
      </c>
      <c r="AL34" s="9" t="s">
        <v>292</v>
      </c>
      <c r="AN34" s="1">
        <v>35</v>
      </c>
      <c r="AO34" s="1">
        <v>39</v>
      </c>
      <c r="AP34" s="9"/>
      <c r="AR34" s="9" t="s">
        <v>292</v>
      </c>
      <c r="AT34" s="9" t="s">
        <v>292</v>
      </c>
      <c r="AV34" s="9" t="s">
        <v>292</v>
      </c>
      <c r="AX34" s="9" t="s">
        <v>292</v>
      </c>
      <c r="AZ34" s="9" t="s">
        <v>292</v>
      </c>
      <c r="BD34" s="2">
        <v>31</v>
      </c>
    </row>
    <row r="35" spans="2:56" ht="15.75" x14ac:dyDescent="0.25">
      <c r="B35" s="2">
        <v>32</v>
      </c>
      <c r="D35" s="1">
        <v>46</v>
      </c>
      <c r="E35" s="1">
        <v>46</v>
      </c>
      <c r="F35" s="1">
        <v>40</v>
      </c>
      <c r="G35" s="1">
        <v>41</v>
      </c>
      <c r="H35" s="1">
        <v>35</v>
      </c>
      <c r="I35" s="1">
        <v>38</v>
      </c>
      <c r="J35" s="1">
        <v>42</v>
      </c>
      <c r="K35" s="1">
        <v>42</v>
      </c>
      <c r="L35" s="9" t="s">
        <v>292</v>
      </c>
      <c r="N35" s="9" t="s">
        <v>292</v>
      </c>
      <c r="P35" s="9" t="s">
        <v>292</v>
      </c>
      <c r="R35" s="9" t="s">
        <v>292</v>
      </c>
      <c r="T35" s="9" t="s">
        <v>292</v>
      </c>
      <c r="V35" s="9" t="s">
        <v>292</v>
      </c>
      <c r="X35" s="9" t="s">
        <v>292</v>
      </c>
      <c r="Z35" s="9" t="s">
        <v>292</v>
      </c>
      <c r="AB35" s="9" t="s">
        <v>292</v>
      </c>
      <c r="AD35" s="9" t="s">
        <v>292</v>
      </c>
      <c r="AF35" s="9" t="s">
        <v>292</v>
      </c>
      <c r="AH35" s="7">
        <v>44</v>
      </c>
      <c r="AI35" s="1">
        <v>44</v>
      </c>
      <c r="AJ35" s="9" t="s">
        <v>292</v>
      </c>
      <c r="AL35" s="1">
        <v>49</v>
      </c>
      <c r="AM35" s="1">
        <v>49</v>
      </c>
      <c r="AN35" s="9" t="s">
        <v>292</v>
      </c>
      <c r="AP35" s="9"/>
      <c r="AR35" s="9" t="s">
        <v>292</v>
      </c>
      <c r="AT35" s="9" t="s">
        <v>292</v>
      </c>
      <c r="AV35" s="9" t="s">
        <v>292</v>
      </c>
      <c r="AX35" s="1">
        <v>26</v>
      </c>
      <c r="AY35" s="1">
        <v>32</v>
      </c>
      <c r="AZ35" s="9" t="s">
        <v>292</v>
      </c>
      <c r="BD35" s="2">
        <v>32</v>
      </c>
    </row>
    <row r="36" spans="2:56" ht="15.75" x14ac:dyDescent="0.25">
      <c r="B36" s="2">
        <v>33</v>
      </c>
      <c r="D36" s="9" t="s">
        <v>292</v>
      </c>
      <c r="F36" s="9" t="s">
        <v>292</v>
      </c>
      <c r="H36" s="1">
        <v>39</v>
      </c>
      <c r="I36" s="1">
        <v>39</v>
      </c>
      <c r="J36" s="1">
        <v>43</v>
      </c>
      <c r="K36" s="1">
        <v>47</v>
      </c>
      <c r="L36" s="9" t="s">
        <v>292</v>
      </c>
      <c r="N36" s="9">
        <v>36</v>
      </c>
      <c r="O36" s="1">
        <v>38</v>
      </c>
      <c r="P36" s="1">
        <v>36</v>
      </c>
      <c r="Q36" s="1">
        <v>36</v>
      </c>
      <c r="R36" s="9" t="s">
        <v>292</v>
      </c>
      <c r="T36" s="9" t="s">
        <v>292</v>
      </c>
      <c r="V36" s="1">
        <v>55</v>
      </c>
      <c r="W36" s="1">
        <v>55</v>
      </c>
      <c r="X36" s="1">
        <v>40</v>
      </c>
      <c r="Y36" s="1">
        <v>46</v>
      </c>
      <c r="Z36" s="1">
        <v>38</v>
      </c>
      <c r="AA36" s="1">
        <v>44</v>
      </c>
      <c r="AB36" s="9" t="s">
        <v>292</v>
      </c>
      <c r="AD36" s="9" t="s">
        <v>292</v>
      </c>
      <c r="AF36" s="9" t="s">
        <v>292</v>
      </c>
      <c r="AH36" s="11" t="s">
        <v>292</v>
      </c>
      <c r="AJ36" s="9" t="s">
        <v>292</v>
      </c>
      <c r="AL36" s="9" t="s">
        <v>292</v>
      </c>
      <c r="AN36" s="9" t="s">
        <v>292</v>
      </c>
      <c r="AR36" s="9" t="s">
        <v>292</v>
      </c>
      <c r="AT36" s="9" t="s">
        <v>292</v>
      </c>
      <c r="AV36" s="1">
        <v>40</v>
      </c>
      <c r="AW36" s="1">
        <v>45</v>
      </c>
      <c r="AX36" s="1">
        <v>33</v>
      </c>
      <c r="AY36" s="1">
        <v>33</v>
      </c>
      <c r="AZ36" s="9" t="s">
        <v>292</v>
      </c>
      <c r="BD36" s="2">
        <v>33</v>
      </c>
    </row>
    <row r="37" spans="2:56" ht="15.75" x14ac:dyDescent="0.25">
      <c r="B37" s="2">
        <v>34</v>
      </c>
      <c r="D37" s="9" t="s">
        <v>292</v>
      </c>
      <c r="F37" s="9" t="s">
        <v>292</v>
      </c>
      <c r="H37" s="9" t="s">
        <v>292</v>
      </c>
      <c r="J37" s="9" t="s">
        <v>292</v>
      </c>
      <c r="L37" s="9" t="s">
        <v>292</v>
      </c>
      <c r="N37" s="9">
        <v>39</v>
      </c>
      <c r="O37" s="1">
        <v>41</v>
      </c>
      <c r="P37" s="1">
        <v>37</v>
      </c>
      <c r="Q37" s="1">
        <v>46</v>
      </c>
      <c r="R37" s="9" t="s">
        <v>292</v>
      </c>
      <c r="T37" s="9" t="s">
        <v>292</v>
      </c>
      <c r="V37" s="9" t="s">
        <v>292</v>
      </c>
      <c r="X37" s="9" t="s">
        <v>292</v>
      </c>
      <c r="Z37" s="9" t="s">
        <v>292</v>
      </c>
      <c r="AB37" s="1">
        <v>36</v>
      </c>
      <c r="AC37" s="1">
        <v>41</v>
      </c>
      <c r="AD37" s="9" t="s">
        <v>292</v>
      </c>
      <c r="AF37" s="9" t="s">
        <v>292</v>
      </c>
      <c r="AH37" s="11" t="s">
        <v>292</v>
      </c>
      <c r="AJ37" s="9" t="s">
        <v>292</v>
      </c>
      <c r="AL37" s="9" t="s">
        <v>292</v>
      </c>
      <c r="AN37" s="9" t="s">
        <v>292</v>
      </c>
      <c r="AP37" s="1">
        <v>0</v>
      </c>
      <c r="AQ37" s="1">
        <v>0</v>
      </c>
      <c r="AR37" s="9" t="s">
        <v>292</v>
      </c>
      <c r="AT37" s="9" t="s">
        <v>292</v>
      </c>
      <c r="AV37" s="1">
        <v>46</v>
      </c>
      <c r="AW37" s="1">
        <v>46</v>
      </c>
      <c r="AX37" s="9" t="s">
        <v>292</v>
      </c>
      <c r="AZ37" s="9" t="s">
        <v>292</v>
      </c>
      <c r="BD37" s="2">
        <v>34</v>
      </c>
    </row>
    <row r="38" spans="2:56" ht="15.75" x14ac:dyDescent="0.25">
      <c r="B38" s="2">
        <v>35</v>
      </c>
      <c r="D38" s="9" t="s">
        <v>292</v>
      </c>
      <c r="F38" s="9" t="s">
        <v>292</v>
      </c>
      <c r="H38" s="9" t="s">
        <v>292</v>
      </c>
      <c r="J38" s="9" t="s">
        <v>292</v>
      </c>
      <c r="L38" s="9" t="s">
        <v>292</v>
      </c>
      <c r="N38" s="9" t="s">
        <v>292</v>
      </c>
      <c r="P38" s="9">
        <v>47</v>
      </c>
      <c r="Q38" s="1">
        <v>47</v>
      </c>
      <c r="R38" s="9" t="s">
        <v>292</v>
      </c>
      <c r="T38" s="9" t="s">
        <v>292</v>
      </c>
      <c r="V38" s="9" t="s">
        <v>292</v>
      </c>
      <c r="X38" s="9" t="s">
        <v>292</v>
      </c>
      <c r="Z38" s="9" t="s">
        <v>292</v>
      </c>
      <c r="AB38" s="9" t="s">
        <v>292</v>
      </c>
      <c r="AD38" s="1">
        <v>38</v>
      </c>
      <c r="AE38" s="1">
        <v>43</v>
      </c>
      <c r="AF38" s="9" t="s">
        <v>292</v>
      </c>
      <c r="AH38" s="11" t="s">
        <v>292</v>
      </c>
      <c r="AJ38" s="1">
        <v>30</v>
      </c>
      <c r="AK38" s="1">
        <v>38</v>
      </c>
      <c r="AL38" s="9" t="s">
        <v>292</v>
      </c>
      <c r="AN38" s="1">
        <v>40</v>
      </c>
      <c r="AO38" s="1">
        <v>44</v>
      </c>
      <c r="AP38" s="9" t="s">
        <v>292</v>
      </c>
      <c r="AR38" s="9" t="s">
        <v>292</v>
      </c>
      <c r="AT38" s="9" t="s">
        <v>292</v>
      </c>
      <c r="AV38" s="9" t="s">
        <v>292</v>
      </c>
      <c r="AX38" s="9" t="s">
        <v>292</v>
      </c>
      <c r="AZ38" s="9" t="s">
        <v>292</v>
      </c>
      <c r="BD38" s="2">
        <v>35</v>
      </c>
    </row>
    <row r="39" spans="2:56" ht="15.75" x14ac:dyDescent="0.25">
      <c r="B39" s="2">
        <v>36</v>
      </c>
      <c r="D39" s="1">
        <v>47</v>
      </c>
      <c r="E39" s="1">
        <v>51</v>
      </c>
      <c r="F39" s="9" t="s">
        <v>292</v>
      </c>
      <c r="H39" s="9" t="s">
        <v>292</v>
      </c>
      <c r="J39" s="9" t="s">
        <v>292</v>
      </c>
      <c r="L39" s="1">
        <v>40</v>
      </c>
      <c r="M39" s="1">
        <v>45</v>
      </c>
      <c r="N39" s="1">
        <v>42</v>
      </c>
      <c r="O39" s="1">
        <v>43</v>
      </c>
      <c r="P39" s="9" t="s">
        <v>292</v>
      </c>
      <c r="Q39" s="9" t="s">
        <v>293</v>
      </c>
      <c r="R39" s="9" t="s">
        <v>292</v>
      </c>
      <c r="T39" s="9" t="s">
        <v>292</v>
      </c>
      <c r="V39" s="9" t="s">
        <v>292</v>
      </c>
      <c r="X39" s="9" t="s">
        <v>292</v>
      </c>
      <c r="Z39" s="9" t="s">
        <v>292</v>
      </c>
      <c r="AB39" s="9" t="s">
        <v>292</v>
      </c>
      <c r="AD39" s="1">
        <v>44</v>
      </c>
      <c r="AE39" s="1">
        <v>44</v>
      </c>
      <c r="AF39" s="1">
        <v>34</v>
      </c>
      <c r="AG39" s="1">
        <v>42</v>
      </c>
      <c r="AH39" s="11" t="s">
        <v>292</v>
      </c>
      <c r="AJ39" s="1">
        <v>39</v>
      </c>
      <c r="AK39" s="1">
        <v>39</v>
      </c>
      <c r="AL39" s="9" t="s">
        <v>292</v>
      </c>
      <c r="AN39" s="9" t="s">
        <v>292</v>
      </c>
      <c r="AP39" s="1">
        <v>1</v>
      </c>
      <c r="AQ39" s="1">
        <v>1</v>
      </c>
      <c r="AR39" s="9" t="s">
        <v>292</v>
      </c>
      <c r="AT39" s="1">
        <v>36</v>
      </c>
      <c r="AU39" s="1">
        <v>46</v>
      </c>
      <c r="AV39" s="9" t="s">
        <v>292</v>
      </c>
      <c r="AX39" s="9" t="s">
        <v>292</v>
      </c>
      <c r="AZ39" s="9" t="s">
        <v>292</v>
      </c>
      <c r="BD39" s="2">
        <v>36</v>
      </c>
    </row>
    <row r="40" spans="2:56" ht="15.75" x14ac:dyDescent="0.25">
      <c r="B40" s="2">
        <v>37</v>
      </c>
      <c r="D40" s="1">
        <v>52</v>
      </c>
      <c r="E40" s="1">
        <v>52</v>
      </c>
      <c r="F40" s="1">
        <v>42</v>
      </c>
      <c r="G40" s="1">
        <v>46</v>
      </c>
      <c r="H40" s="1">
        <v>40</v>
      </c>
      <c r="I40" s="1">
        <v>44</v>
      </c>
      <c r="J40" s="9" t="s">
        <v>292</v>
      </c>
      <c r="L40" s="1">
        <v>46</v>
      </c>
      <c r="M40" s="1">
        <v>46</v>
      </c>
      <c r="N40" s="1">
        <v>44</v>
      </c>
      <c r="O40" s="1">
        <v>46</v>
      </c>
      <c r="P40" s="9" t="s">
        <v>292</v>
      </c>
      <c r="Q40" s="9"/>
      <c r="R40" s="9" t="s">
        <v>292</v>
      </c>
      <c r="S40" s="9"/>
      <c r="T40" s="9">
        <v>40</v>
      </c>
      <c r="U40" s="9">
        <v>40</v>
      </c>
      <c r="V40" s="9" t="s">
        <v>292</v>
      </c>
      <c r="W40" s="9"/>
      <c r="X40" s="9" t="s">
        <v>292</v>
      </c>
      <c r="Z40" s="9" t="s">
        <v>292</v>
      </c>
      <c r="AB40" s="9" t="s">
        <v>292</v>
      </c>
      <c r="AD40" s="9" t="s">
        <v>292</v>
      </c>
      <c r="AF40" s="9" t="s">
        <v>292</v>
      </c>
      <c r="AH40" s="7">
        <v>45</v>
      </c>
      <c r="AI40" s="1">
        <v>51</v>
      </c>
      <c r="AJ40" s="9" t="s">
        <v>292</v>
      </c>
      <c r="AL40" s="9" t="s">
        <v>292</v>
      </c>
      <c r="AN40" s="9" t="s">
        <v>292</v>
      </c>
      <c r="AP40" s="1">
        <v>2</v>
      </c>
      <c r="AQ40" s="1">
        <v>57</v>
      </c>
      <c r="AR40" s="9" t="s">
        <v>292</v>
      </c>
      <c r="AT40" s="1">
        <v>47</v>
      </c>
      <c r="AU40" s="1">
        <v>47</v>
      </c>
      <c r="AV40" s="9" t="s">
        <v>292</v>
      </c>
      <c r="AX40" s="9" t="s">
        <v>292</v>
      </c>
      <c r="AZ40" s="9" t="s">
        <v>292</v>
      </c>
      <c r="BD40" s="2">
        <v>37</v>
      </c>
    </row>
    <row r="41" spans="2:56" ht="15.75" x14ac:dyDescent="0.25">
      <c r="B41" s="2">
        <v>38</v>
      </c>
      <c r="D41" s="9" t="s">
        <v>292</v>
      </c>
      <c r="F41" s="1">
        <v>47</v>
      </c>
      <c r="G41" s="1">
        <v>47</v>
      </c>
      <c r="H41" s="9" t="s">
        <v>292</v>
      </c>
      <c r="J41" s="1">
        <v>48</v>
      </c>
      <c r="K41" s="1">
        <v>49</v>
      </c>
      <c r="L41" s="9" t="s">
        <v>292</v>
      </c>
      <c r="N41" s="1">
        <v>47</v>
      </c>
      <c r="O41" s="1">
        <v>47</v>
      </c>
      <c r="P41" s="9" t="s">
        <v>292</v>
      </c>
      <c r="R41" s="9" t="s">
        <v>292</v>
      </c>
      <c r="T41" s="1">
        <v>41</v>
      </c>
      <c r="U41" s="1">
        <v>48</v>
      </c>
      <c r="V41" s="9" t="s">
        <v>292</v>
      </c>
      <c r="X41" s="1">
        <v>47</v>
      </c>
      <c r="Y41" s="1">
        <v>51</v>
      </c>
      <c r="Z41" s="9" t="s">
        <v>292</v>
      </c>
      <c r="AB41" s="9" t="s">
        <v>292</v>
      </c>
      <c r="AD41" s="9" t="s">
        <v>292</v>
      </c>
      <c r="AF41" s="9" t="s">
        <v>292</v>
      </c>
      <c r="AH41" s="7">
        <v>52</v>
      </c>
      <c r="AI41" s="1">
        <v>52</v>
      </c>
      <c r="AJ41" s="9" t="s">
        <v>292</v>
      </c>
      <c r="AL41" s="1">
        <v>50</v>
      </c>
      <c r="AM41" s="1">
        <v>50</v>
      </c>
      <c r="AN41" s="9" t="s">
        <v>292</v>
      </c>
      <c r="AP41" s="1">
        <v>58</v>
      </c>
      <c r="AQ41" s="1">
        <v>58</v>
      </c>
      <c r="AR41" s="9" t="s">
        <v>292</v>
      </c>
      <c r="AT41" s="9" t="s">
        <v>292</v>
      </c>
      <c r="AV41" s="9" t="s">
        <v>292</v>
      </c>
      <c r="AX41" s="1">
        <v>34</v>
      </c>
      <c r="AY41" s="1">
        <v>42</v>
      </c>
      <c r="AZ41" s="1">
        <v>30</v>
      </c>
      <c r="BA41" s="1">
        <v>31</v>
      </c>
      <c r="BD41" s="2">
        <v>38</v>
      </c>
    </row>
    <row r="42" spans="2:56" ht="15.75" x14ac:dyDescent="0.25">
      <c r="B42" s="2">
        <v>39</v>
      </c>
      <c r="D42" s="9" t="s">
        <v>292</v>
      </c>
      <c r="F42" s="9" t="s">
        <v>292</v>
      </c>
      <c r="H42" s="9" t="s">
        <v>292</v>
      </c>
      <c r="J42" s="1">
        <v>50</v>
      </c>
      <c r="K42" s="1">
        <v>53</v>
      </c>
      <c r="L42" s="9" t="s">
        <v>292</v>
      </c>
      <c r="N42" s="9" t="s">
        <v>292</v>
      </c>
      <c r="P42" s="9" t="s">
        <v>292</v>
      </c>
      <c r="R42" s="1">
        <v>40</v>
      </c>
      <c r="S42" s="1">
        <v>42</v>
      </c>
      <c r="T42" s="1">
        <v>49</v>
      </c>
      <c r="U42" s="1">
        <v>49</v>
      </c>
      <c r="V42" s="9" t="s">
        <v>292</v>
      </c>
      <c r="X42" s="1">
        <v>52</v>
      </c>
      <c r="Y42" s="1">
        <v>52</v>
      </c>
      <c r="Z42" s="1">
        <v>45</v>
      </c>
      <c r="AA42" s="1">
        <v>51</v>
      </c>
      <c r="AB42" s="1">
        <v>42</v>
      </c>
      <c r="AC42" s="1">
        <v>47</v>
      </c>
      <c r="AD42" s="9" t="s">
        <v>292</v>
      </c>
      <c r="AF42" s="9" t="s">
        <v>292</v>
      </c>
      <c r="AH42" s="11" t="s">
        <v>292</v>
      </c>
      <c r="AJ42" s="9" t="s">
        <v>292</v>
      </c>
      <c r="AL42" s="1">
        <v>51</v>
      </c>
      <c r="AM42" s="1">
        <v>58</v>
      </c>
      <c r="AN42" s="9" t="s">
        <v>292</v>
      </c>
      <c r="AP42" s="9" t="s">
        <v>292</v>
      </c>
      <c r="AR42" s="9" t="s">
        <v>292</v>
      </c>
      <c r="AT42" s="9" t="s">
        <v>292</v>
      </c>
      <c r="AV42" s="1">
        <v>47</v>
      </c>
      <c r="AW42" s="1">
        <v>51</v>
      </c>
      <c r="AX42" s="9" t="s">
        <v>292</v>
      </c>
      <c r="AZ42" s="1">
        <v>32</v>
      </c>
      <c r="BA42" s="1">
        <v>58</v>
      </c>
      <c r="BD42" s="2">
        <v>39</v>
      </c>
    </row>
    <row r="43" spans="2:56" ht="15.75" x14ac:dyDescent="0.25">
      <c r="B43" s="2">
        <v>40</v>
      </c>
      <c r="D43" s="9" t="s">
        <v>292</v>
      </c>
      <c r="F43" s="9" t="s">
        <v>292</v>
      </c>
      <c r="H43" s="1">
        <v>45</v>
      </c>
      <c r="I43" s="1">
        <v>49</v>
      </c>
      <c r="J43" s="9" t="s">
        <v>292</v>
      </c>
      <c r="L43" s="1">
        <v>47</v>
      </c>
      <c r="M43" s="1">
        <v>47</v>
      </c>
      <c r="N43" s="9" t="s">
        <v>292</v>
      </c>
      <c r="P43" s="9" t="s">
        <v>292</v>
      </c>
      <c r="R43" s="1">
        <v>43</v>
      </c>
      <c r="S43" s="1">
        <v>58</v>
      </c>
      <c r="T43" s="9" t="s">
        <v>292</v>
      </c>
      <c r="V43" s="1">
        <v>56</v>
      </c>
      <c r="W43" s="1">
        <v>57</v>
      </c>
      <c r="X43" s="9" t="s">
        <v>292</v>
      </c>
      <c r="Z43" s="1">
        <v>52</v>
      </c>
      <c r="AA43" s="1">
        <v>52</v>
      </c>
      <c r="AB43" s="9" t="s">
        <v>292</v>
      </c>
      <c r="AD43" s="1">
        <v>45</v>
      </c>
      <c r="AE43" s="1">
        <v>52</v>
      </c>
      <c r="AF43" s="9" t="s">
        <v>292</v>
      </c>
      <c r="AH43" s="11" t="s">
        <v>292</v>
      </c>
      <c r="AJ43" s="9" t="s">
        <v>292</v>
      </c>
      <c r="AL43" s="9" t="s">
        <v>292</v>
      </c>
      <c r="AN43" s="1">
        <v>45</v>
      </c>
      <c r="AO43" s="1">
        <v>48</v>
      </c>
      <c r="AP43" s="9" t="s">
        <v>292</v>
      </c>
      <c r="AR43" s="9" t="s">
        <v>292</v>
      </c>
      <c r="AT43" s="9" t="s">
        <v>292</v>
      </c>
      <c r="AV43" s="1">
        <v>52</v>
      </c>
      <c r="AW43" s="1">
        <v>52</v>
      </c>
      <c r="AX43" s="9" t="s">
        <v>292</v>
      </c>
      <c r="AZ43" s="1">
        <v>59</v>
      </c>
      <c r="BA43" s="1">
        <v>59</v>
      </c>
      <c r="BD43" s="2">
        <v>40</v>
      </c>
    </row>
    <row r="44" spans="2:56" ht="15.75" x14ac:dyDescent="0.25">
      <c r="B44" s="2">
        <v>41</v>
      </c>
      <c r="D44" s="9" t="s">
        <v>292</v>
      </c>
      <c r="F44" s="1">
        <v>48</v>
      </c>
      <c r="G44" s="1">
        <v>48</v>
      </c>
      <c r="H44" s="9" t="s">
        <v>292</v>
      </c>
      <c r="J44" s="9" t="s">
        <v>292</v>
      </c>
      <c r="L44" s="1">
        <v>48</v>
      </c>
      <c r="M44" s="1">
        <v>51</v>
      </c>
      <c r="N44" s="1">
        <v>48</v>
      </c>
      <c r="O44" s="1">
        <v>51</v>
      </c>
      <c r="P44" s="9" t="s">
        <v>292</v>
      </c>
      <c r="R44" s="9" t="s">
        <v>292</v>
      </c>
      <c r="T44" s="9" t="s">
        <v>292</v>
      </c>
      <c r="V44" s="1">
        <v>58</v>
      </c>
      <c r="W44" s="1">
        <v>58</v>
      </c>
      <c r="X44" s="9" t="s">
        <v>292</v>
      </c>
      <c r="Z44" s="9" t="s">
        <v>292</v>
      </c>
      <c r="AB44" s="9" t="s">
        <v>292</v>
      </c>
      <c r="AD44" s="9" t="s">
        <v>292</v>
      </c>
      <c r="AF44" s="9" t="s">
        <v>292</v>
      </c>
      <c r="AH44" s="11" t="s">
        <v>292</v>
      </c>
      <c r="AJ44" s="9" t="s">
        <v>292</v>
      </c>
      <c r="AL44" s="1">
        <v>59</v>
      </c>
      <c r="AM44" s="1">
        <v>59</v>
      </c>
      <c r="AN44" s="1">
        <v>49</v>
      </c>
      <c r="AO44" s="1">
        <v>49</v>
      </c>
      <c r="AP44" s="9" t="s">
        <v>292</v>
      </c>
      <c r="AR44" s="9" t="s">
        <v>292</v>
      </c>
      <c r="AT44" s="9" t="s">
        <v>292</v>
      </c>
      <c r="AV44" s="9" t="s">
        <v>292</v>
      </c>
      <c r="AX44" s="9" t="s">
        <v>292</v>
      </c>
      <c r="AZ44" s="9" t="s">
        <v>292</v>
      </c>
      <c r="BD44" s="2">
        <v>41</v>
      </c>
    </row>
    <row r="45" spans="2:56" ht="15.75" x14ac:dyDescent="0.25">
      <c r="B45" s="2">
        <v>42</v>
      </c>
      <c r="D45" s="1">
        <v>53</v>
      </c>
      <c r="E45" s="1">
        <v>58</v>
      </c>
      <c r="F45" s="1">
        <v>49</v>
      </c>
      <c r="G45" s="1">
        <v>52</v>
      </c>
      <c r="H45" s="9" t="s">
        <v>292</v>
      </c>
      <c r="J45" s="9" t="s">
        <v>292</v>
      </c>
      <c r="L45" s="1">
        <v>52</v>
      </c>
      <c r="M45" s="1">
        <v>52</v>
      </c>
      <c r="N45" s="1">
        <v>52</v>
      </c>
      <c r="O45" s="1">
        <v>52</v>
      </c>
      <c r="P45" s="9" t="s">
        <v>292</v>
      </c>
      <c r="R45" s="1">
        <v>59</v>
      </c>
      <c r="S45" s="1">
        <v>59</v>
      </c>
      <c r="T45" s="9" t="s">
        <v>292</v>
      </c>
      <c r="V45" s="9" t="s">
        <v>292</v>
      </c>
      <c r="X45" s="9" t="s">
        <v>292</v>
      </c>
      <c r="Z45" s="9" t="s">
        <v>292</v>
      </c>
      <c r="AB45" s="9" t="s">
        <v>292</v>
      </c>
      <c r="AD45" s="9" t="s">
        <v>292</v>
      </c>
      <c r="AF45" s="1">
        <v>43</v>
      </c>
      <c r="AG45" s="1">
        <v>50</v>
      </c>
      <c r="AH45" s="11" t="s">
        <v>292</v>
      </c>
      <c r="AJ45" s="1">
        <v>40</v>
      </c>
      <c r="AK45" s="1">
        <v>49</v>
      </c>
      <c r="AL45" s="9" t="s">
        <v>292</v>
      </c>
      <c r="AN45" s="9" t="s">
        <v>292</v>
      </c>
      <c r="AP45" s="9" t="s">
        <v>292</v>
      </c>
      <c r="AR45" s="9" t="s">
        <v>292</v>
      </c>
      <c r="AT45" s="1">
        <v>48</v>
      </c>
      <c r="AU45" s="1">
        <v>48</v>
      </c>
      <c r="AV45" s="9" t="s">
        <v>292</v>
      </c>
      <c r="AX45" s="1">
        <v>43</v>
      </c>
      <c r="AY45" s="1">
        <v>49</v>
      </c>
      <c r="AZ45" s="9" t="s">
        <v>292</v>
      </c>
      <c r="BD45" s="2">
        <v>42</v>
      </c>
    </row>
    <row r="46" spans="2:56" ht="15.75" x14ac:dyDescent="0.25">
      <c r="B46" s="2">
        <v>43</v>
      </c>
      <c r="D46" s="1">
        <v>59</v>
      </c>
      <c r="E46" s="1">
        <v>59</v>
      </c>
      <c r="F46" s="1">
        <v>53</v>
      </c>
      <c r="G46" s="1">
        <v>53</v>
      </c>
      <c r="H46" s="9" t="s">
        <v>292</v>
      </c>
      <c r="J46" s="9" t="s">
        <v>292</v>
      </c>
      <c r="L46" s="9" t="s">
        <v>292</v>
      </c>
      <c r="N46" s="1">
        <v>53</v>
      </c>
      <c r="O46" s="1">
        <v>53</v>
      </c>
      <c r="P46" s="1">
        <v>48</v>
      </c>
      <c r="Q46" s="1">
        <v>58</v>
      </c>
      <c r="R46" s="9" t="s">
        <v>292</v>
      </c>
      <c r="T46" s="9" t="s">
        <v>292</v>
      </c>
      <c r="V46" s="1">
        <v>59</v>
      </c>
      <c r="W46" s="1">
        <v>59</v>
      </c>
      <c r="X46" s="1">
        <v>53</v>
      </c>
      <c r="Y46" s="1">
        <v>59</v>
      </c>
      <c r="Z46" s="9" t="s">
        <v>292</v>
      </c>
      <c r="AB46" s="1">
        <v>48</v>
      </c>
      <c r="AC46" s="1">
        <v>53</v>
      </c>
      <c r="AD46" s="9" t="s">
        <v>292</v>
      </c>
      <c r="AF46" s="9" t="s">
        <v>292</v>
      </c>
      <c r="AH46" s="11" t="s">
        <v>292</v>
      </c>
      <c r="AJ46" s="9" t="s">
        <v>292</v>
      </c>
      <c r="AL46" s="9" t="s">
        <v>292</v>
      </c>
      <c r="AN46" s="9" t="s">
        <v>292</v>
      </c>
      <c r="AP46" s="9" t="s">
        <v>292</v>
      </c>
      <c r="AR46" s="9" t="s">
        <v>292</v>
      </c>
      <c r="AT46" s="1">
        <v>49</v>
      </c>
      <c r="AU46" s="1">
        <v>58</v>
      </c>
      <c r="AV46" s="9" t="s">
        <v>292</v>
      </c>
      <c r="AX46" s="1">
        <v>50</v>
      </c>
      <c r="AY46" s="1">
        <v>50</v>
      </c>
      <c r="AZ46" s="9" t="s">
        <v>292</v>
      </c>
      <c r="BD46" s="2">
        <v>43</v>
      </c>
    </row>
    <row r="47" spans="2:56" ht="15.75" x14ac:dyDescent="0.25">
      <c r="B47" s="2">
        <v>44</v>
      </c>
      <c r="D47" s="9" t="s">
        <v>292</v>
      </c>
      <c r="F47" s="9" t="s">
        <v>292</v>
      </c>
      <c r="H47" s="1">
        <v>50</v>
      </c>
      <c r="I47" s="1">
        <v>54</v>
      </c>
      <c r="J47" s="1">
        <v>54</v>
      </c>
      <c r="K47" s="1">
        <v>54</v>
      </c>
      <c r="L47" s="9" t="s">
        <v>292</v>
      </c>
      <c r="N47" s="9" t="s">
        <v>292</v>
      </c>
      <c r="P47" s="1">
        <v>59</v>
      </c>
      <c r="Q47" s="1">
        <v>59</v>
      </c>
      <c r="R47" s="9" t="s">
        <v>292</v>
      </c>
      <c r="T47" s="1">
        <v>50</v>
      </c>
      <c r="U47" s="1">
        <v>58</v>
      </c>
      <c r="V47" s="9" t="s">
        <v>292</v>
      </c>
      <c r="X47" s="9" t="s">
        <v>292</v>
      </c>
      <c r="Z47" s="9" t="s">
        <v>292</v>
      </c>
      <c r="AB47" s="9" t="s">
        <v>292</v>
      </c>
      <c r="AD47" s="9" t="s">
        <v>292</v>
      </c>
      <c r="AF47" s="9" t="s">
        <v>292</v>
      </c>
      <c r="AH47" s="11" t="s">
        <v>292</v>
      </c>
      <c r="AJ47" s="9" t="s">
        <v>292</v>
      </c>
      <c r="AL47" s="9" t="s">
        <v>292</v>
      </c>
      <c r="AN47" s="9" t="s">
        <v>292</v>
      </c>
      <c r="AP47" s="9" t="s">
        <v>292</v>
      </c>
      <c r="AR47" s="9" t="s">
        <v>292</v>
      </c>
      <c r="AT47" s="1">
        <v>59</v>
      </c>
      <c r="AU47" s="1">
        <v>59</v>
      </c>
      <c r="AV47" s="9" t="s">
        <v>292</v>
      </c>
      <c r="AX47" s="9" t="s">
        <v>292</v>
      </c>
      <c r="AZ47" s="9" t="s">
        <v>292</v>
      </c>
      <c r="BD47" s="2">
        <v>44</v>
      </c>
    </row>
    <row r="48" spans="2:56" ht="15.75" x14ac:dyDescent="0.25">
      <c r="B48" s="2">
        <v>45</v>
      </c>
      <c r="D48" s="9" t="s">
        <v>292</v>
      </c>
      <c r="F48" s="9" t="s">
        <v>292</v>
      </c>
      <c r="H48" s="9" t="s">
        <v>292</v>
      </c>
      <c r="J48" s="1">
        <v>55</v>
      </c>
      <c r="K48" s="1">
        <v>58</v>
      </c>
      <c r="L48" s="1">
        <v>53</v>
      </c>
      <c r="M48" s="1">
        <v>54</v>
      </c>
      <c r="N48" s="9" t="s">
        <v>292</v>
      </c>
      <c r="P48" s="9" t="s">
        <v>292</v>
      </c>
      <c r="R48" s="9" t="s">
        <v>292</v>
      </c>
      <c r="T48" s="9" t="s">
        <v>292</v>
      </c>
      <c r="V48" s="9" t="s">
        <v>292</v>
      </c>
      <c r="X48" s="9" t="s">
        <v>292</v>
      </c>
      <c r="Z48" s="1">
        <v>53</v>
      </c>
      <c r="AA48" s="1">
        <v>58</v>
      </c>
      <c r="AB48" s="9" t="s">
        <v>292</v>
      </c>
      <c r="AD48" s="1">
        <v>53</v>
      </c>
      <c r="AE48" s="1">
        <v>59</v>
      </c>
      <c r="AF48" s="9" t="s">
        <v>292</v>
      </c>
      <c r="AH48" s="7">
        <v>53</v>
      </c>
      <c r="AI48" s="1">
        <v>58</v>
      </c>
      <c r="AJ48" s="9" t="s">
        <v>292</v>
      </c>
      <c r="AL48" s="9" t="s">
        <v>292</v>
      </c>
      <c r="AN48" s="1">
        <v>50</v>
      </c>
      <c r="AO48" s="1">
        <v>54</v>
      </c>
      <c r="AP48" s="1">
        <v>59</v>
      </c>
      <c r="AQ48" s="1">
        <v>59</v>
      </c>
      <c r="AR48" s="9" t="s">
        <v>292</v>
      </c>
      <c r="AT48" s="9" t="s">
        <v>292</v>
      </c>
      <c r="AV48" s="1">
        <v>53</v>
      </c>
      <c r="AW48" s="1">
        <v>59</v>
      </c>
      <c r="AX48" s="1">
        <v>51</v>
      </c>
      <c r="AZ48" s="9" t="s">
        <v>292</v>
      </c>
      <c r="BD48" s="2">
        <v>45</v>
      </c>
    </row>
    <row r="49" spans="2:56" ht="15.75" x14ac:dyDescent="0.25">
      <c r="B49" s="2">
        <v>46</v>
      </c>
      <c r="D49" s="9" t="s">
        <v>292</v>
      </c>
      <c r="F49" s="1">
        <v>54</v>
      </c>
      <c r="G49" s="1">
        <v>58</v>
      </c>
      <c r="H49" s="9" t="s">
        <v>292</v>
      </c>
      <c r="J49" s="1">
        <v>59</v>
      </c>
      <c r="K49" s="1">
        <v>59</v>
      </c>
      <c r="L49" s="1">
        <v>55</v>
      </c>
      <c r="M49" s="1">
        <v>58</v>
      </c>
      <c r="N49" s="1">
        <v>54</v>
      </c>
      <c r="O49" s="1">
        <v>57</v>
      </c>
      <c r="P49" s="9" t="s">
        <v>292</v>
      </c>
      <c r="R49" s="9" t="s">
        <v>292</v>
      </c>
      <c r="T49" s="1">
        <v>59</v>
      </c>
      <c r="U49" s="1">
        <v>59</v>
      </c>
      <c r="V49" s="9" t="s">
        <v>292</v>
      </c>
      <c r="X49" s="9" t="s">
        <v>292</v>
      </c>
      <c r="Z49" s="1">
        <v>59</v>
      </c>
      <c r="AA49" s="1">
        <v>59</v>
      </c>
      <c r="AB49" s="9" t="s">
        <v>292</v>
      </c>
      <c r="AD49" s="9" t="s">
        <v>292</v>
      </c>
      <c r="AF49" s="9" t="s">
        <v>292</v>
      </c>
      <c r="AH49" s="7">
        <v>59</v>
      </c>
      <c r="AI49" s="1">
        <v>59</v>
      </c>
      <c r="AJ49" s="1">
        <v>50</v>
      </c>
      <c r="AK49" s="1">
        <v>58</v>
      </c>
      <c r="AL49" s="9" t="s">
        <v>292</v>
      </c>
      <c r="AN49" s="9" t="s">
        <v>292</v>
      </c>
      <c r="AP49" s="9" t="s">
        <v>292</v>
      </c>
      <c r="AR49" s="9" t="s">
        <v>292</v>
      </c>
      <c r="AT49" s="9" t="s">
        <v>292</v>
      </c>
      <c r="AV49" s="9" t="s">
        <v>292</v>
      </c>
      <c r="AX49" s="1">
        <v>52</v>
      </c>
      <c r="AY49" s="1">
        <v>59</v>
      </c>
      <c r="AZ49" s="9" t="s">
        <v>292</v>
      </c>
      <c r="BD49" s="2">
        <v>46</v>
      </c>
    </row>
    <row r="50" spans="2:56" ht="15.75" x14ac:dyDescent="0.25">
      <c r="B50" s="2">
        <v>47</v>
      </c>
      <c r="D50" s="9" t="s">
        <v>292</v>
      </c>
      <c r="F50" s="1">
        <v>59</v>
      </c>
      <c r="G50" s="1">
        <v>59</v>
      </c>
      <c r="H50" s="1">
        <v>55</v>
      </c>
      <c r="I50" s="1">
        <v>59</v>
      </c>
      <c r="J50" s="9" t="s">
        <v>292</v>
      </c>
      <c r="L50" s="1">
        <v>59</v>
      </c>
      <c r="M50" s="1">
        <v>59</v>
      </c>
      <c r="N50" s="1">
        <v>58</v>
      </c>
      <c r="O50" s="1">
        <v>58</v>
      </c>
      <c r="P50" s="9" t="s">
        <v>292</v>
      </c>
      <c r="R50" s="9" t="s">
        <v>292</v>
      </c>
      <c r="T50" s="9" t="s">
        <v>292</v>
      </c>
      <c r="V50" s="1">
        <v>60</v>
      </c>
      <c r="W50" s="1">
        <v>62</v>
      </c>
      <c r="X50" s="9" t="s">
        <v>292</v>
      </c>
      <c r="Z50" s="9" t="s">
        <v>292</v>
      </c>
      <c r="AB50" s="1">
        <v>54</v>
      </c>
      <c r="AC50" s="1">
        <v>58</v>
      </c>
      <c r="AD50" s="9" t="s">
        <v>292</v>
      </c>
      <c r="AF50" s="1">
        <v>51</v>
      </c>
      <c r="AG50" s="1">
        <v>58</v>
      </c>
      <c r="AH50" s="11" t="s">
        <v>292</v>
      </c>
      <c r="AJ50" s="1">
        <v>59</v>
      </c>
      <c r="AK50" s="1">
        <v>59</v>
      </c>
      <c r="AL50" s="9" t="s">
        <v>292</v>
      </c>
      <c r="AN50" s="9" t="s">
        <v>292</v>
      </c>
      <c r="AP50" s="9" t="s">
        <v>292</v>
      </c>
      <c r="AR50" s="9" t="s">
        <v>292</v>
      </c>
      <c r="AT50" s="9" t="s">
        <v>292</v>
      </c>
      <c r="AV50" s="9" t="s">
        <v>292</v>
      </c>
      <c r="AX50" s="9" t="s">
        <v>292</v>
      </c>
      <c r="AZ50" s="9" t="s">
        <v>292</v>
      </c>
      <c r="BD50" s="2">
        <v>47</v>
      </c>
    </row>
    <row r="51" spans="2:56" ht="15.75" x14ac:dyDescent="0.25">
      <c r="B51" s="2">
        <v>48</v>
      </c>
      <c r="D51" s="1">
        <v>60</v>
      </c>
      <c r="E51" s="1">
        <v>61</v>
      </c>
      <c r="F51" s="9" t="s">
        <v>292</v>
      </c>
      <c r="H51" s="9" t="s">
        <v>292</v>
      </c>
      <c r="J51" s="9" t="s">
        <v>292</v>
      </c>
      <c r="L51" s="9" t="s">
        <v>292</v>
      </c>
      <c r="N51" s="1">
        <v>59</v>
      </c>
      <c r="O51" s="1">
        <v>59</v>
      </c>
      <c r="P51" s="9" t="s">
        <v>292</v>
      </c>
      <c r="R51" s="9" t="s">
        <v>292</v>
      </c>
      <c r="T51" s="9" t="s">
        <v>292</v>
      </c>
      <c r="V51" s="9" t="s">
        <v>292</v>
      </c>
      <c r="X51" s="1">
        <v>60</v>
      </c>
      <c r="Y51" s="1">
        <v>61</v>
      </c>
      <c r="Z51" s="9" t="s">
        <v>292</v>
      </c>
      <c r="AB51" s="1">
        <v>59</v>
      </c>
      <c r="AC51" s="1">
        <v>59</v>
      </c>
      <c r="AD51" s="9" t="s">
        <v>292</v>
      </c>
      <c r="AF51" s="1">
        <v>59</v>
      </c>
      <c r="AG51" s="1">
        <v>59</v>
      </c>
      <c r="AH51" s="11" t="s">
        <v>292</v>
      </c>
      <c r="AJ51" s="9" t="s">
        <v>292</v>
      </c>
      <c r="AL51" s="1">
        <v>60</v>
      </c>
      <c r="AM51" s="1">
        <v>61</v>
      </c>
      <c r="AN51" s="1">
        <v>55</v>
      </c>
      <c r="AO51" s="1">
        <v>59</v>
      </c>
      <c r="AP51" s="9" t="s">
        <v>292</v>
      </c>
      <c r="AR51" s="1">
        <v>60</v>
      </c>
      <c r="AS51" s="1">
        <v>60</v>
      </c>
      <c r="AT51" s="9" t="s">
        <v>292</v>
      </c>
      <c r="AV51" s="9" t="s">
        <v>292</v>
      </c>
      <c r="AX51" s="9" t="s">
        <v>292</v>
      </c>
      <c r="AZ51" s="9" t="s">
        <v>292</v>
      </c>
      <c r="BD51" s="2">
        <v>48</v>
      </c>
    </row>
    <row r="52" spans="2:56" ht="15.75" x14ac:dyDescent="0.25">
      <c r="B52" s="2">
        <v>49</v>
      </c>
      <c r="D52" s="1">
        <v>62</v>
      </c>
      <c r="E52" s="1">
        <v>62</v>
      </c>
      <c r="F52" s="9" t="s">
        <v>292</v>
      </c>
      <c r="H52" s="9" t="s">
        <v>292</v>
      </c>
      <c r="J52" s="9" t="s">
        <v>292</v>
      </c>
      <c r="L52" s="9" t="s">
        <v>292</v>
      </c>
      <c r="N52" s="9" t="s">
        <v>292</v>
      </c>
      <c r="P52" s="9">
        <v>60</v>
      </c>
      <c r="Q52" s="1">
        <v>60</v>
      </c>
      <c r="R52" s="9" t="s">
        <v>292</v>
      </c>
      <c r="T52" s="9" t="s">
        <v>292</v>
      </c>
      <c r="V52" s="1">
        <v>63</v>
      </c>
      <c r="W52" s="1">
        <v>63</v>
      </c>
      <c r="X52" s="9" t="s">
        <v>292</v>
      </c>
      <c r="Z52" s="9" t="s">
        <v>292</v>
      </c>
      <c r="AB52" s="9" t="s">
        <v>292</v>
      </c>
      <c r="AD52" s="1">
        <v>60</v>
      </c>
      <c r="AE52" s="1">
        <v>61</v>
      </c>
      <c r="AF52" s="9" t="s">
        <v>292</v>
      </c>
      <c r="AH52" s="11" t="s">
        <v>292</v>
      </c>
      <c r="AJ52" s="9" t="s">
        <v>292</v>
      </c>
      <c r="AL52" s="1">
        <v>62</v>
      </c>
      <c r="AM52" s="1">
        <v>62</v>
      </c>
      <c r="AN52" s="9" t="s">
        <v>292</v>
      </c>
      <c r="AP52" s="9" t="s">
        <v>292</v>
      </c>
      <c r="AR52" s="9" t="s">
        <v>292</v>
      </c>
      <c r="AT52" s="9" t="s">
        <v>292</v>
      </c>
      <c r="AV52" s="1">
        <v>60</v>
      </c>
      <c r="AW52" s="1">
        <v>60</v>
      </c>
      <c r="AX52" s="1">
        <v>60</v>
      </c>
      <c r="AY52" s="1">
        <v>61</v>
      </c>
      <c r="AZ52" s="9" t="s">
        <v>292</v>
      </c>
      <c r="BD52" s="2">
        <v>49</v>
      </c>
    </row>
    <row r="53" spans="2:56" ht="15.75" x14ac:dyDescent="0.25">
      <c r="B53" s="2">
        <v>50</v>
      </c>
      <c r="D53" s="9" t="s">
        <v>292</v>
      </c>
      <c r="F53" s="9">
        <v>60</v>
      </c>
      <c r="G53" s="1">
        <v>70</v>
      </c>
      <c r="H53" s="9" t="s">
        <v>292</v>
      </c>
      <c r="J53" s="9" t="s">
        <v>292</v>
      </c>
      <c r="L53" s="1">
        <v>60</v>
      </c>
      <c r="M53" s="1">
        <v>61</v>
      </c>
      <c r="N53" s="9" t="s">
        <v>292</v>
      </c>
      <c r="P53" s="9" t="s">
        <v>292</v>
      </c>
      <c r="R53" s="1">
        <v>60</v>
      </c>
      <c r="S53" s="1">
        <v>60</v>
      </c>
      <c r="T53" s="9" t="s">
        <v>292</v>
      </c>
      <c r="V53" s="9" t="s">
        <v>292</v>
      </c>
      <c r="X53" s="9" t="s">
        <v>292</v>
      </c>
      <c r="Z53" s="9" t="s">
        <v>292</v>
      </c>
      <c r="AB53" s="9" t="s">
        <v>292</v>
      </c>
      <c r="AD53" s="9" t="s">
        <v>292</v>
      </c>
      <c r="AF53" s="9" t="s">
        <v>292</v>
      </c>
      <c r="AH53" s="11" t="s">
        <v>292</v>
      </c>
      <c r="AJ53" s="1">
        <v>60</v>
      </c>
      <c r="AK53" s="1">
        <v>62</v>
      </c>
      <c r="AL53" s="9" t="s">
        <v>292</v>
      </c>
      <c r="AN53" s="1">
        <v>60</v>
      </c>
      <c r="AO53" s="1">
        <v>62</v>
      </c>
      <c r="AP53" s="9" t="s">
        <v>292</v>
      </c>
      <c r="AR53" s="9" t="s">
        <v>292</v>
      </c>
      <c r="AT53" s="1">
        <v>60</v>
      </c>
      <c r="AU53" s="1">
        <v>60</v>
      </c>
      <c r="AV53" s="1">
        <v>61</v>
      </c>
      <c r="AW53" s="1">
        <v>61</v>
      </c>
      <c r="AX53" s="9" t="s">
        <v>292</v>
      </c>
      <c r="AZ53" s="9" t="s">
        <v>292</v>
      </c>
      <c r="BD53" s="2">
        <v>50</v>
      </c>
    </row>
    <row r="54" spans="2:56" ht="15.75" x14ac:dyDescent="0.25">
      <c r="B54" s="2">
        <v>51</v>
      </c>
      <c r="D54" s="9" t="s">
        <v>292</v>
      </c>
      <c r="F54" s="1">
        <v>71</v>
      </c>
      <c r="G54" s="1">
        <v>73</v>
      </c>
      <c r="H54" s="1">
        <v>60</v>
      </c>
      <c r="I54" s="1">
        <v>64</v>
      </c>
      <c r="J54" s="1">
        <v>60</v>
      </c>
      <c r="K54" s="1">
        <v>66</v>
      </c>
      <c r="L54" s="9" t="s">
        <v>292</v>
      </c>
      <c r="N54" s="1">
        <v>60</v>
      </c>
      <c r="O54" s="1">
        <v>60</v>
      </c>
      <c r="P54" s="1">
        <v>61</v>
      </c>
      <c r="Q54" s="1">
        <v>61</v>
      </c>
      <c r="R54" s="9" t="s">
        <v>292</v>
      </c>
      <c r="T54" s="9" t="s">
        <v>292</v>
      </c>
      <c r="V54" s="9" t="s">
        <v>292</v>
      </c>
      <c r="X54" s="9" t="s">
        <v>292</v>
      </c>
      <c r="Z54" s="1">
        <v>60</v>
      </c>
      <c r="AA54" s="1">
        <v>61</v>
      </c>
      <c r="AB54" s="1">
        <v>60</v>
      </c>
      <c r="AC54" s="1">
        <v>60</v>
      </c>
      <c r="AD54" s="9" t="s">
        <v>292</v>
      </c>
      <c r="AF54" s="9" t="s">
        <v>292</v>
      </c>
      <c r="AH54" s="7">
        <v>60</v>
      </c>
      <c r="AI54" s="1">
        <v>61</v>
      </c>
      <c r="AJ54" s="9" t="s">
        <v>292</v>
      </c>
      <c r="AL54" s="9" t="s">
        <v>292</v>
      </c>
      <c r="AN54" s="9" t="s">
        <v>292</v>
      </c>
      <c r="AP54" s="9" t="s">
        <v>292</v>
      </c>
      <c r="AR54" s="9" t="s">
        <v>292</v>
      </c>
      <c r="AT54" s="1">
        <v>61</v>
      </c>
      <c r="AU54" s="1">
        <v>61</v>
      </c>
      <c r="AV54" s="9" t="s">
        <v>292</v>
      </c>
      <c r="AX54" s="9" t="s">
        <v>292</v>
      </c>
      <c r="AZ54" s="1">
        <v>60</v>
      </c>
      <c r="BA54" s="1">
        <v>60</v>
      </c>
      <c r="BD54" s="2">
        <v>51</v>
      </c>
    </row>
    <row r="55" spans="2:56" ht="15.75" x14ac:dyDescent="0.25">
      <c r="B55" s="2">
        <v>52</v>
      </c>
      <c r="D55" s="9" t="s">
        <v>292</v>
      </c>
      <c r="F55" s="1">
        <v>74</v>
      </c>
      <c r="G55" s="1">
        <v>74</v>
      </c>
      <c r="H55" s="9" t="s">
        <v>292</v>
      </c>
      <c r="J55" s="9" t="s">
        <v>292</v>
      </c>
      <c r="L55" s="1">
        <v>62</v>
      </c>
      <c r="M55" s="1">
        <v>62</v>
      </c>
      <c r="N55" s="9" t="s">
        <v>292</v>
      </c>
      <c r="P55" s="9" t="s">
        <v>292</v>
      </c>
      <c r="R55" s="1">
        <v>61</v>
      </c>
      <c r="S55" s="1">
        <v>61</v>
      </c>
      <c r="T55" s="1">
        <v>60</v>
      </c>
      <c r="U55" s="1">
        <v>60</v>
      </c>
      <c r="V55" s="9" t="s">
        <v>292</v>
      </c>
      <c r="X55" s="1">
        <v>62</v>
      </c>
      <c r="Y55" s="1">
        <v>62</v>
      </c>
      <c r="Z55" s="9" t="s">
        <v>292</v>
      </c>
      <c r="AB55" s="1">
        <v>61</v>
      </c>
      <c r="AC55" s="1">
        <v>61</v>
      </c>
      <c r="AD55" s="9" t="s">
        <v>292</v>
      </c>
      <c r="AF55" s="1">
        <v>60</v>
      </c>
      <c r="AG55" s="1">
        <v>61</v>
      </c>
      <c r="AH55" s="7">
        <v>62</v>
      </c>
      <c r="AI55" s="1">
        <v>64</v>
      </c>
      <c r="AJ55" s="9">
        <v>63</v>
      </c>
      <c r="AK55" s="1">
        <v>63</v>
      </c>
      <c r="AL55" s="9" t="s">
        <v>292</v>
      </c>
      <c r="AN55" s="9" t="s">
        <v>292</v>
      </c>
      <c r="AP55" s="9" t="s">
        <v>292</v>
      </c>
      <c r="AR55" s="1">
        <v>61</v>
      </c>
      <c r="AS55" s="1">
        <v>61</v>
      </c>
      <c r="AT55" s="9" t="s">
        <v>292</v>
      </c>
      <c r="AV55" s="9" t="s">
        <v>292</v>
      </c>
      <c r="AX55" s="1">
        <v>62</v>
      </c>
      <c r="AY55" s="1">
        <v>62</v>
      </c>
      <c r="AZ55" s="9" t="s">
        <v>292</v>
      </c>
      <c r="BD55" s="2">
        <v>52</v>
      </c>
    </row>
    <row r="56" spans="2:56" ht="15.75" x14ac:dyDescent="0.25">
      <c r="B56" s="2">
        <v>53</v>
      </c>
      <c r="D56" s="9" t="s">
        <v>292</v>
      </c>
      <c r="F56" s="9" t="s">
        <v>292</v>
      </c>
      <c r="H56" s="9" t="s">
        <v>292</v>
      </c>
      <c r="J56" s="1">
        <v>67</v>
      </c>
      <c r="K56" s="1">
        <v>67</v>
      </c>
      <c r="L56" s="9" t="s">
        <v>292</v>
      </c>
      <c r="N56" s="9" t="s">
        <v>292</v>
      </c>
      <c r="P56" s="9" t="s">
        <v>292</v>
      </c>
      <c r="R56" s="9" t="s">
        <v>292</v>
      </c>
      <c r="T56" s="1">
        <v>61</v>
      </c>
      <c r="U56" s="1">
        <v>61</v>
      </c>
      <c r="V56" s="9" t="s">
        <v>292</v>
      </c>
      <c r="X56" s="1">
        <v>63</v>
      </c>
      <c r="Y56" s="1">
        <v>63</v>
      </c>
      <c r="Z56" s="9" t="s">
        <v>292</v>
      </c>
      <c r="AB56" s="9" t="s">
        <v>292</v>
      </c>
      <c r="AD56" s="1">
        <v>62</v>
      </c>
      <c r="AE56" s="1">
        <v>63</v>
      </c>
      <c r="AF56" s="1">
        <v>62</v>
      </c>
      <c r="AG56" s="1">
        <v>62</v>
      </c>
      <c r="AH56" s="11" t="s">
        <v>292</v>
      </c>
      <c r="AJ56" s="9" t="s">
        <v>292</v>
      </c>
      <c r="AL56" s="9" t="s">
        <v>292</v>
      </c>
      <c r="AN56" s="1">
        <v>63</v>
      </c>
      <c r="AO56" s="1">
        <v>65</v>
      </c>
      <c r="AP56" s="9" t="s">
        <v>292</v>
      </c>
      <c r="AR56" s="9" t="s">
        <v>292</v>
      </c>
      <c r="AT56" s="9" t="s">
        <v>292</v>
      </c>
      <c r="AV56" s="9" t="s">
        <v>292</v>
      </c>
      <c r="AX56" s="1">
        <v>63</v>
      </c>
      <c r="AY56" s="1">
        <v>63</v>
      </c>
      <c r="AZ56" s="1">
        <v>61</v>
      </c>
      <c r="BA56" s="1">
        <v>61</v>
      </c>
      <c r="BD56" s="2">
        <v>53</v>
      </c>
    </row>
    <row r="57" spans="2:56" ht="15.75" x14ac:dyDescent="0.25">
      <c r="B57" s="2">
        <v>54</v>
      </c>
      <c r="D57" s="1">
        <v>63</v>
      </c>
      <c r="E57" s="1">
        <v>63</v>
      </c>
      <c r="F57" s="9" t="s">
        <v>292</v>
      </c>
      <c r="H57" s="1">
        <v>65</v>
      </c>
      <c r="I57" s="1">
        <v>68</v>
      </c>
      <c r="J57" s="9" t="s">
        <v>292</v>
      </c>
      <c r="L57" s="9" t="s">
        <v>292</v>
      </c>
      <c r="N57" s="9" t="s">
        <v>292</v>
      </c>
      <c r="P57" s="9" t="s">
        <v>292</v>
      </c>
      <c r="R57" s="9" t="s">
        <v>292</v>
      </c>
      <c r="T57" s="9" t="s">
        <v>292</v>
      </c>
      <c r="V57" s="9" t="s">
        <v>292</v>
      </c>
      <c r="X57" s="9" t="s">
        <v>292</v>
      </c>
      <c r="Z57" s="9" t="s">
        <v>292</v>
      </c>
      <c r="AB57" s="9" t="s">
        <v>292</v>
      </c>
      <c r="AD57" s="9" t="s">
        <v>292</v>
      </c>
      <c r="AF57" s="9" t="s">
        <v>292</v>
      </c>
      <c r="AH57" s="11" t="s">
        <v>292</v>
      </c>
      <c r="AJ57" s="9" t="s">
        <v>292</v>
      </c>
      <c r="AL57" s="9" t="s">
        <v>292</v>
      </c>
      <c r="AN57" s="9" t="s">
        <v>292</v>
      </c>
      <c r="AP57" s="9" t="s">
        <v>292</v>
      </c>
      <c r="AR57" s="9" t="s">
        <v>292</v>
      </c>
      <c r="AT57" s="9" t="s">
        <v>292</v>
      </c>
      <c r="AV57" s="9" t="s">
        <v>292</v>
      </c>
      <c r="AX57" s="9" t="s">
        <v>292</v>
      </c>
      <c r="AZ57" s="9" t="s">
        <v>292</v>
      </c>
      <c r="BD57" s="2">
        <v>54</v>
      </c>
    </row>
    <row r="58" spans="2:56" ht="15.75" x14ac:dyDescent="0.25">
      <c r="B58" s="2">
        <v>55</v>
      </c>
      <c r="D58" s="9" t="s">
        <v>292</v>
      </c>
      <c r="F58" s="1">
        <v>75</v>
      </c>
      <c r="G58" s="1">
        <v>75</v>
      </c>
      <c r="H58" s="1">
        <v>69</v>
      </c>
      <c r="I58" s="1">
        <v>69</v>
      </c>
      <c r="J58" s="9" t="s">
        <v>292</v>
      </c>
      <c r="L58" s="9" t="s">
        <v>292</v>
      </c>
      <c r="N58" s="1">
        <v>61</v>
      </c>
      <c r="O58" s="1">
        <v>62</v>
      </c>
      <c r="P58" s="9" t="s">
        <v>292</v>
      </c>
      <c r="R58" s="9" t="s">
        <v>292</v>
      </c>
      <c r="T58" s="9" t="s">
        <v>292</v>
      </c>
      <c r="V58" s="9" t="s">
        <v>292</v>
      </c>
      <c r="X58" s="9" t="s">
        <v>292</v>
      </c>
      <c r="Z58" s="9" t="s">
        <v>292</v>
      </c>
      <c r="AB58" s="9" t="s">
        <v>292</v>
      </c>
      <c r="AD58" s="9" t="s">
        <v>292</v>
      </c>
      <c r="AF58" s="9" t="s">
        <v>292</v>
      </c>
      <c r="AH58" s="11" t="s">
        <v>292</v>
      </c>
      <c r="AJ58" s="9" t="s">
        <v>292</v>
      </c>
      <c r="AL58" s="1">
        <v>63</v>
      </c>
      <c r="AM58" s="1">
        <v>64</v>
      </c>
      <c r="AN58" s="1">
        <v>66</v>
      </c>
      <c r="AO58" s="1">
        <v>67</v>
      </c>
      <c r="AP58" s="9" t="s">
        <v>292</v>
      </c>
      <c r="AR58" s="9" t="s">
        <v>292</v>
      </c>
      <c r="AT58" s="1">
        <v>62</v>
      </c>
      <c r="AU58" s="1">
        <v>62</v>
      </c>
      <c r="AV58" s="9" t="s">
        <v>292</v>
      </c>
      <c r="AX58" s="1">
        <v>64</v>
      </c>
      <c r="AY58" s="1">
        <v>65</v>
      </c>
      <c r="AZ58" s="9" t="s">
        <v>292</v>
      </c>
      <c r="BD58" s="2">
        <v>55</v>
      </c>
    </row>
    <row r="59" spans="2:56" ht="15.75" x14ac:dyDescent="0.25">
      <c r="B59" s="2">
        <v>56</v>
      </c>
      <c r="D59" s="1">
        <v>64</v>
      </c>
      <c r="E59" s="1">
        <v>64</v>
      </c>
      <c r="F59" s="1">
        <v>76</v>
      </c>
      <c r="G59" s="1">
        <v>76</v>
      </c>
      <c r="H59" s="9" t="s">
        <v>292</v>
      </c>
      <c r="J59" s="9" t="s">
        <v>292</v>
      </c>
      <c r="L59" s="1">
        <v>63</v>
      </c>
      <c r="M59" s="1">
        <v>63</v>
      </c>
      <c r="N59" s="9" t="s">
        <v>292</v>
      </c>
      <c r="P59" s="9">
        <v>62</v>
      </c>
      <c r="Q59" s="1">
        <v>62</v>
      </c>
      <c r="R59" s="9" t="s">
        <v>292</v>
      </c>
      <c r="T59" s="9" t="s">
        <v>292</v>
      </c>
      <c r="V59" s="9" t="s">
        <v>292</v>
      </c>
      <c r="X59" s="9" t="s">
        <v>292</v>
      </c>
      <c r="Z59" s="1">
        <v>62</v>
      </c>
      <c r="AA59" s="1">
        <v>62</v>
      </c>
      <c r="AB59" s="1">
        <v>62</v>
      </c>
      <c r="AC59" s="1">
        <v>62</v>
      </c>
      <c r="AD59" s="9" t="s">
        <v>292</v>
      </c>
      <c r="AF59" s="9" t="s">
        <v>292</v>
      </c>
      <c r="AH59" s="11" t="s">
        <v>292</v>
      </c>
      <c r="AJ59" s="1">
        <v>64</v>
      </c>
      <c r="AK59" s="1">
        <v>66</v>
      </c>
      <c r="AL59" s="9" t="s">
        <v>292</v>
      </c>
      <c r="AN59" s="9">
        <v>68</v>
      </c>
      <c r="AO59" s="1">
        <v>68</v>
      </c>
      <c r="AP59" s="9" t="s">
        <v>292</v>
      </c>
      <c r="AR59" s="9" t="s">
        <v>292</v>
      </c>
      <c r="AT59" s="1">
        <v>63</v>
      </c>
      <c r="AU59" s="1">
        <v>63</v>
      </c>
      <c r="AV59" s="1">
        <v>62</v>
      </c>
      <c r="AW59" s="1">
        <v>62</v>
      </c>
      <c r="AX59" s="9" t="s">
        <v>292</v>
      </c>
      <c r="AZ59" s="9" t="s">
        <v>292</v>
      </c>
      <c r="BD59" s="2">
        <v>56</v>
      </c>
    </row>
    <row r="60" spans="2:56" ht="15.75" x14ac:dyDescent="0.25">
      <c r="B60" s="2">
        <v>57</v>
      </c>
      <c r="D60" s="9" t="s">
        <v>292</v>
      </c>
      <c r="F60" s="9" t="s">
        <v>292</v>
      </c>
      <c r="H60" s="1">
        <v>70</v>
      </c>
      <c r="I60" s="1">
        <v>74</v>
      </c>
      <c r="J60" s="1">
        <v>68</v>
      </c>
      <c r="K60" s="1">
        <v>72</v>
      </c>
      <c r="L60" s="9" t="s">
        <v>292</v>
      </c>
      <c r="N60" s="9" t="s">
        <v>292</v>
      </c>
      <c r="P60" s="9">
        <v>63</v>
      </c>
      <c r="Q60" s="1">
        <v>63</v>
      </c>
      <c r="R60" s="9" t="s">
        <v>292</v>
      </c>
      <c r="T60" s="9" t="s">
        <v>292</v>
      </c>
      <c r="V60" s="9" t="s">
        <v>292</v>
      </c>
      <c r="X60" s="1">
        <v>64</v>
      </c>
      <c r="Y60" s="1">
        <v>64</v>
      </c>
      <c r="Z60" s="9" t="s">
        <v>292</v>
      </c>
      <c r="AB60" s="9" t="s">
        <v>292</v>
      </c>
      <c r="AD60" s="1">
        <v>64</v>
      </c>
      <c r="AE60" s="1">
        <v>64</v>
      </c>
      <c r="AF60" s="1">
        <v>63</v>
      </c>
      <c r="AG60" s="1">
        <v>64</v>
      </c>
      <c r="AH60" s="7">
        <v>75</v>
      </c>
      <c r="AI60" s="1">
        <v>76</v>
      </c>
      <c r="AJ60" s="1">
        <v>67</v>
      </c>
      <c r="AK60" s="1">
        <v>67</v>
      </c>
      <c r="AL60" s="1">
        <v>65</v>
      </c>
      <c r="AM60" s="1">
        <v>65</v>
      </c>
      <c r="AN60" s="9" t="s">
        <v>292</v>
      </c>
      <c r="AP60" s="9" t="s">
        <v>292</v>
      </c>
      <c r="AR60" s="9" t="s">
        <v>292</v>
      </c>
      <c r="AT60" s="9" t="s">
        <v>292</v>
      </c>
      <c r="AV60" s="1">
        <v>63</v>
      </c>
      <c r="AW60" s="1">
        <v>63</v>
      </c>
      <c r="AX60" s="1">
        <v>66</v>
      </c>
      <c r="AY60" s="1">
        <v>68</v>
      </c>
      <c r="AZ60" s="9" t="s">
        <v>292</v>
      </c>
      <c r="BD60" s="2">
        <v>57</v>
      </c>
    </row>
    <row r="61" spans="2:56" ht="15.75" x14ac:dyDescent="0.25">
      <c r="B61" s="2">
        <v>58</v>
      </c>
      <c r="D61" s="9" t="s">
        <v>292</v>
      </c>
      <c r="F61" s="9" t="s">
        <v>292</v>
      </c>
      <c r="H61" s="9" t="s">
        <v>292</v>
      </c>
      <c r="J61" s="1">
        <v>73</v>
      </c>
      <c r="K61" s="1">
        <v>73</v>
      </c>
      <c r="L61" s="1">
        <v>64</v>
      </c>
      <c r="M61" s="1">
        <v>64</v>
      </c>
      <c r="N61" s="9" t="s">
        <v>292</v>
      </c>
      <c r="P61" s="9" t="s">
        <v>292</v>
      </c>
      <c r="R61" s="9" t="s">
        <v>292</v>
      </c>
      <c r="T61" s="9" t="s">
        <v>292</v>
      </c>
      <c r="V61" s="9" t="s">
        <v>292</v>
      </c>
      <c r="X61" s="1">
        <v>65</v>
      </c>
      <c r="Y61" s="1">
        <v>65</v>
      </c>
      <c r="Z61" s="9" t="s">
        <v>292</v>
      </c>
      <c r="AB61" s="9" t="s">
        <v>292</v>
      </c>
      <c r="AD61" s="1">
        <v>65</v>
      </c>
      <c r="AE61" s="1">
        <v>65</v>
      </c>
      <c r="AF61" s="1">
        <v>65</v>
      </c>
      <c r="AG61" s="1">
        <v>65</v>
      </c>
      <c r="AH61" s="11" t="s">
        <v>292</v>
      </c>
      <c r="AJ61" s="9" t="s">
        <v>292</v>
      </c>
      <c r="AL61" s="9" t="s">
        <v>292</v>
      </c>
      <c r="AN61" s="9" t="s">
        <v>292</v>
      </c>
      <c r="AP61" s="9" t="s">
        <v>292</v>
      </c>
      <c r="AR61" s="9" t="s">
        <v>292</v>
      </c>
      <c r="AT61" s="9" t="s">
        <v>292</v>
      </c>
      <c r="AV61" s="9" t="s">
        <v>292</v>
      </c>
      <c r="AX61" s="9" t="s">
        <v>292</v>
      </c>
      <c r="AZ61" s="9" t="s">
        <v>292</v>
      </c>
      <c r="BD61" s="2">
        <v>58</v>
      </c>
    </row>
    <row r="62" spans="2:56" ht="15.75" x14ac:dyDescent="0.25">
      <c r="B62" s="2">
        <v>59</v>
      </c>
      <c r="D62" s="9" t="s">
        <v>292</v>
      </c>
      <c r="F62" s="9" t="s">
        <v>292</v>
      </c>
      <c r="H62" s="9" t="s">
        <v>292</v>
      </c>
      <c r="J62" s="1">
        <v>74</v>
      </c>
      <c r="K62" s="1">
        <v>74</v>
      </c>
      <c r="L62" s="9" t="s">
        <v>292</v>
      </c>
      <c r="N62" s="9" t="s">
        <v>292</v>
      </c>
      <c r="P62" s="9" t="s">
        <v>292</v>
      </c>
      <c r="R62" s="9" t="s">
        <v>292</v>
      </c>
      <c r="T62" s="9" t="s">
        <v>292</v>
      </c>
      <c r="V62" s="1">
        <v>64</v>
      </c>
      <c r="W62" s="1">
        <v>65</v>
      </c>
      <c r="X62" s="9" t="s">
        <v>292</v>
      </c>
      <c r="Z62" s="9" t="s">
        <v>292</v>
      </c>
      <c r="AB62" s="1">
        <v>63</v>
      </c>
      <c r="AC62" s="1">
        <v>63</v>
      </c>
      <c r="AD62" s="9" t="s">
        <v>292</v>
      </c>
      <c r="AF62" s="9" t="s">
        <v>292</v>
      </c>
      <c r="AH62" s="7">
        <v>77</v>
      </c>
      <c r="AI62" s="1">
        <v>77</v>
      </c>
      <c r="AJ62" s="9" t="s">
        <v>292</v>
      </c>
      <c r="AL62" s="9" t="s">
        <v>292</v>
      </c>
      <c r="AN62" s="1">
        <v>69</v>
      </c>
      <c r="AO62" s="1">
        <v>70</v>
      </c>
      <c r="AP62" s="9" t="s">
        <v>292</v>
      </c>
      <c r="AR62" s="9" t="s">
        <v>292</v>
      </c>
      <c r="AT62" s="9" t="s">
        <v>292</v>
      </c>
      <c r="AV62" s="9" t="s">
        <v>292</v>
      </c>
      <c r="AX62" s="1">
        <v>69</v>
      </c>
      <c r="AY62" s="1">
        <v>69</v>
      </c>
      <c r="AZ62" s="9" t="s">
        <v>292</v>
      </c>
      <c r="BD62" s="2">
        <v>59</v>
      </c>
    </row>
    <row r="63" spans="2:56" ht="15.75" x14ac:dyDescent="0.25">
      <c r="B63" s="2">
        <v>60</v>
      </c>
      <c r="D63" s="9" t="s">
        <v>292</v>
      </c>
      <c r="F63" s="9" t="s">
        <v>292</v>
      </c>
      <c r="H63" s="9" t="s">
        <v>292</v>
      </c>
      <c r="J63" s="9" t="s">
        <v>292</v>
      </c>
      <c r="L63" s="9" t="s">
        <v>292</v>
      </c>
      <c r="N63" s="9">
        <v>63</v>
      </c>
      <c r="O63" s="1">
        <v>63</v>
      </c>
      <c r="P63" s="9" t="s">
        <v>292</v>
      </c>
      <c r="R63" s="9">
        <v>62</v>
      </c>
      <c r="S63" s="1">
        <v>62</v>
      </c>
      <c r="T63" s="1">
        <v>62</v>
      </c>
      <c r="U63" s="1">
        <v>62</v>
      </c>
      <c r="V63" s="1">
        <v>66</v>
      </c>
      <c r="W63" s="1">
        <v>66</v>
      </c>
      <c r="X63" s="9" t="s">
        <v>292</v>
      </c>
      <c r="Z63" s="1">
        <v>63</v>
      </c>
      <c r="AA63" s="1">
        <v>63</v>
      </c>
      <c r="AB63" s="1">
        <v>64</v>
      </c>
      <c r="AC63" s="1">
        <v>64</v>
      </c>
      <c r="AD63" s="9" t="s">
        <v>292</v>
      </c>
      <c r="AF63" s="9" t="s">
        <v>292</v>
      </c>
      <c r="AH63" s="11" t="s">
        <v>292</v>
      </c>
      <c r="AJ63" s="9" t="s">
        <v>292</v>
      </c>
      <c r="AL63" s="9" t="s">
        <v>292</v>
      </c>
      <c r="AN63" s="1">
        <v>71</v>
      </c>
      <c r="AO63" s="1">
        <v>71</v>
      </c>
      <c r="AP63" s="9" t="s">
        <v>292</v>
      </c>
      <c r="AR63" s="9" t="s">
        <v>292</v>
      </c>
      <c r="AT63" s="1">
        <v>64</v>
      </c>
      <c r="AU63" s="1">
        <v>64</v>
      </c>
      <c r="AV63" s="9" t="s">
        <v>292</v>
      </c>
      <c r="AX63" s="1">
        <v>70</v>
      </c>
      <c r="AY63" s="1">
        <v>70</v>
      </c>
      <c r="AZ63" s="9" t="s">
        <v>292</v>
      </c>
      <c r="BD63" s="2">
        <v>60</v>
      </c>
    </row>
    <row r="64" spans="2:56" ht="15.75" x14ac:dyDescent="0.25">
      <c r="B64" s="2">
        <v>61</v>
      </c>
      <c r="D64" s="1">
        <v>65</v>
      </c>
      <c r="E64" s="1">
        <v>66</v>
      </c>
      <c r="F64" s="1">
        <v>77</v>
      </c>
      <c r="G64" s="1">
        <v>77</v>
      </c>
      <c r="H64" s="1">
        <v>75</v>
      </c>
      <c r="I64" s="1">
        <v>75</v>
      </c>
      <c r="J64" s="9" t="s">
        <v>292</v>
      </c>
      <c r="L64" s="9" t="s">
        <v>292</v>
      </c>
      <c r="N64" s="9" t="s">
        <v>292</v>
      </c>
      <c r="P64" s="1">
        <v>64</v>
      </c>
      <c r="Q64" s="1">
        <v>64</v>
      </c>
      <c r="R64" s="9" t="s">
        <v>292</v>
      </c>
      <c r="T64" s="9" t="s">
        <v>292</v>
      </c>
      <c r="V64" s="9" t="s">
        <v>292</v>
      </c>
      <c r="X64" s="9" t="s">
        <v>292</v>
      </c>
      <c r="Z64" s="1">
        <v>64</v>
      </c>
      <c r="AA64" s="1">
        <v>64</v>
      </c>
      <c r="AB64" s="9" t="s">
        <v>292</v>
      </c>
      <c r="AD64" s="1">
        <v>66</v>
      </c>
      <c r="AE64" s="1">
        <v>66</v>
      </c>
      <c r="AF64" s="9" t="s">
        <v>292</v>
      </c>
      <c r="AH64" s="11" t="s">
        <v>292</v>
      </c>
      <c r="AJ64" s="9" t="s">
        <v>292</v>
      </c>
      <c r="AL64" s="9" t="s">
        <v>292</v>
      </c>
      <c r="AN64" s="9" t="s">
        <v>292</v>
      </c>
      <c r="AP64" s="9" t="s">
        <v>292</v>
      </c>
      <c r="AR64" s="1">
        <v>62</v>
      </c>
      <c r="AS64" s="1">
        <v>62</v>
      </c>
      <c r="AT64" s="1">
        <v>65</v>
      </c>
      <c r="AU64" s="1">
        <v>65</v>
      </c>
      <c r="AV64" s="1">
        <v>64</v>
      </c>
      <c r="AW64" s="1">
        <v>64</v>
      </c>
      <c r="AX64" s="9" t="s">
        <v>292</v>
      </c>
      <c r="AZ64" s="1">
        <v>62</v>
      </c>
      <c r="BA64" s="1">
        <v>62</v>
      </c>
      <c r="BD64" s="2">
        <v>61</v>
      </c>
    </row>
    <row r="65" spans="2:56" ht="15.75" x14ac:dyDescent="0.25">
      <c r="B65" s="2">
        <v>62</v>
      </c>
      <c r="D65" s="1">
        <v>67</v>
      </c>
      <c r="E65" s="1">
        <v>67</v>
      </c>
      <c r="F65" s="9" t="s">
        <v>292</v>
      </c>
      <c r="H65" s="9" t="s">
        <v>292</v>
      </c>
      <c r="J65" s="9" t="s">
        <v>292</v>
      </c>
      <c r="L65" s="1">
        <v>65</v>
      </c>
      <c r="M65" s="1">
        <v>66</v>
      </c>
      <c r="N65" s="9" t="s">
        <v>292</v>
      </c>
      <c r="P65" s="9" t="s">
        <v>292</v>
      </c>
      <c r="R65" s="1">
        <v>63</v>
      </c>
      <c r="S65" s="1">
        <v>63</v>
      </c>
      <c r="T65" s="9" t="s">
        <v>292</v>
      </c>
      <c r="V65" s="1">
        <v>67</v>
      </c>
      <c r="W65" s="1">
        <v>67</v>
      </c>
      <c r="X65" s="9" t="s">
        <v>292</v>
      </c>
      <c r="Z65" s="9" t="s">
        <v>292</v>
      </c>
      <c r="AB65" s="9" t="s">
        <v>292</v>
      </c>
      <c r="AD65" s="1">
        <v>67</v>
      </c>
      <c r="AE65" s="1">
        <v>67</v>
      </c>
      <c r="AF65" s="1">
        <v>66</v>
      </c>
      <c r="AG65" s="1">
        <v>66</v>
      </c>
      <c r="AH65" s="11" t="s">
        <v>292</v>
      </c>
      <c r="AJ65" s="9" t="s">
        <v>292</v>
      </c>
      <c r="AL65" s="9" t="s">
        <v>292</v>
      </c>
      <c r="AN65" s="1">
        <v>72</v>
      </c>
      <c r="AO65" s="1">
        <v>74</v>
      </c>
      <c r="AP65" s="9" t="s">
        <v>292</v>
      </c>
      <c r="AR65" s="9" t="s">
        <v>292</v>
      </c>
      <c r="AT65" s="9" t="s">
        <v>292</v>
      </c>
      <c r="AV65" s="1">
        <v>65</v>
      </c>
      <c r="AW65" s="1">
        <v>65</v>
      </c>
      <c r="AX65" s="1">
        <v>71</v>
      </c>
      <c r="AY65" s="1">
        <v>71</v>
      </c>
      <c r="AZ65" s="9" t="s">
        <v>292</v>
      </c>
      <c r="BD65" s="2">
        <v>62</v>
      </c>
    </row>
    <row r="66" spans="2:56" ht="15.75" x14ac:dyDescent="0.25">
      <c r="B66" s="2">
        <v>63</v>
      </c>
      <c r="D66" s="9" t="s">
        <v>292</v>
      </c>
      <c r="F66" s="9" t="s">
        <v>292</v>
      </c>
      <c r="H66" s="9">
        <v>76</v>
      </c>
      <c r="I66" s="1">
        <v>76</v>
      </c>
      <c r="J66" s="1">
        <v>75</v>
      </c>
      <c r="K66" s="1">
        <v>76</v>
      </c>
      <c r="L66" s="1">
        <v>67</v>
      </c>
      <c r="M66" s="1">
        <v>67</v>
      </c>
      <c r="N66" s="1">
        <v>64</v>
      </c>
      <c r="O66" s="1">
        <v>64</v>
      </c>
      <c r="P66" s="1">
        <v>65</v>
      </c>
      <c r="Q66" s="1">
        <v>65</v>
      </c>
      <c r="R66" s="9" t="s">
        <v>292</v>
      </c>
      <c r="T66" s="9" t="s">
        <v>292</v>
      </c>
      <c r="V66" s="9" t="s">
        <v>292</v>
      </c>
      <c r="X66" s="1">
        <v>66</v>
      </c>
      <c r="Y66" s="1">
        <v>67</v>
      </c>
      <c r="Z66" s="9" t="s">
        <v>292</v>
      </c>
      <c r="AB66" s="9" t="s">
        <v>292</v>
      </c>
      <c r="AD66" s="9" t="s">
        <v>292</v>
      </c>
      <c r="AF66" s="1">
        <v>67</v>
      </c>
      <c r="AG66" s="1">
        <v>67</v>
      </c>
      <c r="AH66" s="11" t="s">
        <v>292</v>
      </c>
      <c r="AJ66" s="1">
        <v>68</v>
      </c>
      <c r="AK66" s="1">
        <v>68</v>
      </c>
      <c r="AL66" s="9" t="s">
        <v>292</v>
      </c>
      <c r="AN66" s="9" t="s">
        <v>292</v>
      </c>
      <c r="AP66" s="9" t="s">
        <v>292</v>
      </c>
      <c r="AR66" s="9" t="s">
        <v>292</v>
      </c>
      <c r="AT66" s="9" t="s">
        <v>292</v>
      </c>
      <c r="AV66" s="9" t="s">
        <v>292</v>
      </c>
      <c r="AX66" s="1">
        <v>72</v>
      </c>
      <c r="AY66" s="1">
        <v>72</v>
      </c>
      <c r="AZ66" s="1">
        <v>63</v>
      </c>
      <c r="BA66" s="1">
        <v>63</v>
      </c>
      <c r="BD66" s="2">
        <v>63</v>
      </c>
    </row>
    <row r="67" spans="2:56" ht="15.75" x14ac:dyDescent="0.25">
      <c r="B67" s="2">
        <v>64</v>
      </c>
      <c r="D67" s="9" t="s">
        <v>292</v>
      </c>
      <c r="F67" s="1">
        <v>78</v>
      </c>
      <c r="G67" s="1">
        <v>78</v>
      </c>
      <c r="H67" s="9" t="s">
        <v>292</v>
      </c>
      <c r="J67" s="1">
        <v>77</v>
      </c>
      <c r="K67" s="1">
        <v>77</v>
      </c>
      <c r="L67" s="9" t="s">
        <v>292</v>
      </c>
      <c r="N67" s="9" t="s">
        <v>292</v>
      </c>
      <c r="P67" s="9" t="s">
        <v>292</v>
      </c>
      <c r="R67" s="9" t="s">
        <v>292</v>
      </c>
      <c r="T67" s="1">
        <v>63</v>
      </c>
      <c r="U67" s="1">
        <v>63</v>
      </c>
      <c r="V67" s="9" t="s">
        <v>292</v>
      </c>
      <c r="X67" s="1">
        <v>68</v>
      </c>
      <c r="Y67" s="1">
        <v>68</v>
      </c>
      <c r="Z67" s="9" t="s">
        <v>292</v>
      </c>
      <c r="AB67" s="1">
        <v>65</v>
      </c>
      <c r="AC67" s="1">
        <v>65</v>
      </c>
      <c r="AD67" s="9" t="s">
        <v>292</v>
      </c>
      <c r="AF67" s="1">
        <v>68</v>
      </c>
      <c r="AG67" s="1">
        <v>68</v>
      </c>
      <c r="AH67" s="7">
        <v>78</v>
      </c>
      <c r="AI67" s="1">
        <v>78</v>
      </c>
      <c r="AJ67" s="1">
        <v>69</v>
      </c>
      <c r="AK67" s="1">
        <v>69</v>
      </c>
      <c r="AL67" s="9" t="s">
        <v>292</v>
      </c>
      <c r="AN67" s="9" t="s">
        <v>292</v>
      </c>
      <c r="AP67" s="9" t="s">
        <v>292</v>
      </c>
      <c r="AR67" s="1">
        <v>63</v>
      </c>
      <c r="AS67" s="1">
        <v>63</v>
      </c>
      <c r="AT67" s="9" t="s">
        <v>292</v>
      </c>
      <c r="AV67" s="9" t="s">
        <v>292</v>
      </c>
      <c r="AX67" s="9" t="s">
        <v>292</v>
      </c>
      <c r="AZ67" s="9" t="s">
        <v>292</v>
      </c>
      <c r="BD67" s="2">
        <v>64</v>
      </c>
    </row>
    <row r="68" spans="2:56" ht="15.75" x14ac:dyDescent="0.25">
      <c r="B68" s="2">
        <v>65</v>
      </c>
      <c r="D68" s="1">
        <v>68</v>
      </c>
      <c r="E68" s="1">
        <v>68</v>
      </c>
      <c r="F68" s="9">
        <v>79</v>
      </c>
      <c r="G68" s="1">
        <v>79</v>
      </c>
      <c r="H68" s="1">
        <v>77</v>
      </c>
      <c r="I68" s="1">
        <v>77</v>
      </c>
      <c r="J68" s="9" t="s">
        <v>292</v>
      </c>
      <c r="L68" s="9" t="s">
        <v>292</v>
      </c>
      <c r="N68" s="9" t="s">
        <v>292</v>
      </c>
      <c r="P68" s="9" t="s">
        <v>292</v>
      </c>
      <c r="R68" s="9" t="s">
        <v>292</v>
      </c>
      <c r="T68" s="9" t="s">
        <v>292</v>
      </c>
      <c r="V68" s="9" t="s">
        <v>292</v>
      </c>
      <c r="X68" s="9" t="s">
        <v>292</v>
      </c>
      <c r="Z68" s="1">
        <v>65</v>
      </c>
      <c r="AA68" s="1">
        <v>65</v>
      </c>
      <c r="AB68" s="9" t="s">
        <v>292</v>
      </c>
      <c r="AD68" s="1">
        <v>68</v>
      </c>
      <c r="AE68" s="1">
        <v>68</v>
      </c>
      <c r="AF68" s="9" t="s">
        <v>292</v>
      </c>
      <c r="AH68" s="11" t="s">
        <v>292</v>
      </c>
      <c r="AJ68" s="1">
        <v>70</v>
      </c>
      <c r="AK68" s="1">
        <v>70</v>
      </c>
      <c r="AL68" s="1">
        <v>66</v>
      </c>
      <c r="AM68" s="1">
        <v>67</v>
      </c>
      <c r="AN68" s="1">
        <v>75</v>
      </c>
      <c r="AO68" s="1">
        <v>76</v>
      </c>
      <c r="AP68" s="1">
        <v>60</v>
      </c>
      <c r="AQ68" s="1">
        <v>64</v>
      </c>
      <c r="AR68" s="9" t="s">
        <v>292</v>
      </c>
      <c r="AT68" s="1">
        <v>66</v>
      </c>
      <c r="AU68" s="1">
        <v>66</v>
      </c>
      <c r="AV68" s="9" t="s">
        <v>292</v>
      </c>
      <c r="AX68" s="9" t="s">
        <v>292</v>
      </c>
      <c r="AZ68" s="9" t="s">
        <v>292</v>
      </c>
      <c r="BD68" s="2">
        <v>65</v>
      </c>
    </row>
    <row r="69" spans="2:56" ht="15.75" x14ac:dyDescent="0.25">
      <c r="B69" s="2">
        <v>66</v>
      </c>
      <c r="D69" s="9" t="s">
        <v>292</v>
      </c>
      <c r="F69" s="9" t="s">
        <v>292</v>
      </c>
      <c r="H69" s="9" t="s">
        <v>292</v>
      </c>
      <c r="J69" s="9" t="s">
        <v>292</v>
      </c>
      <c r="L69" s="9" t="s">
        <v>292</v>
      </c>
      <c r="N69" s="1">
        <v>65</v>
      </c>
      <c r="O69" s="1">
        <v>65</v>
      </c>
      <c r="P69" s="9" t="s">
        <v>292</v>
      </c>
      <c r="R69" s="9" t="s">
        <v>292</v>
      </c>
      <c r="T69" s="1">
        <v>64</v>
      </c>
      <c r="U69" s="1">
        <v>64</v>
      </c>
      <c r="V69" s="9" t="s">
        <v>292</v>
      </c>
      <c r="X69" s="9" t="s">
        <v>292</v>
      </c>
      <c r="Z69" s="1">
        <v>66</v>
      </c>
      <c r="AA69" s="1">
        <v>66</v>
      </c>
      <c r="AB69" s="9" t="s">
        <v>292</v>
      </c>
      <c r="AD69" s="9" t="s">
        <v>292</v>
      </c>
      <c r="AF69" s="9" t="s">
        <v>292</v>
      </c>
      <c r="AH69" s="11" t="s">
        <v>292</v>
      </c>
      <c r="AJ69" s="9" t="s">
        <v>292</v>
      </c>
      <c r="AL69" s="9" t="s">
        <v>292</v>
      </c>
      <c r="AN69" s="1">
        <v>77</v>
      </c>
      <c r="AO69" s="1">
        <v>77</v>
      </c>
      <c r="AP69" s="1">
        <v>65</v>
      </c>
      <c r="AQ69" s="1">
        <v>65</v>
      </c>
      <c r="AR69" s="9" t="s">
        <v>292</v>
      </c>
      <c r="AT69" s="1">
        <v>67</v>
      </c>
      <c r="AU69" s="1">
        <v>67</v>
      </c>
      <c r="AV69" s="1">
        <v>66</v>
      </c>
      <c r="AW69" s="1">
        <v>66</v>
      </c>
      <c r="AX69" s="1">
        <v>73</v>
      </c>
      <c r="AY69" s="1">
        <v>73</v>
      </c>
      <c r="AZ69" s="9" t="s">
        <v>292</v>
      </c>
      <c r="BD69" s="2">
        <v>66</v>
      </c>
    </row>
    <row r="70" spans="2:56" ht="15.75" x14ac:dyDescent="0.25">
      <c r="B70" s="2">
        <v>67</v>
      </c>
      <c r="D70" s="1">
        <v>69</v>
      </c>
      <c r="E70" s="1">
        <v>69</v>
      </c>
      <c r="F70" s="9" t="s">
        <v>292</v>
      </c>
      <c r="H70" s="9" t="s">
        <v>292</v>
      </c>
      <c r="J70" s="9" t="s">
        <v>292</v>
      </c>
      <c r="L70" s="1">
        <v>68</v>
      </c>
      <c r="M70" s="1">
        <v>68</v>
      </c>
      <c r="N70" s="1">
        <v>66</v>
      </c>
      <c r="O70" s="1">
        <v>66</v>
      </c>
      <c r="P70" s="9" t="s">
        <v>292</v>
      </c>
      <c r="R70" s="1">
        <v>64</v>
      </c>
      <c r="S70" s="1">
        <v>64</v>
      </c>
      <c r="T70" s="9" t="s">
        <v>292</v>
      </c>
      <c r="V70" s="9" t="s">
        <v>292</v>
      </c>
      <c r="X70" s="9" t="s">
        <v>292</v>
      </c>
      <c r="Z70" s="9" t="s">
        <v>292</v>
      </c>
      <c r="AB70" s="1">
        <v>66</v>
      </c>
      <c r="AC70" s="1">
        <v>67</v>
      </c>
      <c r="AD70" s="9" t="s">
        <v>292</v>
      </c>
      <c r="AF70" s="9" t="s">
        <v>292</v>
      </c>
      <c r="AH70" s="7">
        <v>79</v>
      </c>
      <c r="AI70" s="1">
        <v>79</v>
      </c>
      <c r="AJ70" s="9" t="s">
        <v>292</v>
      </c>
      <c r="AL70" s="1">
        <v>68</v>
      </c>
      <c r="AM70" s="1">
        <v>68</v>
      </c>
      <c r="AN70" s="9" t="s">
        <v>292</v>
      </c>
      <c r="AP70" s="1">
        <v>66</v>
      </c>
      <c r="AQ70" s="1">
        <v>66</v>
      </c>
      <c r="AR70" s="9" t="s">
        <v>292</v>
      </c>
      <c r="AT70" s="9" t="s">
        <v>292</v>
      </c>
      <c r="AV70" s="1">
        <v>67</v>
      </c>
      <c r="AW70" s="1">
        <v>67</v>
      </c>
      <c r="AX70" s="1">
        <v>74</v>
      </c>
      <c r="AY70" s="1">
        <v>74</v>
      </c>
      <c r="AZ70" s="9" t="s">
        <v>292</v>
      </c>
      <c r="BD70" s="2">
        <v>67</v>
      </c>
    </row>
    <row r="71" spans="2:56" ht="15.75" x14ac:dyDescent="0.25">
      <c r="B71" s="2">
        <v>68</v>
      </c>
      <c r="D71" s="9" t="s">
        <v>292</v>
      </c>
      <c r="F71" s="1">
        <v>80</v>
      </c>
      <c r="G71" s="1">
        <v>80</v>
      </c>
      <c r="H71" s="1">
        <v>78</v>
      </c>
      <c r="I71" s="1">
        <v>78</v>
      </c>
      <c r="J71" s="1">
        <v>78</v>
      </c>
      <c r="K71" s="1">
        <v>78</v>
      </c>
      <c r="L71" s="1">
        <v>69</v>
      </c>
      <c r="M71" s="1">
        <v>69</v>
      </c>
      <c r="N71" s="9" t="s">
        <v>292</v>
      </c>
      <c r="P71" s="1">
        <v>66</v>
      </c>
      <c r="Q71" s="1">
        <v>67</v>
      </c>
      <c r="R71" s="9" t="s">
        <v>292</v>
      </c>
      <c r="T71" s="9" t="s">
        <v>292</v>
      </c>
      <c r="V71" s="1">
        <v>68</v>
      </c>
      <c r="W71" s="1">
        <v>69</v>
      </c>
      <c r="X71" s="1">
        <v>69</v>
      </c>
      <c r="Y71" s="1">
        <v>69</v>
      </c>
      <c r="Z71" s="9" t="s">
        <v>292</v>
      </c>
      <c r="AB71" s="9" t="s">
        <v>292</v>
      </c>
      <c r="AD71" s="9" t="s">
        <v>292</v>
      </c>
      <c r="AF71" s="1">
        <v>69</v>
      </c>
      <c r="AG71" s="1">
        <v>70</v>
      </c>
      <c r="AH71" s="11" t="s">
        <v>292</v>
      </c>
      <c r="AJ71" s="9" t="s">
        <v>292</v>
      </c>
      <c r="AL71" s="9" t="s">
        <v>292</v>
      </c>
      <c r="AN71" s="9" t="s">
        <v>292</v>
      </c>
      <c r="AP71" s="9" t="s">
        <v>292</v>
      </c>
      <c r="AR71" s="9" t="s">
        <v>292</v>
      </c>
      <c r="AT71" s="9" t="s">
        <v>292</v>
      </c>
      <c r="AV71" s="9" t="s">
        <v>292</v>
      </c>
      <c r="AX71" s="9" t="s">
        <v>292</v>
      </c>
      <c r="AZ71" s="9" t="s">
        <v>292</v>
      </c>
      <c r="BD71" s="2">
        <v>68</v>
      </c>
    </row>
    <row r="72" spans="2:56" ht="15.75" x14ac:dyDescent="0.25">
      <c r="B72" s="2">
        <v>69</v>
      </c>
      <c r="D72" s="9" t="s">
        <v>292</v>
      </c>
      <c r="F72" s="9" t="s">
        <v>292</v>
      </c>
      <c r="H72" s="9" t="s">
        <v>292</v>
      </c>
      <c r="J72" s="9" t="s">
        <v>292</v>
      </c>
      <c r="L72" s="9" t="s">
        <v>292</v>
      </c>
      <c r="N72" s="9" t="s">
        <v>292</v>
      </c>
      <c r="P72" s="9" t="s">
        <v>292</v>
      </c>
      <c r="R72" s="1">
        <v>65</v>
      </c>
      <c r="S72" s="1">
        <v>65</v>
      </c>
      <c r="T72" s="9" t="s">
        <v>292</v>
      </c>
      <c r="V72" s="9" t="s">
        <v>292</v>
      </c>
      <c r="X72" s="1">
        <v>70</v>
      </c>
      <c r="Y72" s="1">
        <v>70</v>
      </c>
      <c r="Z72" s="9" t="s">
        <v>292</v>
      </c>
      <c r="AB72" s="9" t="s">
        <v>292</v>
      </c>
      <c r="AD72" s="1">
        <v>69</v>
      </c>
      <c r="AE72" s="1">
        <v>69</v>
      </c>
      <c r="AF72" s="9" t="s">
        <v>292</v>
      </c>
      <c r="AH72" s="11" t="s">
        <v>292</v>
      </c>
      <c r="AJ72" s="9" t="s">
        <v>292</v>
      </c>
      <c r="AL72" s="9" t="s">
        <v>292</v>
      </c>
      <c r="AN72" s="1">
        <v>78</v>
      </c>
      <c r="AO72" s="1">
        <v>78</v>
      </c>
      <c r="AP72" s="9" t="s">
        <v>292</v>
      </c>
      <c r="AR72" s="9" t="s">
        <v>292</v>
      </c>
      <c r="AT72" s="9" t="s">
        <v>292</v>
      </c>
      <c r="AV72" s="9" t="s">
        <v>292</v>
      </c>
      <c r="AX72" s="1">
        <v>75</v>
      </c>
      <c r="AY72" s="1">
        <v>75</v>
      </c>
      <c r="AZ72" s="1">
        <v>64</v>
      </c>
      <c r="BA72" s="1">
        <v>64</v>
      </c>
      <c r="BD72" s="2">
        <v>69</v>
      </c>
    </row>
    <row r="73" spans="2:56" ht="15.75" x14ac:dyDescent="0.25">
      <c r="B73" s="2">
        <v>70</v>
      </c>
      <c r="D73" s="9" t="s">
        <v>292</v>
      </c>
      <c r="F73" s="1">
        <v>81</v>
      </c>
      <c r="G73" s="1">
        <v>81</v>
      </c>
      <c r="H73" s="9" t="s">
        <v>292</v>
      </c>
      <c r="J73" s="1">
        <v>79</v>
      </c>
      <c r="K73" s="1">
        <v>79</v>
      </c>
      <c r="L73" s="9" t="s">
        <v>292</v>
      </c>
      <c r="N73" s="9" t="s">
        <v>292</v>
      </c>
      <c r="P73" s="1">
        <v>68</v>
      </c>
      <c r="Q73" s="1">
        <v>68</v>
      </c>
      <c r="R73" s="9" t="s">
        <v>292</v>
      </c>
      <c r="T73" s="1">
        <v>65</v>
      </c>
      <c r="U73" s="1">
        <v>65</v>
      </c>
      <c r="V73" s="1">
        <v>70</v>
      </c>
      <c r="W73" s="1">
        <v>70</v>
      </c>
      <c r="X73" s="9" t="s">
        <v>292</v>
      </c>
      <c r="Z73" s="1">
        <v>67</v>
      </c>
      <c r="AA73" s="1">
        <v>67</v>
      </c>
      <c r="AB73" s="9" t="s">
        <v>292</v>
      </c>
      <c r="AD73" s="1">
        <v>70</v>
      </c>
      <c r="AE73" s="1">
        <v>70</v>
      </c>
      <c r="AF73" s="1">
        <v>71</v>
      </c>
      <c r="AG73" s="1">
        <v>71</v>
      </c>
      <c r="AH73" s="11" t="s">
        <v>292</v>
      </c>
      <c r="AJ73" s="1">
        <v>71</v>
      </c>
      <c r="AK73" s="1">
        <v>71</v>
      </c>
      <c r="AL73" s="9" t="s">
        <v>292</v>
      </c>
      <c r="AN73" s="1">
        <v>79</v>
      </c>
      <c r="AO73" s="1">
        <v>79</v>
      </c>
      <c r="AP73" s="9" t="s">
        <v>292</v>
      </c>
      <c r="AR73" s="9" t="s">
        <v>292</v>
      </c>
      <c r="AT73" s="1">
        <v>68</v>
      </c>
      <c r="AU73" s="1">
        <v>68</v>
      </c>
      <c r="AV73" s="9" t="s">
        <v>292</v>
      </c>
      <c r="AX73" s="1">
        <v>76</v>
      </c>
      <c r="AY73" s="1">
        <v>77</v>
      </c>
      <c r="AZ73" s="1">
        <v>65</v>
      </c>
      <c r="BA73" s="1">
        <v>65</v>
      </c>
      <c r="BD73" s="2">
        <v>70</v>
      </c>
    </row>
    <row r="74" spans="2:56" ht="15.75" x14ac:dyDescent="0.25">
      <c r="B74" s="2">
        <v>71</v>
      </c>
      <c r="D74" s="1">
        <v>70</v>
      </c>
      <c r="E74" s="1">
        <v>71</v>
      </c>
      <c r="F74" s="9" t="s">
        <v>292</v>
      </c>
      <c r="H74" s="9" t="s">
        <v>292</v>
      </c>
      <c r="J74" s="9" t="s">
        <v>292</v>
      </c>
      <c r="L74" s="9" t="s">
        <v>292</v>
      </c>
      <c r="N74" s="1">
        <v>67</v>
      </c>
      <c r="O74" s="1">
        <v>67</v>
      </c>
      <c r="P74" s="9" t="s">
        <v>292</v>
      </c>
      <c r="R74" s="9" t="s">
        <v>292</v>
      </c>
      <c r="T74" s="9">
        <v>66</v>
      </c>
      <c r="U74" s="1">
        <v>66</v>
      </c>
      <c r="V74" s="9" t="s">
        <v>292</v>
      </c>
      <c r="X74" s="9" t="s">
        <v>292</v>
      </c>
      <c r="Z74" s="9" t="s">
        <v>292</v>
      </c>
      <c r="AB74" s="1">
        <v>68</v>
      </c>
      <c r="AC74" s="1">
        <v>68</v>
      </c>
      <c r="AD74" s="9" t="s">
        <v>292</v>
      </c>
      <c r="AF74" s="9" t="s">
        <v>292</v>
      </c>
      <c r="AH74" s="7">
        <v>80</v>
      </c>
      <c r="AI74" s="1">
        <v>81</v>
      </c>
      <c r="AJ74" s="1">
        <v>72</v>
      </c>
      <c r="AK74" s="1">
        <v>72</v>
      </c>
      <c r="AL74" s="9" t="s">
        <v>292</v>
      </c>
      <c r="AN74" s="9" t="s">
        <v>292</v>
      </c>
      <c r="AP74" s="9" t="s">
        <v>292</v>
      </c>
      <c r="AR74" s="9" t="s">
        <v>292</v>
      </c>
      <c r="AT74" s="9" t="s">
        <v>292</v>
      </c>
      <c r="AV74" s="9" t="s">
        <v>292</v>
      </c>
      <c r="AX74" s="9" t="s">
        <v>292</v>
      </c>
      <c r="AZ74" s="9" t="s">
        <v>292</v>
      </c>
      <c r="BD74" s="2">
        <v>71</v>
      </c>
    </row>
    <row r="75" spans="2:56" ht="15.75" x14ac:dyDescent="0.25">
      <c r="B75" s="2">
        <v>72</v>
      </c>
      <c r="D75" s="9" t="s">
        <v>292</v>
      </c>
      <c r="F75" s="9" t="s">
        <v>292</v>
      </c>
      <c r="H75" s="1">
        <v>79</v>
      </c>
      <c r="I75" s="1">
        <v>79</v>
      </c>
      <c r="J75" s="9" t="s">
        <v>292</v>
      </c>
      <c r="L75" s="1">
        <v>70</v>
      </c>
      <c r="M75" s="1">
        <v>71</v>
      </c>
      <c r="N75" s="9" t="s">
        <v>292</v>
      </c>
      <c r="P75" s="9" t="s">
        <v>292</v>
      </c>
      <c r="R75" s="9" t="s">
        <v>292</v>
      </c>
      <c r="T75" s="9" t="s">
        <v>292</v>
      </c>
      <c r="V75" s="9" t="s">
        <v>292</v>
      </c>
      <c r="X75" s="1">
        <v>71</v>
      </c>
      <c r="Y75" s="1">
        <v>71</v>
      </c>
      <c r="Z75" s="9" t="s">
        <v>292</v>
      </c>
      <c r="AB75" s="9" t="s">
        <v>292</v>
      </c>
      <c r="AD75" s="1">
        <v>71</v>
      </c>
      <c r="AE75" s="1">
        <v>71</v>
      </c>
      <c r="AF75" s="9" t="s">
        <v>292</v>
      </c>
      <c r="AH75" s="11" t="s">
        <v>292</v>
      </c>
      <c r="AJ75" s="1">
        <v>73</v>
      </c>
      <c r="AK75" s="1">
        <v>73</v>
      </c>
      <c r="AL75" s="1">
        <v>69</v>
      </c>
      <c r="AM75" s="1">
        <v>70</v>
      </c>
      <c r="AN75" s="1">
        <v>80</v>
      </c>
      <c r="AO75" s="1">
        <v>80</v>
      </c>
      <c r="AP75" s="1">
        <v>67</v>
      </c>
      <c r="AQ75" s="1">
        <v>67</v>
      </c>
      <c r="AR75" s="1">
        <v>64</v>
      </c>
      <c r="AS75" s="1">
        <v>64</v>
      </c>
      <c r="AT75" s="9" t="s">
        <v>292</v>
      </c>
      <c r="AV75" s="9">
        <v>68</v>
      </c>
      <c r="AW75" s="1">
        <v>68</v>
      </c>
      <c r="AX75" s="1">
        <v>78</v>
      </c>
      <c r="AY75" s="1">
        <v>79</v>
      </c>
      <c r="AZ75" s="9" t="s">
        <v>292</v>
      </c>
      <c r="BD75" s="2">
        <v>72</v>
      </c>
    </row>
    <row r="76" spans="2:56" ht="15.75" x14ac:dyDescent="0.25">
      <c r="B76" s="2">
        <v>73</v>
      </c>
      <c r="D76" s="1">
        <v>72</v>
      </c>
      <c r="E76" s="1">
        <v>72</v>
      </c>
      <c r="F76" s="9" t="s">
        <v>292</v>
      </c>
      <c r="H76" s="9" t="s">
        <v>292</v>
      </c>
      <c r="J76" s="1">
        <v>80</v>
      </c>
      <c r="K76" s="1">
        <v>81</v>
      </c>
      <c r="L76" s="1">
        <v>72</v>
      </c>
      <c r="M76" s="1">
        <v>72</v>
      </c>
      <c r="N76" s="1">
        <v>68</v>
      </c>
      <c r="O76" s="1">
        <v>68</v>
      </c>
      <c r="P76" s="9" t="s">
        <v>292</v>
      </c>
      <c r="R76" s="9" t="s">
        <v>292</v>
      </c>
      <c r="T76" s="9" t="s">
        <v>292</v>
      </c>
      <c r="V76" s="9" t="s">
        <v>292</v>
      </c>
      <c r="X76" s="1">
        <v>72</v>
      </c>
      <c r="Y76" s="1">
        <v>72</v>
      </c>
      <c r="Z76" s="1">
        <v>68</v>
      </c>
      <c r="AA76" s="1">
        <v>68</v>
      </c>
      <c r="AB76" s="9" t="s">
        <v>292</v>
      </c>
      <c r="AD76" s="9" t="s">
        <v>292</v>
      </c>
      <c r="AF76" s="1">
        <v>72</v>
      </c>
      <c r="AG76" s="1">
        <v>73</v>
      </c>
      <c r="AH76" s="11" t="s">
        <v>292</v>
      </c>
      <c r="AJ76" s="9" t="s">
        <v>292</v>
      </c>
      <c r="AL76" s="9" t="s">
        <v>292</v>
      </c>
      <c r="AN76" s="1">
        <v>81</v>
      </c>
      <c r="AO76" s="1">
        <v>81</v>
      </c>
      <c r="AP76" s="9" t="s">
        <v>292</v>
      </c>
      <c r="AR76" s="9" t="s">
        <v>292</v>
      </c>
      <c r="AT76" s="1">
        <v>69</v>
      </c>
      <c r="AU76" s="1">
        <v>69</v>
      </c>
      <c r="AV76" s="9" t="s">
        <v>292</v>
      </c>
      <c r="AX76" s="1">
        <v>80</v>
      </c>
      <c r="AY76" s="1">
        <v>80</v>
      </c>
      <c r="AZ76" s="9" t="s">
        <v>292</v>
      </c>
      <c r="BD76" s="2">
        <v>73</v>
      </c>
    </row>
    <row r="77" spans="2:56" ht="15.75" x14ac:dyDescent="0.25">
      <c r="B77" s="2">
        <v>74</v>
      </c>
      <c r="D77" s="9" t="s">
        <v>292</v>
      </c>
      <c r="F77" s="1">
        <v>82</v>
      </c>
      <c r="G77" s="1">
        <v>82</v>
      </c>
      <c r="H77" s="1">
        <v>80</v>
      </c>
      <c r="I77" s="1">
        <v>80</v>
      </c>
      <c r="J77" s="9" t="s">
        <v>292</v>
      </c>
      <c r="L77" s="9" t="s">
        <v>292</v>
      </c>
      <c r="N77" s="1">
        <v>69</v>
      </c>
      <c r="O77" s="1">
        <v>69</v>
      </c>
      <c r="P77" s="1">
        <v>69</v>
      </c>
      <c r="Q77" s="1">
        <v>69</v>
      </c>
      <c r="R77" s="1">
        <v>66</v>
      </c>
      <c r="S77" s="1">
        <v>67</v>
      </c>
      <c r="T77" s="9" t="s">
        <v>292</v>
      </c>
      <c r="V77" s="9" t="s">
        <v>292</v>
      </c>
      <c r="X77" s="9" t="s">
        <v>292</v>
      </c>
      <c r="Z77" s="9" t="s">
        <v>292</v>
      </c>
      <c r="AB77" s="1">
        <v>69</v>
      </c>
      <c r="AC77" s="1">
        <v>69</v>
      </c>
      <c r="AD77" s="1">
        <v>72</v>
      </c>
      <c r="AE77" s="1">
        <v>72</v>
      </c>
      <c r="AF77" s="9" t="s">
        <v>292</v>
      </c>
      <c r="AH77" s="7">
        <v>82</v>
      </c>
      <c r="AI77" s="1">
        <v>82</v>
      </c>
      <c r="AJ77" s="1">
        <v>74</v>
      </c>
      <c r="AK77" s="1">
        <v>74</v>
      </c>
      <c r="AL77" s="1">
        <v>71</v>
      </c>
      <c r="AM77" s="1">
        <v>71</v>
      </c>
      <c r="AN77" s="1">
        <v>82</v>
      </c>
      <c r="AO77" s="1">
        <v>82</v>
      </c>
      <c r="AP77" s="9" t="s">
        <v>292</v>
      </c>
      <c r="AR77" s="1">
        <v>65</v>
      </c>
      <c r="AS77" s="1">
        <v>65</v>
      </c>
      <c r="AT77" s="9" t="s">
        <v>292</v>
      </c>
      <c r="AV77" s="9" t="s">
        <v>292</v>
      </c>
      <c r="AX77" s="1">
        <v>81</v>
      </c>
      <c r="AY77" s="1">
        <v>81</v>
      </c>
      <c r="AZ77" s="9" t="s">
        <v>292</v>
      </c>
      <c r="BD77" s="2">
        <v>74</v>
      </c>
    </row>
    <row r="78" spans="2:56" ht="15.75" x14ac:dyDescent="0.25">
      <c r="B78" s="2">
        <v>75</v>
      </c>
      <c r="D78" s="9" t="s">
        <v>292</v>
      </c>
      <c r="F78" s="9" t="s">
        <v>292</v>
      </c>
      <c r="H78" s="9" t="s">
        <v>292</v>
      </c>
      <c r="J78" s="1">
        <v>82</v>
      </c>
      <c r="K78" s="1">
        <v>82</v>
      </c>
      <c r="L78" s="9" t="s">
        <v>292</v>
      </c>
      <c r="N78" s="9" t="s">
        <v>292</v>
      </c>
      <c r="P78" s="1">
        <v>70</v>
      </c>
      <c r="Q78" s="1">
        <v>70</v>
      </c>
      <c r="R78" s="9" t="s">
        <v>292</v>
      </c>
      <c r="T78" s="9" t="s">
        <v>292</v>
      </c>
      <c r="V78" s="9" t="s">
        <v>292</v>
      </c>
      <c r="X78" s="1">
        <v>73</v>
      </c>
      <c r="Y78" s="1">
        <v>73</v>
      </c>
      <c r="Z78" s="1">
        <v>69</v>
      </c>
      <c r="AA78" s="1">
        <v>69</v>
      </c>
      <c r="AB78" s="1">
        <v>70</v>
      </c>
      <c r="AC78" s="1">
        <v>70</v>
      </c>
      <c r="AD78" s="9" t="s">
        <v>292</v>
      </c>
      <c r="AF78" s="1">
        <v>74</v>
      </c>
      <c r="AG78" s="1">
        <v>74</v>
      </c>
      <c r="AH78" s="11" t="s">
        <v>292</v>
      </c>
      <c r="AJ78" s="9" t="s">
        <v>292</v>
      </c>
      <c r="AL78" s="9" t="s">
        <v>292</v>
      </c>
      <c r="AN78" s="9" t="s">
        <v>292</v>
      </c>
      <c r="AP78" s="9" t="s">
        <v>292</v>
      </c>
      <c r="AR78" s="9" t="s">
        <v>292</v>
      </c>
      <c r="AT78" s="1">
        <v>70</v>
      </c>
      <c r="AU78" s="1">
        <v>70</v>
      </c>
      <c r="AV78" s="1">
        <v>69</v>
      </c>
      <c r="AW78" s="1">
        <v>69</v>
      </c>
      <c r="AX78" s="9" t="s">
        <v>292</v>
      </c>
      <c r="AZ78" s="9" t="s">
        <v>292</v>
      </c>
      <c r="BD78" s="2">
        <v>75</v>
      </c>
    </row>
    <row r="79" spans="2:56" ht="15.75" x14ac:dyDescent="0.25">
      <c r="B79" s="2">
        <v>76</v>
      </c>
      <c r="D79" s="1">
        <v>73</v>
      </c>
      <c r="E79" s="1">
        <v>73</v>
      </c>
      <c r="F79" s="1">
        <v>83</v>
      </c>
      <c r="G79" s="1">
        <v>83</v>
      </c>
      <c r="H79" s="9" t="s">
        <v>292</v>
      </c>
      <c r="J79" s="9" t="s">
        <v>292</v>
      </c>
      <c r="L79" s="9" t="s">
        <v>292</v>
      </c>
      <c r="N79" s="9" t="s">
        <v>292</v>
      </c>
      <c r="P79" s="9" t="s">
        <v>292</v>
      </c>
      <c r="R79" s="1">
        <v>68</v>
      </c>
      <c r="S79" s="1">
        <v>68</v>
      </c>
      <c r="T79" s="9" t="s">
        <v>292</v>
      </c>
      <c r="V79" s="9" t="s">
        <v>292</v>
      </c>
      <c r="X79" s="9" t="s">
        <v>292</v>
      </c>
      <c r="Z79" s="9" t="s">
        <v>292</v>
      </c>
      <c r="AB79" s="9" t="s">
        <v>292</v>
      </c>
      <c r="AD79" s="1">
        <v>73</v>
      </c>
      <c r="AE79" s="1">
        <v>73</v>
      </c>
      <c r="AF79" s="9" t="s">
        <v>292</v>
      </c>
      <c r="AH79" s="11" t="s">
        <v>292</v>
      </c>
      <c r="AJ79" s="9" t="s">
        <v>292</v>
      </c>
      <c r="AL79" s="9" t="s">
        <v>292</v>
      </c>
      <c r="AN79" s="1">
        <v>83</v>
      </c>
      <c r="AO79" s="1">
        <v>83</v>
      </c>
      <c r="AP79" s="9" t="s">
        <v>292</v>
      </c>
      <c r="AR79" s="1">
        <v>66</v>
      </c>
      <c r="AS79" s="1">
        <v>66</v>
      </c>
      <c r="AT79" s="9" t="s">
        <v>292</v>
      </c>
      <c r="AV79" s="1">
        <v>70</v>
      </c>
      <c r="AW79" s="1">
        <v>70</v>
      </c>
      <c r="AX79" s="1">
        <v>82</v>
      </c>
      <c r="AY79" s="1">
        <v>83</v>
      </c>
      <c r="AZ79" s="1">
        <v>66</v>
      </c>
      <c r="BA79" s="1">
        <v>67</v>
      </c>
      <c r="BD79" s="2">
        <v>76</v>
      </c>
    </row>
    <row r="80" spans="2:56" ht="15.75" x14ac:dyDescent="0.25">
      <c r="B80" s="2">
        <v>77</v>
      </c>
      <c r="D80" s="9" t="s">
        <v>292</v>
      </c>
      <c r="F80" s="9" t="s">
        <v>292</v>
      </c>
      <c r="H80" s="1">
        <v>81</v>
      </c>
      <c r="I80" s="1">
        <v>81</v>
      </c>
      <c r="J80" s="9" t="s">
        <v>292</v>
      </c>
      <c r="L80" s="9" t="s">
        <v>292</v>
      </c>
      <c r="N80" s="1">
        <v>70</v>
      </c>
      <c r="O80" s="1">
        <v>70</v>
      </c>
      <c r="P80" s="9" t="s">
        <v>292</v>
      </c>
      <c r="R80" s="9" t="s">
        <v>292</v>
      </c>
      <c r="T80" s="1">
        <v>67</v>
      </c>
      <c r="U80" s="1">
        <v>67</v>
      </c>
      <c r="V80" s="9" t="s">
        <v>292</v>
      </c>
      <c r="X80" s="1">
        <v>74</v>
      </c>
      <c r="Y80" s="1">
        <v>74</v>
      </c>
      <c r="Z80" s="1">
        <v>70</v>
      </c>
      <c r="AA80" s="1">
        <v>70</v>
      </c>
      <c r="AB80" s="9" t="s">
        <v>292</v>
      </c>
      <c r="AD80" s="1">
        <v>74</v>
      </c>
      <c r="AE80" s="1">
        <v>74</v>
      </c>
      <c r="AF80" s="9" t="s">
        <v>292</v>
      </c>
      <c r="AH80" s="11" t="s">
        <v>292</v>
      </c>
      <c r="AJ80" s="9" t="s">
        <v>292</v>
      </c>
      <c r="AL80" s="9" t="s">
        <v>292</v>
      </c>
      <c r="AN80" s="1">
        <v>84</v>
      </c>
      <c r="AO80" s="1">
        <v>84</v>
      </c>
      <c r="AP80" s="9" t="s">
        <v>292</v>
      </c>
      <c r="AR80" s="1">
        <v>67</v>
      </c>
      <c r="AS80" s="1">
        <v>67</v>
      </c>
      <c r="AT80" s="1">
        <v>71</v>
      </c>
      <c r="AU80" s="1">
        <v>71</v>
      </c>
      <c r="AV80" s="9" t="s">
        <v>292</v>
      </c>
      <c r="AX80" s="9" t="s">
        <v>292</v>
      </c>
      <c r="AZ80" s="9" t="s">
        <v>292</v>
      </c>
      <c r="BD80" s="2">
        <v>77</v>
      </c>
    </row>
    <row r="81" spans="2:56" ht="15.75" x14ac:dyDescent="0.25">
      <c r="B81" s="2">
        <v>78</v>
      </c>
      <c r="D81" s="1">
        <v>74</v>
      </c>
      <c r="E81" s="1">
        <v>74</v>
      </c>
      <c r="F81" s="1">
        <v>84</v>
      </c>
      <c r="G81" s="1">
        <v>84</v>
      </c>
      <c r="H81" s="1">
        <v>82</v>
      </c>
      <c r="I81" s="1">
        <v>82</v>
      </c>
      <c r="J81" s="1">
        <v>83</v>
      </c>
      <c r="K81" s="1">
        <v>83</v>
      </c>
      <c r="L81" s="1">
        <v>73</v>
      </c>
      <c r="M81" s="1">
        <v>73</v>
      </c>
      <c r="N81" s="9" t="s">
        <v>292</v>
      </c>
      <c r="P81" s="1">
        <v>71</v>
      </c>
      <c r="Q81" s="1">
        <v>71</v>
      </c>
      <c r="R81" s="9" t="s">
        <v>292</v>
      </c>
      <c r="T81" s="9" t="s">
        <v>292</v>
      </c>
      <c r="V81" s="9" t="s">
        <v>292</v>
      </c>
      <c r="X81" s="9" t="s">
        <v>292</v>
      </c>
      <c r="Z81" s="1">
        <v>71</v>
      </c>
      <c r="AA81" s="1">
        <v>71</v>
      </c>
      <c r="AB81" s="9" t="s">
        <v>292</v>
      </c>
      <c r="AD81" s="9" t="s">
        <v>292</v>
      </c>
      <c r="AF81" s="1">
        <v>75</v>
      </c>
      <c r="AG81" s="1">
        <v>76</v>
      </c>
      <c r="AH81" s="7">
        <v>83</v>
      </c>
      <c r="AI81" s="1">
        <v>83</v>
      </c>
      <c r="AJ81" s="1">
        <v>75</v>
      </c>
      <c r="AK81" s="1">
        <v>78</v>
      </c>
      <c r="AL81" s="9" t="s">
        <v>292</v>
      </c>
      <c r="AN81" s="1">
        <v>85</v>
      </c>
      <c r="AO81" s="1">
        <v>86</v>
      </c>
      <c r="AP81" s="9" t="s">
        <v>292</v>
      </c>
      <c r="AR81" s="9" t="s">
        <v>292</v>
      </c>
      <c r="AT81" s="9" t="s">
        <v>292</v>
      </c>
      <c r="AV81" s="1">
        <v>71</v>
      </c>
      <c r="AW81" s="1">
        <v>71</v>
      </c>
      <c r="AX81" s="1">
        <v>84</v>
      </c>
      <c r="AY81" s="1">
        <v>84</v>
      </c>
      <c r="AZ81" s="9" t="s">
        <v>292</v>
      </c>
      <c r="BD81" s="2">
        <v>78</v>
      </c>
    </row>
    <row r="82" spans="2:56" ht="15.75" x14ac:dyDescent="0.25">
      <c r="B82" s="2">
        <v>79</v>
      </c>
      <c r="D82" s="9" t="s">
        <v>292</v>
      </c>
      <c r="F82" s="9" t="s">
        <v>292</v>
      </c>
      <c r="H82" s="9" t="s">
        <v>292</v>
      </c>
      <c r="J82" s="9" t="s">
        <v>292</v>
      </c>
      <c r="L82" s="1">
        <v>74</v>
      </c>
      <c r="M82" s="1">
        <v>74</v>
      </c>
      <c r="N82" s="9" t="s">
        <v>292</v>
      </c>
      <c r="P82" s="9" t="s">
        <v>292</v>
      </c>
      <c r="R82" s="9" t="s">
        <v>292</v>
      </c>
      <c r="T82" s="9" t="s">
        <v>292</v>
      </c>
      <c r="V82" s="1">
        <v>71</v>
      </c>
      <c r="W82" s="1">
        <v>73</v>
      </c>
      <c r="X82" s="1">
        <v>75</v>
      </c>
      <c r="Y82" s="1">
        <v>75</v>
      </c>
      <c r="Z82" s="9" t="s">
        <v>292</v>
      </c>
      <c r="AB82" s="1">
        <v>71</v>
      </c>
      <c r="AC82" s="1">
        <v>71</v>
      </c>
      <c r="AD82" s="1">
        <v>75</v>
      </c>
      <c r="AE82" s="1">
        <v>76</v>
      </c>
      <c r="AF82" s="9" t="s">
        <v>292</v>
      </c>
      <c r="AH82" s="11" t="s">
        <v>292</v>
      </c>
      <c r="AJ82" s="9" t="s">
        <v>292</v>
      </c>
      <c r="AL82" s="1">
        <v>72</v>
      </c>
      <c r="AM82" s="1">
        <v>73</v>
      </c>
      <c r="AN82" s="1">
        <v>87</v>
      </c>
      <c r="AO82" s="1">
        <v>88</v>
      </c>
      <c r="AP82" s="9" t="s">
        <v>292</v>
      </c>
      <c r="AR82" s="1">
        <v>68</v>
      </c>
      <c r="AS82" s="1">
        <v>68</v>
      </c>
      <c r="AT82" s="1">
        <v>72</v>
      </c>
      <c r="AU82" s="1">
        <v>72</v>
      </c>
      <c r="AV82" s="9" t="s">
        <v>292</v>
      </c>
      <c r="AX82" s="9" t="s">
        <v>292</v>
      </c>
      <c r="AZ82" s="1">
        <v>68</v>
      </c>
      <c r="BA82" s="1">
        <v>68</v>
      </c>
      <c r="BD82" s="2">
        <v>79</v>
      </c>
    </row>
    <row r="83" spans="2:56" ht="15.75" x14ac:dyDescent="0.25">
      <c r="B83" s="2">
        <v>80</v>
      </c>
      <c r="D83" s="1">
        <v>75</v>
      </c>
      <c r="E83" s="1">
        <v>76</v>
      </c>
      <c r="F83" s="1">
        <v>85</v>
      </c>
      <c r="G83" s="1">
        <v>87</v>
      </c>
      <c r="H83" s="9" t="s">
        <v>292</v>
      </c>
      <c r="J83" s="1">
        <v>84</v>
      </c>
      <c r="K83" s="1">
        <v>84</v>
      </c>
      <c r="L83" s="9" t="s">
        <v>292</v>
      </c>
      <c r="N83" s="1">
        <v>71</v>
      </c>
      <c r="O83" s="1">
        <v>71</v>
      </c>
      <c r="P83" s="1">
        <v>72</v>
      </c>
      <c r="Q83" s="1">
        <v>72</v>
      </c>
      <c r="R83" s="9" t="s">
        <v>292</v>
      </c>
      <c r="T83" s="9" t="s">
        <v>292</v>
      </c>
      <c r="V83" s="9" t="s">
        <v>292</v>
      </c>
      <c r="X83" s="1">
        <v>76</v>
      </c>
      <c r="Y83" s="1">
        <v>76</v>
      </c>
      <c r="Z83" s="9" t="s">
        <v>292</v>
      </c>
      <c r="AB83" s="9" t="s">
        <v>292</v>
      </c>
      <c r="AD83" s="1">
        <v>77</v>
      </c>
      <c r="AE83" s="1">
        <v>77</v>
      </c>
      <c r="AF83" s="1">
        <v>77</v>
      </c>
      <c r="AG83" s="1">
        <v>77</v>
      </c>
      <c r="AH83" s="7">
        <v>84</v>
      </c>
      <c r="AI83" s="1">
        <v>84</v>
      </c>
      <c r="AJ83" s="1">
        <v>79</v>
      </c>
      <c r="AK83" s="1">
        <v>79</v>
      </c>
      <c r="AL83" s="9" t="s">
        <v>292</v>
      </c>
      <c r="AN83" s="9" t="s">
        <v>292</v>
      </c>
      <c r="AP83" s="1">
        <v>68</v>
      </c>
      <c r="AQ83" s="1">
        <v>71</v>
      </c>
      <c r="AR83" s="9" t="s">
        <v>292</v>
      </c>
      <c r="AT83" s="9" t="s">
        <v>292</v>
      </c>
      <c r="AV83" s="9" t="s">
        <v>292</v>
      </c>
      <c r="AX83" s="1">
        <v>85</v>
      </c>
      <c r="AY83" s="1">
        <v>87</v>
      </c>
      <c r="AZ83" s="9" t="s">
        <v>292</v>
      </c>
      <c r="BD83" s="2">
        <v>80</v>
      </c>
    </row>
    <row r="84" spans="2:56" ht="15.75" x14ac:dyDescent="0.25">
      <c r="B84" s="2">
        <v>81</v>
      </c>
      <c r="D84" s="1">
        <v>77</v>
      </c>
      <c r="E84" s="1">
        <v>77</v>
      </c>
      <c r="F84" s="1">
        <v>88</v>
      </c>
      <c r="G84" s="1">
        <v>88</v>
      </c>
      <c r="H84" s="1">
        <v>83</v>
      </c>
      <c r="I84" s="1">
        <v>83</v>
      </c>
      <c r="J84" s="9" t="s">
        <v>292</v>
      </c>
      <c r="L84" s="9" t="s">
        <v>292</v>
      </c>
      <c r="N84" s="9" t="s">
        <v>292</v>
      </c>
      <c r="P84" s="9" t="s">
        <v>292</v>
      </c>
      <c r="R84" s="1">
        <v>69</v>
      </c>
      <c r="S84" s="1">
        <v>70</v>
      </c>
      <c r="T84" s="1">
        <v>68</v>
      </c>
      <c r="U84" s="1">
        <v>68</v>
      </c>
      <c r="V84" s="1">
        <v>74</v>
      </c>
      <c r="W84" s="1">
        <v>74</v>
      </c>
      <c r="X84" s="9" t="s">
        <v>292</v>
      </c>
      <c r="Z84" s="1">
        <v>72</v>
      </c>
      <c r="AA84" s="1">
        <v>72</v>
      </c>
      <c r="AB84" s="1">
        <v>72</v>
      </c>
      <c r="AC84" s="1">
        <v>72</v>
      </c>
      <c r="AD84" s="1">
        <v>78</v>
      </c>
      <c r="AE84" s="1">
        <v>79</v>
      </c>
      <c r="AF84" s="9" t="s">
        <v>292</v>
      </c>
      <c r="AH84" s="11" t="s">
        <v>292</v>
      </c>
      <c r="AJ84" s="9" t="s">
        <v>292</v>
      </c>
      <c r="AL84" s="1">
        <v>74</v>
      </c>
      <c r="AM84" s="1">
        <v>74</v>
      </c>
      <c r="AN84" s="1">
        <v>89</v>
      </c>
      <c r="AO84" s="1">
        <v>89</v>
      </c>
      <c r="AP84" s="1">
        <v>72</v>
      </c>
      <c r="AQ84" s="1">
        <v>73</v>
      </c>
      <c r="AR84" s="1">
        <v>69</v>
      </c>
      <c r="AS84" s="1">
        <v>70</v>
      </c>
      <c r="AT84" s="1">
        <v>73</v>
      </c>
      <c r="AU84" s="1">
        <v>73</v>
      </c>
      <c r="AV84" s="1">
        <v>72</v>
      </c>
      <c r="AW84" s="1">
        <v>72</v>
      </c>
      <c r="AX84" s="1">
        <v>88</v>
      </c>
      <c r="AY84" s="1">
        <v>88</v>
      </c>
      <c r="AZ84" s="1">
        <v>69</v>
      </c>
      <c r="BA84" s="1">
        <v>69</v>
      </c>
      <c r="BD84" s="2">
        <v>81</v>
      </c>
    </row>
    <row r="85" spans="2:56" ht="15.75" x14ac:dyDescent="0.25">
      <c r="B85" s="2">
        <v>82</v>
      </c>
      <c r="D85" s="9" t="s">
        <v>292</v>
      </c>
      <c r="F85" s="9" t="s">
        <v>292</v>
      </c>
      <c r="H85" s="9" t="s">
        <v>292</v>
      </c>
      <c r="J85" s="9" t="s">
        <v>292</v>
      </c>
      <c r="L85" s="9" t="s">
        <v>292</v>
      </c>
      <c r="N85" s="9" t="s">
        <v>292</v>
      </c>
      <c r="P85" s="1">
        <v>73</v>
      </c>
      <c r="Q85" s="1">
        <v>73</v>
      </c>
      <c r="R85" s="9" t="s">
        <v>292</v>
      </c>
      <c r="T85" s="1">
        <v>69</v>
      </c>
      <c r="U85" s="1">
        <v>69</v>
      </c>
      <c r="V85" s="9" t="s">
        <v>292</v>
      </c>
      <c r="X85" s="1">
        <v>77</v>
      </c>
      <c r="Y85" s="1">
        <v>77</v>
      </c>
      <c r="Z85" s="9" t="s">
        <v>292</v>
      </c>
      <c r="AB85" s="1">
        <v>73</v>
      </c>
      <c r="AC85" s="1">
        <v>73</v>
      </c>
      <c r="AD85" s="1">
        <v>80</v>
      </c>
      <c r="AE85" s="1">
        <v>80</v>
      </c>
      <c r="AF85" s="1">
        <v>78</v>
      </c>
      <c r="AG85" s="1">
        <v>80</v>
      </c>
      <c r="AH85" s="7">
        <v>85</v>
      </c>
      <c r="AI85" s="1">
        <v>88</v>
      </c>
      <c r="AJ85" s="9" t="s">
        <v>292</v>
      </c>
      <c r="AL85" s="9" t="s">
        <v>292</v>
      </c>
      <c r="AN85" s="9" t="s">
        <v>292</v>
      </c>
      <c r="AP85" s="9" t="s">
        <v>292</v>
      </c>
      <c r="AR85" s="1">
        <v>71</v>
      </c>
      <c r="AS85" s="1">
        <v>71</v>
      </c>
      <c r="AT85" s="9" t="s">
        <v>292</v>
      </c>
      <c r="AV85" s="9" t="s">
        <v>292</v>
      </c>
      <c r="AX85" s="9" t="s">
        <v>292</v>
      </c>
      <c r="AZ85" s="1">
        <v>70</v>
      </c>
      <c r="BA85" s="1">
        <v>70</v>
      </c>
      <c r="BD85" s="2">
        <v>82</v>
      </c>
    </row>
    <row r="86" spans="2:56" ht="15.75" x14ac:dyDescent="0.25">
      <c r="B86" s="2">
        <v>83</v>
      </c>
      <c r="D86" s="9" t="s">
        <v>292</v>
      </c>
      <c r="F86" s="9" t="s">
        <v>292</v>
      </c>
      <c r="H86" s="9" t="s">
        <v>292</v>
      </c>
      <c r="J86" s="9" t="s">
        <v>292</v>
      </c>
      <c r="L86" s="1">
        <v>75</v>
      </c>
      <c r="M86" s="1">
        <v>76</v>
      </c>
      <c r="N86" s="1">
        <v>72</v>
      </c>
      <c r="O86" s="1">
        <v>73</v>
      </c>
      <c r="P86" s="9" t="s">
        <v>292</v>
      </c>
      <c r="R86" s="9" t="s">
        <v>292</v>
      </c>
      <c r="T86" s="9" t="s">
        <v>292</v>
      </c>
      <c r="V86" s="9" t="s">
        <v>292</v>
      </c>
      <c r="X86" s="1">
        <v>78</v>
      </c>
      <c r="Y86" s="1">
        <v>78</v>
      </c>
      <c r="Z86" s="1">
        <v>73</v>
      </c>
      <c r="AA86" s="1">
        <v>73</v>
      </c>
      <c r="AB86" s="9" t="s">
        <v>292</v>
      </c>
      <c r="AD86" s="1">
        <v>81</v>
      </c>
      <c r="AE86" s="1">
        <v>81</v>
      </c>
      <c r="AF86" s="9" t="s">
        <v>292</v>
      </c>
      <c r="AH86" s="11" t="s">
        <v>292</v>
      </c>
      <c r="AJ86" s="9" t="s">
        <v>292</v>
      </c>
      <c r="AL86" s="9" t="s">
        <v>292</v>
      </c>
      <c r="AN86" s="1">
        <v>90</v>
      </c>
      <c r="AO86" s="1">
        <v>91</v>
      </c>
      <c r="AP86" s="1">
        <v>74</v>
      </c>
      <c r="AQ86" s="1">
        <v>74</v>
      </c>
      <c r="AR86" s="1">
        <v>72</v>
      </c>
      <c r="AS86" s="1">
        <v>72</v>
      </c>
      <c r="AT86" s="1">
        <v>74</v>
      </c>
      <c r="AU86" s="1">
        <v>74</v>
      </c>
      <c r="AV86" s="1">
        <v>73</v>
      </c>
      <c r="AW86" s="1">
        <v>73</v>
      </c>
      <c r="AX86" s="1">
        <v>89</v>
      </c>
      <c r="AY86" s="1">
        <v>92</v>
      </c>
      <c r="AZ86" s="9" t="s">
        <v>292</v>
      </c>
      <c r="BD86" s="2">
        <v>83</v>
      </c>
    </row>
    <row r="87" spans="2:56" ht="15.75" x14ac:dyDescent="0.25">
      <c r="B87" s="2">
        <v>84</v>
      </c>
      <c r="D87" s="1">
        <v>78</v>
      </c>
      <c r="E87" s="1">
        <v>79</v>
      </c>
      <c r="F87" s="1">
        <v>89</v>
      </c>
      <c r="G87" s="1">
        <v>92</v>
      </c>
      <c r="H87" s="9" t="s">
        <v>292</v>
      </c>
      <c r="J87" s="1">
        <v>85</v>
      </c>
      <c r="K87" s="1">
        <v>87</v>
      </c>
      <c r="L87" s="1">
        <v>77</v>
      </c>
      <c r="M87" s="1">
        <v>77</v>
      </c>
      <c r="N87" s="9" t="s">
        <v>292</v>
      </c>
      <c r="P87" s="1">
        <v>74</v>
      </c>
      <c r="Q87" s="1">
        <v>74</v>
      </c>
      <c r="R87" s="1">
        <v>71</v>
      </c>
      <c r="S87" s="1">
        <v>71</v>
      </c>
      <c r="T87" s="9" t="s">
        <v>292</v>
      </c>
      <c r="V87" s="9" t="s">
        <v>292</v>
      </c>
      <c r="X87" s="9" t="s">
        <v>292</v>
      </c>
      <c r="Z87" s="1">
        <v>74</v>
      </c>
      <c r="AA87" s="1">
        <v>74</v>
      </c>
      <c r="AB87" s="9" t="s">
        <v>292</v>
      </c>
      <c r="AD87" s="1">
        <v>82</v>
      </c>
      <c r="AE87" s="1">
        <v>83</v>
      </c>
      <c r="AF87" s="1">
        <v>81</v>
      </c>
      <c r="AG87" s="1">
        <v>81</v>
      </c>
      <c r="AH87" s="7">
        <v>89</v>
      </c>
      <c r="AI87" s="1">
        <v>89</v>
      </c>
      <c r="AJ87" s="1">
        <v>80</v>
      </c>
      <c r="AK87" s="1">
        <v>82</v>
      </c>
      <c r="AL87" s="1">
        <v>75</v>
      </c>
      <c r="AM87" s="1">
        <v>78</v>
      </c>
      <c r="AN87" s="1">
        <v>92</v>
      </c>
      <c r="AO87" s="1">
        <v>93</v>
      </c>
      <c r="AP87" s="9" t="s">
        <v>292</v>
      </c>
      <c r="AQ87" s="9"/>
      <c r="AR87" s="9" t="s">
        <v>292</v>
      </c>
      <c r="AT87" s="9" t="s">
        <v>292</v>
      </c>
      <c r="AV87" s="9" t="s">
        <v>292</v>
      </c>
      <c r="AX87" s="1">
        <v>93</v>
      </c>
      <c r="AY87" s="1">
        <v>93</v>
      </c>
      <c r="AZ87" s="9" t="s">
        <v>292</v>
      </c>
      <c r="BD87" s="2">
        <v>84</v>
      </c>
    </row>
    <row r="88" spans="2:56" ht="15.75" x14ac:dyDescent="0.25">
      <c r="B88" s="2">
        <v>85</v>
      </c>
      <c r="D88" s="1">
        <v>80</v>
      </c>
      <c r="E88" s="1">
        <v>80</v>
      </c>
      <c r="F88" s="9" t="s">
        <v>292</v>
      </c>
      <c r="H88" s="1">
        <v>84</v>
      </c>
      <c r="I88" s="1">
        <v>84</v>
      </c>
      <c r="J88" s="9" t="s">
        <v>292</v>
      </c>
      <c r="L88" s="9" t="s">
        <v>292</v>
      </c>
      <c r="N88" s="9" t="s">
        <v>292</v>
      </c>
      <c r="P88" s="9" t="s">
        <v>292</v>
      </c>
      <c r="R88" s="1">
        <v>72</v>
      </c>
      <c r="S88" s="1">
        <v>72</v>
      </c>
      <c r="T88" s="1">
        <v>70</v>
      </c>
      <c r="U88" s="1">
        <v>70</v>
      </c>
      <c r="V88" s="1">
        <v>75</v>
      </c>
      <c r="W88" s="1">
        <v>78</v>
      </c>
      <c r="X88" s="1">
        <v>79</v>
      </c>
      <c r="Y88" s="1">
        <v>79</v>
      </c>
      <c r="Z88" s="1">
        <v>75</v>
      </c>
      <c r="AA88" s="1">
        <v>75</v>
      </c>
      <c r="AB88" s="1">
        <v>74</v>
      </c>
      <c r="AC88" s="1">
        <v>74</v>
      </c>
      <c r="AD88" s="9" t="s">
        <v>292</v>
      </c>
      <c r="AF88" s="9" t="s">
        <v>292</v>
      </c>
      <c r="AH88" s="11" t="s">
        <v>292</v>
      </c>
      <c r="AJ88" s="1">
        <v>83</v>
      </c>
      <c r="AK88" s="1">
        <v>83</v>
      </c>
      <c r="AL88" s="9" t="s">
        <v>292</v>
      </c>
      <c r="AN88" s="9" t="s">
        <v>292</v>
      </c>
      <c r="AP88" s="9" t="s">
        <v>292</v>
      </c>
      <c r="AR88" s="1">
        <v>73</v>
      </c>
      <c r="AS88" s="1">
        <v>74</v>
      </c>
      <c r="AT88" s="1">
        <v>75</v>
      </c>
      <c r="AU88" s="1">
        <v>76</v>
      </c>
      <c r="AV88" s="1">
        <v>74</v>
      </c>
      <c r="AW88" s="1">
        <v>74</v>
      </c>
      <c r="AX88" s="9" t="s">
        <v>292</v>
      </c>
      <c r="AZ88" s="1">
        <v>71</v>
      </c>
      <c r="BA88" s="1">
        <v>71</v>
      </c>
      <c r="BD88" s="2">
        <v>85</v>
      </c>
    </row>
    <row r="89" spans="2:56" ht="15.75" x14ac:dyDescent="0.25">
      <c r="B89" s="2">
        <v>86</v>
      </c>
      <c r="D89" s="9" t="s">
        <v>292</v>
      </c>
      <c r="F89" s="1">
        <v>93</v>
      </c>
      <c r="G89" s="1">
        <v>93</v>
      </c>
      <c r="H89" s="1">
        <v>85</v>
      </c>
      <c r="I89" s="1">
        <v>86</v>
      </c>
      <c r="J89" s="1">
        <v>88</v>
      </c>
      <c r="K89" s="1">
        <v>88</v>
      </c>
      <c r="L89" s="9" t="s">
        <v>292</v>
      </c>
      <c r="N89" s="9" t="s">
        <v>292</v>
      </c>
      <c r="P89" s="9" t="s">
        <v>292</v>
      </c>
      <c r="R89" s="9" t="s">
        <v>292</v>
      </c>
      <c r="T89" s="9" t="s">
        <v>292</v>
      </c>
      <c r="V89" s="9" t="s">
        <v>292</v>
      </c>
      <c r="X89" s="1">
        <v>80</v>
      </c>
      <c r="Y89" s="1">
        <v>80</v>
      </c>
      <c r="Z89" s="1">
        <v>76</v>
      </c>
      <c r="AA89" s="1">
        <v>76</v>
      </c>
      <c r="AB89" s="1">
        <v>75</v>
      </c>
      <c r="AC89" s="1">
        <v>76</v>
      </c>
      <c r="AD89" s="1">
        <v>84</v>
      </c>
      <c r="AE89" s="1">
        <v>84</v>
      </c>
      <c r="AF89" s="1">
        <v>82</v>
      </c>
      <c r="AG89" s="1">
        <v>83</v>
      </c>
      <c r="AH89" s="7">
        <v>90</v>
      </c>
      <c r="AI89" s="1">
        <v>92</v>
      </c>
      <c r="AJ89" s="9" t="s">
        <v>292</v>
      </c>
      <c r="AL89" s="1">
        <v>79</v>
      </c>
      <c r="AM89" s="1">
        <v>79</v>
      </c>
      <c r="AN89" s="1">
        <v>94</v>
      </c>
      <c r="AP89" s="1">
        <v>75</v>
      </c>
      <c r="AQ89" s="1">
        <v>80</v>
      </c>
      <c r="AR89" s="9" t="s">
        <v>292</v>
      </c>
      <c r="AT89" s="1">
        <v>77</v>
      </c>
      <c r="AU89" s="1">
        <v>78</v>
      </c>
      <c r="AV89" s="1">
        <v>75</v>
      </c>
      <c r="AW89" s="1">
        <v>78</v>
      </c>
      <c r="AX89" s="1">
        <v>94</v>
      </c>
      <c r="AY89" s="1">
        <v>96</v>
      </c>
      <c r="AZ89" s="9" t="s">
        <v>292</v>
      </c>
      <c r="BD89" s="2">
        <v>86</v>
      </c>
    </row>
    <row r="90" spans="2:56" ht="15.75" x14ac:dyDescent="0.25">
      <c r="B90" s="2">
        <v>87</v>
      </c>
      <c r="D90" s="1">
        <v>81</v>
      </c>
      <c r="E90" s="1">
        <v>81</v>
      </c>
      <c r="F90" s="9" t="s">
        <v>292</v>
      </c>
      <c r="H90" s="1">
        <v>87</v>
      </c>
      <c r="I90" s="1">
        <v>89</v>
      </c>
      <c r="J90" s="9" t="s">
        <v>292</v>
      </c>
      <c r="L90" s="1">
        <v>78</v>
      </c>
      <c r="M90" s="1">
        <v>78</v>
      </c>
      <c r="N90" s="1">
        <v>74</v>
      </c>
      <c r="O90" s="1">
        <v>74</v>
      </c>
      <c r="P90" s="1">
        <v>75</v>
      </c>
      <c r="Q90" s="1">
        <v>76</v>
      </c>
      <c r="R90" s="1">
        <v>73</v>
      </c>
      <c r="S90" s="1">
        <v>73</v>
      </c>
      <c r="T90" s="1">
        <v>71</v>
      </c>
      <c r="U90" s="1">
        <v>71</v>
      </c>
      <c r="V90" s="1">
        <v>79</v>
      </c>
      <c r="W90" s="1">
        <v>79</v>
      </c>
      <c r="X90" s="1">
        <v>81</v>
      </c>
      <c r="Y90" s="1">
        <v>81</v>
      </c>
      <c r="Z90" s="1">
        <v>77</v>
      </c>
      <c r="AA90" s="1">
        <v>77</v>
      </c>
      <c r="AB90" s="1">
        <v>77</v>
      </c>
      <c r="AC90" s="1">
        <v>77</v>
      </c>
      <c r="AD90" s="1">
        <v>85</v>
      </c>
      <c r="AE90" s="1">
        <v>86</v>
      </c>
      <c r="AF90" s="9" t="s">
        <v>292</v>
      </c>
      <c r="AH90" s="7">
        <v>93</v>
      </c>
      <c r="AI90" s="1">
        <v>93</v>
      </c>
      <c r="AJ90" s="9" t="s">
        <v>292</v>
      </c>
      <c r="AL90" s="9" t="s">
        <v>292</v>
      </c>
      <c r="AN90" s="1">
        <v>95</v>
      </c>
      <c r="AO90" s="1">
        <v>98</v>
      </c>
      <c r="AP90" s="1">
        <v>81</v>
      </c>
      <c r="AQ90" s="1">
        <v>82</v>
      </c>
      <c r="AR90" s="1">
        <v>75</v>
      </c>
      <c r="AS90" s="1">
        <v>77</v>
      </c>
      <c r="AT90" s="9" t="s">
        <v>292</v>
      </c>
      <c r="AV90" s="9" t="s">
        <v>292</v>
      </c>
      <c r="AX90" s="9" t="s">
        <v>292</v>
      </c>
      <c r="AZ90" s="1">
        <v>72</v>
      </c>
      <c r="BA90" s="1">
        <v>72</v>
      </c>
      <c r="BD90" s="2">
        <v>87</v>
      </c>
    </row>
    <row r="91" spans="2:56" ht="15.75" x14ac:dyDescent="0.25">
      <c r="B91" s="2">
        <v>88</v>
      </c>
      <c r="D91" s="1">
        <v>82</v>
      </c>
      <c r="E91" s="1">
        <v>83</v>
      </c>
      <c r="F91" s="1">
        <v>94</v>
      </c>
      <c r="G91" s="1">
        <v>96</v>
      </c>
      <c r="H91" s="1">
        <v>90</v>
      </c>
      <c r="I91" s="1">
        <v>90</v>
      </c>
      <c r="J91" s="1">
        <v>89</v>
      </c>
      <c r="K91" s="1">
        <v>92</v>
      </c>
      <c r="L91" s="1">
        <v>79</v>
      </c>
      <c r="M91" s="1">
        <v>79</v>
      </c>
      <c r="N91" s="9" t="s">
        <v>292</v>
      </c>
      <c r="P91" s="1">
        <v>77</v>
      </c>
      <c r="Q91" s="1">
        <v>77</v>
      </c>
      <c r="R91" s="9" t="s">
        <v>292</v>
      </c>
      <c r="T91" s="9" t="s">
        <v>292</v>
      </c>
      <c r="V91" s="9" t="s">
        <v>292</v>
      </c>
      <c r="X91" s="1">
        <v>82</v>
      </c>
      <c r="Y91" s="1">
        <v>82</v>
      </c>
      <c r="Z91" s="1">
        <v>78</v>
      </c>
      <c r="AA91" s="1">
        <v>78</v>
      </c>
      <c r="AB91" s="1">
        <v>78</v>
      </c>
      <c r="AC91" s="1">
        <v>79</v>
      </c>
      <c r="AD91" s="1">
        <v>87</v>
      </c>
      <c r="AE91" s="1">
        <v>87</v>
      </c>
      <c r="AF91" s="1">
        <v>84</v>
      </c>
      <c r="AG91" s="1">
        <v>84</v>
      </c>
      <c r="AH91" s="7">
        <v>94</v>
      </c>
      <c r="AI91" s="1">
        <v>94</v>
      </c>
      <c r="AJ91" s="1">
        <v>84</v>
      </c>
      <c r="AK91" s="1">
        <v>84</v>
      </c>
      <c r="AL91" s="9" t="s">
        <v>292</v>
      </c>
      <c r="AN91" s="9" t="s">
        <v>292</v>
      </c>
      <c r="AP91" s="1">
        <v>83</v>
      </c>
      <c r="AQ91" s="1">
        <v>84</v>
      </c>
      <c r="AR91" s="1">
        <v>78</v>
      </c>
      <c r="AS91" s="1">
        <v>80</v>
      </c>
      <c r="AT91" s="1">
        <v>79</v>
      </c>
      <c r="AU91" s="1">
        <v>79</v>
      </c>
      <c r="AV91" s="1">
        <v>79</v>
      </c>
      <c r="AW91" s="1">
        <v>79</v>
      </c>
      <c r="AX91" s="1">
        <v>97</v>
      </c>
      <c r="AY91" s="1">
        <v>97</v>
      </c>
      <c r="AZ91" s="1">
        <v>73</v>
      </c>
      <c r="BA91" s="1">
        <v>73</v>
      </c>
      <c r="BD91" s="2">
        <v>88</v>
      </c>
    </row>
    <row r="92" spans="2:56" ht="15.75" x14ac:dyDescent="0.25">
      <c r="B92" s="2">
        <v>89</v>
      </c>
      <c r="D92" s="1">
        <v>84</v>
      </c>
      <c r="E92" s="1">
        <v>84</v>
      </c>
      <c r="F92" s="9" t="s">
        <v>292</v>
      </c>
      <c r="H92" s="1">
        <v>91</v>
      </c>
      <c r="I92" s="1">
        <v>95</v>
      </c>
      <c r="J92" s="9" t="s">
        <v>292</v>
      </c>
      <c r="L92" s="9" t="s">
        <v>292</v>
      </c>
      <c r="N92" s="9" t="s">
        <v>292</v>
      </c>
      <c r="P92" s="9" t="s">
        <v>292</v>
      </c>
      <c r="R92" s="1">
        <v>74</v>
      </c>
      <c r="S92" s="1">
        <v>74</v>
      </c>
      <c r="T92" s="9" t="s">
        <v>292</v>
      </c>
      <c r="V92" s="9" t="s">
        <v>292</v>
      </c>
      <c r="X92" s="1">
        <v>83</v>
      </c>
      <c r="Y92" s="1">
        <v>83</v>
      </c>
      <c r="Z92" s="9" t="s">
        <v>292</v>
      </c>
      <c r="AB92" s="1">
        <v>80</v>
      </c>
      <c r="AC92" s="1">
        <v>80</v>
      </c>
      <c r="AD92" s="1">
        <v>88</v>
      </c>
      <c r="AE92" s="1">
        <v>88</v>
      </c>
      <c r="AF92" s="1">
        <v>85</v>
      </c>
      <c r="AG92" s="1">
        <v>86</v>
      </c>
      <c r="AH92" s="11" t="s">
        <v>292</v>
      </c>
      <c r="AJ92" s="9" t="s">
        <v>292</v>
      </c>
      <c r="AL92" s="1">
        <v>80</v>
      </c>
      <c r="AM92" s="1">
        <v>81</v>
      </c>
      <c r="AN92" s="1">
        <v>99</v>
      </c>
      <c r="AO92" s="1">
        <v>99</v>
      </c>
      <c r="AP92" s="9" t="s">
        <v>292</v>
      </c>
      <c r="AR92" s="1">
        <v>81</v>
      </c>
      <c r="AS92" s="1">
        <v>83</v>
      </c>
      <c r="AT92" s="1">
        <v>80</v>
      </c>
      <c r="AU92" s="1">
        <v>83</v>
      </c>
      <c r="AV92" s="1">
        <v>80</v>
      </c>
      <c r="AW92" s="1">
        <v>83</v>
      </c>
      <c r="AX92" s="1">
        <v>98</v>
      </c>
      <c r="AY92" s="1">
        <v>99</v>
      </c>
      <c r="AZ92" s="9" t="s">
        <v>292</v>
      </c>
      <c r="BD92" s="2">
        <v>89</v>
      </c>
    </row>
    <row r="93" spans="2:56" ht="15.75" x14ac:dyDescent="0.25">
      <c r="B93" s="2">
        <v>90</v>
      </c>
      <c r="D93" s="9" t="s">
        <v>292</v>
      </c>
      <c r="F93" s="1">
        <v>97</v>
      </c>
      <c r="G93" s="1">
        <v>97</v>
      </c>
      <c r="H93" s="9" t="s">
        <v>292</v>
      </c>
      <c r="J93" s="1">
        <v>93</v>
      </c>
      <c r="K93" s="1">
        <v>93</v>
      </c>
      <c r="L93" s="9" t="s">
        <v>292</v>
      </c>
      <c r="N93" s="1">
        <v>75</v>
      </c>
      <c r="O93" s="1">
        <v>78</v>
      </c>
      <c r="P93" s="1">
        <v>78</v>
      </c>
      <c r="Q93" s="1">
        <v>78</v>
      </c>
      <c r="R93" s="1">
        <v>75</v>
      </c>
      <c r="S93" s="1">
        <v>76</v>
      </c>
      <c r="T93" s="1">
        <v>72</v>
      </c>
      <c r="U93" s="1">
        <v>72</v>
      </c>
      <c r="V93" s="9" t="s">
        <v>292</v>
      </c>
      <c r="X93" s="9" t="s">
        <v>292</v>
      </c>
      <c r="Z93" s="1">
        <v>79</v>
      </c>
      <c r="AA93" s="1">
        <v>79</v>
      </c>
      <c r="AB93" s="1">
        <v>81</v>
      </c>
      <c r="AC93" s="1">
        <v>81</v>
      </c>
      <c r="AD93" s="1">
        <v>89</v>
      </c>
      <c r="AE93" s="1">
        <v>91</v>
      </c>
      <c r="AF93" s="9" t="s">
        <v>292</v>
      </c>
      <c r="AH93" s="11" t="s">
        <v>292</v>
      </c>
      <c r="AJ93" s="1">
        <v>85</v>
      </c>
      <c r="AK93" s="1">
        <v>92</v>
      </c>
      <c r="AL93" s="1">
        <v>82</v>
      </c>
      <c r="AM93" s="1">
        <v>83</v>
      </c>
      <c r="AN93" s="1">
        <v>100</v>
      </c>
      <c r="AO93" s="1">
        <v>103</v>
      </c>
      <c r="AP93" s="9" t="s">
        <v>292</v>
      </c>
      <c r="AR93" s="1">
        <v>84</v>
      </c>
      <c r="AS93" s="1">
        <v>84</v>
      </c>
      <c r="AT93" s="9" t="s">
        <v>292</v>
      </c>
      <c r="AV93" s="1">
        <v>84</v>
      </c>
      <c r="AW93" s="1">
        <v>84</v>
      </c>
      <c r="AX93" s="1">
        <v>100</v>
      </c>
      <c r="AY93" s="1">
        <v>100</v>
      </c>
      <c r="AZ93" s="1">
        <v>74</v>
      </c>
      <c r="BA93" s="1">
        <v>74</v>
      </c>
      <c r="BD93" s="2">
        <v>90</v>
      </c>
    </row>
    <row r="94" spans="2:56" ht="15.75" x14ac:dyDescent="0.25">
      <c r="B94" s="2">
        <v>91</v>
      </c>
      <c r="D94" s="1">
        <v>85</v>
      </c>
      <c r="E94" s="1">
        <v>89</v>
      </c>
      <c r="F94" s="1">
        <v>98</v>
      </c>
      <c r="G94" s="1">
        <v>99</v>
      </c>
      <c r="H94" s="1">
        <v>96</v>
      </c>
      <c r="I94" s="1">
        <v>98</v>
      </c>
      <c r="J94" s="9" t="s">
        <v>292</v>
      </c>
      <c r="L94" s="1">
        <v>80</v>
      </c>
      <c r="M94" s="1">
        <v>82</v>
      </c>
      <c r="N94" s="1">
        <v>79</v>
      </c>
      <c r="O94" s="1">
        <v>79</v>
      </c>
      <c r="P94" s="1">
        <v>79</v>
      </c>
      <c r="Q94" s="1">
        <v>79</v>
      </c>
      <c r="R94" s="1">
        <v>77</v>
      </c>
      <c r="S94" s="1">
        <v>77</v>
      </c>
      <c r="T94" s="9" t="s">
        <v>292</v>
      </c>
      <c r="V94" s="9" t="s">
        <v>292</v>
      </c>
      <c r="X94" s="1">
        <v>84</v>
      </c>
      <c r="Y94" s="1">
        <v>84</v>
      </c>
      <c r="Z94" s="1">
        <v>80</v>
      </c>
      <c r="AA94" s="1">
        <v>81</v>
      </c>
      <c r="AB94" s="1">
        <v>82</v>
      </c>
      <c r="AC94" s="1">
        <v>83</v>
      </c>
      <c r="AD94" s="9" t="s">
        <v>292</v>
      </c>
      <c r="AF94" s="1">
        <v>87</v>
      </c>
      <c r="AG94" s="1">
        <v>87</v>
      </c>
      <c r="AH94" s="7">
        <v>95</v>
      </c>
      <c r="AI94" s="1">
        <v>98</v>
      </c>
      <c r="AJ94" s="1">
        <v>93</v>
      </c>
      <c r="AK94" s="1">
        <v>93</v>
      </c>
      <c r="AL94" s="1">
        <v>84</v>
      </c>
      <c r="AM94" s="1">
        <v>84</v>
      </c>
      <c r="AN94" s="9" t="s">
        <v>292</v>
      </c>
      <c r="AP94" s="1">
        <v>85</v>
      </c>
      <c r="AQ94" s="1">
        <v>86</v>
      </c>
      <c r="AR94" s="9" t="s">
        <v>292</v>
      </c>
      <c r="AT94" s="1">
        <v>84</v>
      </c>
      <c r="AU94" s="1">
        <v>84</v>
      </c>
      <c r="AV94" s="1">
        <v>85</v>
      </c>
      <c r="AW94" s="1">
        <v>87</v>
      </c>
      <c r="AX94" s="1">
        <v>101</v>
      </c>
      <c r="AY94" s="1">
        <v>101</v>
      </c>
      <c r="AZ94" s="1">
        <v>75</v>
      </c>
      <c r="BA94" s="1">
        <v>76</v>
      </c>
      <c r="BD94" s="2">
        <v>91</v>
      </c>
    </row>
    <row r="95" spans="2:56" ht="15.75" x14ac:dyDescent="0.25">
      <c r="B95" s="2">
        <v>92</v>
      </c>
      <c r="D95" s="9" t="s">
        <v>292</v>
      </c>
      <c r="F95" s="1">
        <v>100</v>
      </c>
      <c r="G95" s="1">
        <v>101</v>
      </c>
      <c r="H95" s="1">
        <v>99</v>
      </c>
      <c r="I95" s="1">
        <v>101</v>
      </c>
      <c r="J95" s="9" t="s">
        <v>292</v>
      </c>
      <c r="L95" s="9" t="s">
        <v>292</v>
      </c>
      <c r="N95" s="9" t="s">
        <v>292</v>
      </c>
      <c r="P95" s="1">
        <v>80</v>
      </c>
      <c r="Q95" s="1">
        <v>81</v>
      </c>
      <c r="R95" s="1">
        <v>78</v>
      </c>
      <c r="S95" s="1">
        <v>80</v>
      </c>
      <c r="T95" s="1">
        <v>73</v>
      </c>
      <c r="U95" s="1">
        <v>73</v>
      </c>
      <c r="V95" s="9" t="s">
        <v>292</v>
      </c>
      <c r="X95" s="1">
        <v>85</v>
      </c>
      <c r="Y95" s="1">
        <v>85</v>
      </c>
      <c r="Z95" s="9" t="s">
        <v>292</v>
      </c>
      <c r="AB95" s="1">
        <v>84</v>
      </c>
      <c r="AC95" s="1">
        <v>86</v>
      </c>
      <c r="AD95" s="1">
        <v>92</v>
      </c>
      <c r="AE95" s="1">
        <v>93</v>
      </c>
      <c r="AF95" s="1">
        <v>88</v>
      </c>
      <c r="AG95" s="1">
        <v>89</v>
      </c>
      <c r="AH95" s="11" t="s">
        <v>292</v>
      </c>
      <c r="AJ95" s="9" t="s">
        <v>292</v>
      </c>
      <c r="AL95" s="9" t="s">
        <v>292</v>
      </c>
      <c r="AN95" s="1">
        <v>104</v>
      </c>
      <c r="AO95" s="1">
        <v>104</v>
      </c>
      <c r="AP95" s="1">
        <v>87</v>
      </c>
      <c r="AQ95" s="1">
        <v>87</v>
      </c>
      <c r="AR95" s="1">
        <v>85</v>
      </c>
      <c r="AS95" s="1">
        <v>89</v>
      </c>
      <c r="AT95" s="1">
        <v>85</v>
      </c>
      <c r="AU95" s="1">
        <v>89</v>
      </c>
      <c r="AV95" s="9" t="s">
        <v>292</v>
      </c>
      <c r="AX95" s="9" t="s">
        <v>292</v>
      </c>
      <c r="AY95" s="9"/>
      <c r="AZ95" s="1">
        <v>77</v>
      </c>
      <c r="BA95" s="1">
        <v>78</v>
      </c>
      <c r="BD95" s="2">
        <v>92</v>
      </c>
    </row>
    <row r="96" spans="2:56" ht="15.75" x14ac:dyDescent="0.25">
      <c r="B96" s="2">
        <v>93</v>
      </c>
      <c r="D96" s="1">
        <v>90</v>
      </c>
      <c r="E96" s="1">
        <v>90</v>
      </c>
      <c r="F96" s="9" t="s">
        <v>292</v>
      </c>
      <c r="H96" s="9" t="s">
        <v>292</v>
      </c>
      <c r="J96" s="1">
        <v>94</v>
      </c>
      <c r="K96" s="1">
        <v>96</v>
      </c>
      <c r="L96" s="1">
        <v>83</v>
      </c>
      <c r="M96" s="1">
        <v>83</v>
      </c>
      <c r="N96" s="1">
        <v>80</v>
      </c>
      <c r="O96" s="1">
        <v>80</v>
      </c>
      <c r="P96" s="1">
        <v>82</v>
      </c>
      <c r="Q96" s="1">
        <v>82</v>
      </c>
      <c r="R96" s="1">
        <v>81</v>
      </c>
      <c r="S96" s="1">
        <v>81</v>
      </c>
      <c r="T96" s="1">
        <v>74</v>
      </c>
      <c r="U96" s="1">
        <v>75</v>
      </c>
      <c r="V96" s="9" t="s">
        <v>292</v>
      </c>
      <c r="X96" s="1">
        <v>86</v>
      </c>
      <c r="Y96" s="1">
        <v>88</v>
      </c>
      <c r="Z96" s="1">
        <v>82</v>
      </c>
      <c r="AA96" s="1">
        <v>83</v>
      </c>
      <c r="AB96" s="1">
        <v>87</v>
      </c>
      <c r="AC96" s="1">
        <v>88</v>
      </c>
      <c r="AD96" s="1">
        <v>94</v>
      </c>
      <c r="AE96" s="1">
        <v>94</v>
      </c>
      <c r="AF96" s="1">
        <v>90</v>
      </c>
      <c r="AG96" s="1">
        <v>90</v>
      </c>
      <c r="AH96" s="11" t="s">
        <v>292</v>
      </c>
      <c r="AJ96" s="1">
        <v>94</v>
      </c>
      <c r="AK96" s="1">
        <v>94</v>
      </c>
      <c r="AL96" s="1">
        <v>85</v>
      </c>
      <c r="AM96" s="1">
        <v>87</v>
      </c>
      <c r="AN96" s="1">
        <v>105</v>
      </c>
      <c r="AO96" s="1">
        <v>107</v>
      </c>
      <c r="AP96" s="1">
        <v>88</v>
      </c>
      <c r="AQ96" s="1">
        <v>90</v>
      </c>
      <c r="AR96" s="1">
        <v>90</v>
      </c>
      <c r="AS96" s="1">
        <v>93</v>
      </c>
      <c r="AT96" s="1">
        <v>90</v>
      </c>
      <c r="AU96" s="1">
        <v>91</v>
      </c>
      <c r="AV96" s="1">
        <v>88</v>
      </c>
      <c r="AW96" s="1">
        <v>89</v>
      </c>
      <c r="AX96" s="1">
        <v>102</v>
      </c>
      <c r="AY96" s="1">
        <v>102</v>
      </c>
      <c r="AZ96" s="1">
        <v>79</v>
      </c>
      <c r="BA96" s="1">
        <v>79</v>
      </c>
      <c r="BD96" s="2">
        <v>93</v>
      </c>
    </row>
    <row r="97" spans="2:56" ht="15.75" x14ac:dyDescent="0.25">
      <c r="B97" s="2">
        <v>94</v>
      </c>
      <c r="D97" s="1">
        <v>91</v>
      </c>
      <c r="E97" s="1">
        <v>95</v>
      </c>
      <c r="F97" s="1">
        <v>102</v>
      </c>
      <c r="G97" s="1">
        <v>104</v>
      </c>
      <c r="H97" s="1">
        <v>102</v>
      </c>
      <c r="I97" s="1">
        <v>104</v>
      </c>
      <c r="J97" s="1">
        <v>97</v>
      </c>
      <c r="K97" s="1">
        <v>97</v>
      </c>
      <c r="L97" s="1">
        <v>84</v>
      </c>
      <c r="M97" s="1">
        <v>84</v>
      </c>
      <c r="N97" s="1">
        <v>81</v>
      </c>
      <c r="O97" s="1">
        <v>84</v>
      </c>
      <c r="P97" s="1">
        <v>83</v>
      </c>
      <c r="Q97" s="1">
        <v>83</v>
      </c>
      <c r="R97" s="1">
        <v>82</v>
      </c>
      <c r="S97" s="1">
        <v>83</v>
      </c>
      <c r="T97" s="1">
        <v>76</v>
      </c>
      <c r="U97" s="1">
        <v>76</v>
      </c>
      <c r="V97" s="9" t="s">
        <v>292</v>
      </c>
      <c r="X97" s="9" t="s">
        <v>292</v>
      </c>
      <c r="Z97" s="1">
        <v>84</v>
      </c>
      <c r="AA97" s="1">
        <v>87</v>
      </c>
      <c r="AB97" s="9" t="s">
        <v>292</v>
      </c>
      <c r="AD97" s="1">
        <v>95</v>
      </c>
      <c r="AE97" s="1">
        <v>97</v>
      </c>
      <c r="AF97" s="1">
        <v>91</v>
      </c>
      <c r="AG97" s="1">
        <v>92</v>
      </c>
      <c r="AH97" s="7">
        <v>99</v>
      </c>
      <c r="AI97" s="1">
        <v>101</v>
      </c>
      <c r="AJ97" s="1">
        <v>95</v>
      </c>
      <c r="AK97" s="1">
        <v>101</v>
      </c>
      <c r="AL97" s="1">
        <v>88</v>
      </c>
      <c r="AM97" s="1">
        <v>88</v>
      </c>
      <c r="AN97" s="1">
        <v>108</v>
      </c>
      <c r="AO97" s="1">
        <v>108</v>
      </c>
      <c r="AP97" s="1">
        <v>91</v>
      </c>
      <c r="AQ97" s="1">
        <v>91</v>
      </c>
      <c r="AR97" s="1">
        <v>94</v>
      </c>
      <c r="AS97" s="1">
        <v>94</v>
      </c>
      <c r="AT97" s="9" t="s">
        <v>292</v>
      </c>
      <c r="AV97" s="1">
        <v>90</v>
      </c>
      <c r="AW97" s="1">
        <v>91</v>
      </c>
      <c r="AX97" s="1">
        <v>103</v>
      </c>
      <c r="AY97" s="1">
        <v>104</v>
      </c>
      <c r="AZ97" s="1">
        <v>80</v>
      </c>
      <c r="BA97" s="1">
        <v>81</v>
      </c>
      <c r="BD97" s="2">
        <v>94</v>
      </c>
    </row>
    <row r="98" spans="2:56" ht="15.75" x14ac:dyDescent="0.25">
      <c r="B98" s="2">
        <v>95</v>
      </c>
      <c r="D98" s="1">
        <v>96</v>
      </c>
      <c r="E98" s="1">
        <v>96</v>
      </c>
      <c r="F98" s="1">
        <v>105</v>
      </c>
      <c r="G98" s="1">
        <v>105</v>
      </c>
      <c r="H98" s="1">
        <v>105</v>
      </c>
      <c r="I98" s="1">
        <v>107</v>
      </c>
      <c r="J98" s="9" t="s">
        <v>292</v>
      </c>
      <c r="L98" s="1">
        <v>85</v>
      </c>
      <c r="M98" s="1">
        <v>87</v>
      </c>
      <c r="N98" s="9" t="s">
        <v>292</v>
      </c>
      <c r="O98" s="9"/>
      <c r="P98" s="1">
        <v>84</v>
      </c>
      <c r="Q98" s="1">
        <v>86</v>
      </c>
      <c r="R98" s="1">
        <v>84</v>
      </c>
      <c r="S98" s="1">
        <v>84</v>
      </c>
      <c r="T98" s="1">
        <v>77</v>
      </c>
      <c r="U98" s="1">
        <v>77</v>
      </c>
      <c r="V98" s="9" t="s">
        <v>292</v>
      </c>
      <c r="X98" s="1">
        <v>89</v>
      </c>
      <c r="Y98" s="1">
        <v>89</v>
      </c>
      <c r="Z98" s="1">
        <v>88</v>
      </c>
      <c r="AA98" s="1">
        <v>91</v>
      </c>
      <c r="AB98" s="1">
        <v>89</v>
      </c>
      <c r="AC98" s="1">
        <v>91</v>
      </c>
      <c r="AD98" s="1">
        <v>98</v>
      </c>
      <c r="AE98" s="1">
        <v>98</v>
      </c>
      <c r="AF98" s="1">
        <v>93</v>
      </c>
      <c r="AG98" s="1">
        <v>94</v>
      </c>
      <c r="AH98" s="7">
        <v>102</v>
      </c>
      <c r="AI98" s="1">
        <v>108</v>
      </c>
      <c r="AJ98" s="1">
        <v>102</v>
      </c>
      <c r="AK98" s="1">
        <v>108</v>
      </c>
      <c r="AL98" s="1">
        <v>89</v>
      </c>
      <c r="AM98" s="1">
        <v>89</v>
      </c>
      <c r="AN98" s="9" t="s">
        <v>292</v>
      </c>
      <c r="AP98" s="1">
        <v>92</v>
      </c>
      <c r="AQ98" s="1">
        <v>93</v>
      </c>
      <c r="AR98" s="1">
        <v>95</v>
      </c>
      <c r="AS98" s="1">
        <v>98</v>
      </c>
      <c r="AT98" s="1">
        <v>92</v>
      </c>
      <c r="AU98" s="1">
        <v>92</v>
      </c>
      <c r="AV98" s="1">
        <v>92</v>
      </c>
      <c r="AW98" s="1">
        <v>92</v>
      </c>
      <c r="AX98" s="9" t="s">
        <v>292</v>
      </c>
      <c r="AZ98" s="1">
        <v>82</v>
      </c>
      <c r="BA98" s="1">
        <v>83</v>
      </c>
      <c r="BD98" s="2">
        <v>95</v>
      </c>
    </row>
    <row r="99" spans="2:56" ht="15.75" x14ac:dyDescent="0.25">
      <c r="B99" s="2">
        <v>96</v>
      </c>
      <c r="D99" s="1">
        <v>97</v>
      </c>
      <c r="E99" s="1">
        <v>101</v>
      </c>
      <c r="F99" s="1">
        <v>106</v>
      </c>
      <c r="G99" s="1">
        <v>109</v>
      </c>
      <c r="H99" s="1">
        <v>108</v>
      </c>
      <c r="I99" s="1">
        <v>108</v>
      </c>
      <c r="J99" s="1">
        <v>98</v>
      </c>
      <c r="K99" s="1">
        <v>101</v>
      </c>
      <c r="L99" s="9" t="s">
        <v>292</v>
      </c>
      <c r="N99" s="9" t="s">
        <v>292</v>
      </c>
      <c r="O99" s="9"/>
      <c r="P99" s="1">
        <v>87</v>
      </c>
      <c r="Q99" s="1">
        <v>89</v>
      </c>
      <c r="R99" s="1">
        <v>85</v>
      </c>
      <c r="S99" s="1">
        <v>87</v>
      </c>
      <c r="T99" s="1">
        <v>78</v>
      </c>
      <c r="U99" s="1">
        <v>80</v>
      </c>
      <c r="V99" s="1">
        <v>80</v>
      </c>
      <c r="W99" s="1">
        <v>84</v>
      </c>
      <c r="X99" s="9">
        <v>90</v>
      </c>
      <c r="Y99" s="1">
        <v>93</v>
      </c>
      <c r="Z99" s="1">
        <v>92</v>
      </c>
      <c r="AA99" s="1">
        <v>94</v>
      </c>
      <c r="AB99" s="1">
        <v>92</v>
      </c>
      <c r="AC99" s="1">
        <v>93</v>
      </c>
      <c r="AD99" s="1">
        <v>99</v>
      </c>
      <c r="AE99" s="1">
        <v>102</v>
      </c>
      <c r="AF99" s="9" t="s">
        <v>292</v>
      </c>
      <c r="AH99" s="11" t="s">
        <v>292</v>
      </c>
      <c r="AJ99" s="1">
        <v>104</v>
      </c>
      <c r="AK99" s="1">
        <v>104</v>
      </c>
      <c r="AL99" s="1">
        <v>90</v>
      </c>
      <c r="AM99" s="1">
        <v>92</v>
      </c>
      <c r="AN99" s="1">
        <v>109</v>
      </c>
      <c r="AO99" s="1">
        <v>109</v>
      </c>
      <c r="AP99" s="1">
        <v>94</v>
      </c>
      <c r="AQ99" s="1">
        <v>97</v>
      </c>
      <c r="AR99" s="1">
        <v>99</v>
      </c>
      <c r="AS99" s="1">
        <v>101</v>
      </c>
      <c r="AT99" s="1">
        <v>93</v>
      </c>
      <c r="AU99" s="1">
        <v>95</v>
      </c>
      <c r="AV99" s="1">
        <v>93</v>
      </c>
      <c r="AW99" s="1">
        <v>94</v>
      </c>
      <c r="AX99" s="1">
        <v>105</v>
      </c>
      <c r="AY99" s="1">
        <v>107</v>
      </c>
      <c r="AZ99" s="1">
        <v>84</v>
      </c>
      <c r="BA99" s="1">
        <v>87</v>
      </c>
      <c r="BD99" s="2">
        <v>96</v>
      </c>
    </row>
    <row r="100" spans="2:56" ht="15.75" x14ac:dyDescent="0.25">
      <c r="B100" s="2">
        <v>97</v>
      </c>
      <c r="D100" s="9" t="s">
        <v>292</v>
      </c>
      <c r="F100" s="9" t="s">
        <v>292</v>
      </c>
      <c r="H100" s="1">
        <v>109</v>
      </c>
      <c r="I100" s="1">
        <v>110</v>
      </c>
      <c r="J100" s="1">
        <v>102</v>
      </c>
      <c r="K100" s="1">
        <v>104</v>
      </c>
      <c r="L100" s="9" t="s">
        <v>292</v>
      </c>
      <c r="N100" s="1">
        <v>85</v>
      </c>
      <c r="O100" s="1">
        <v>92</v>
      </c>
      <c r="P100" s="1">
        <v>90</v>
      </c>
      <c r="Q100" s="1">
        <v>92</v>
      </c>
      <c r="R100" s="1">
        <v>88</v>
      </c>
      <c r="S100" s="1">
        <v>91</v>
      </c>
      <c r="T100" s="1">
        <v>81</v>
      </c>
      <c r="U100" s="1">
        <v>81</v>
      </c>
      <c r="V100" s="1">
        <v>85</v>
      </c>
      <c r="W100" s="1">
        <v>95</v>
      </c>
      <c r="X100" s="1">
        <v>94</v>
      </c>
      <c r="Y100" s="1">
        <v>95</v>
      </c>
      <c r="Z100" s="1">
        <v>95</v>
      </c>
      <c r="AA100" s="1">
        <v>98</v>
      </c>
      <c r="AB100" s="1">
        <v>94</v>
      </c>
      <c r="AC100" s="1">
        <v>98</v>
      </c>
      <c r="AD100" s="1">
        <v>103</v>
      </c>
      <c r="AE100" s="1">
        <v>105</v>
      </c>
      <c r="AF100" s="1">
        <v>95</v>
      </c>
      <c r="AG100" s="1">
        <v>96</v>
      </c>
      <c r="AH100" s="7">
        <v>104</v>
      </c>
      <c r="AI100" s="1">
        <v>107</v>
      </c>
      <c r="AJ100" s="9" t="s">
        <v>292</v>
      </c>
      <c r="AL100" s="1">
        <v>93</v>
      </c>
      <c r="AM100" s="1">
        <v>94</v>
      </c>
      <c r="AN100" s="1">
        <v>110</v>
      </c>
      <c r="AO100" s="1">
        <v>112</v>
      </c>
      <c r="AP100" s="1">
        <v>98</v>
      </c>
      <c r="AQ100" s="1">
        <v>101</v>
      </c>
      <c r="AR100" s="1">
        <v>102</v>
      </c>
      <c r="AS100" s="1">
        <v>104</v>
      </c>
      <c r="AT100" s="1">
        <v>96</v>
      </c>
      <c r="AU100" s="1">
        <v>98</v>
      </c>
      <c r="AV100" s="1">
        <v>95</v>
      </c>
      <c r="AW100" s="1">
        <v>98</v>
      </c>
      <c r="AX100" s="1">
        <v>108</v>
      </c>
      <c r="AY100" s="1">
        <v>110</v>
      </c>
      <c r="AZ100" s="1">
        <v>88</v>
      </c>
      <c r="BA100" s="1">
        <v>89</v>
      </c>
      <c r="BD100" s="2">
        <v>97</v>
      </c>
    </row>
    <row r="101" spans="2:56" ht="15.75" x14ac:dyDescent="0.25">
      <c r="B101" s="2">
        <v>98</v>
      </c>
      <c r="D101" s="1">
        <v>102</v>
      </c>
      <c r="E101" s="1">
        <v>107</v>
      </c>
      <c r="F101" s="1">
        <v>110</v>
      </c>
      <c r="G101" s="1">
        <v>110</v>
      </c>
      <c r="H101" s="1">
        <v>111</v>
      </c>
      <c r="I101" s="1">
        <v>113</v>
      </c>
      <c r="J101" s="1">
        <v>105</v>
      </c>
      <c r="K101" s="1">
        <v>105</v>
      </c>
      <c r="L101" s="1">
        <v>88</v>
      </c>
      <c r="M101" s="1">
        <v>92</v>
      </c>
      <c r="N101" s="9" t="s">
        <v>292</v>
      </c>
      <c r="P101" s="1">
        <v>93</v>
      </c>
      <c r="Q101" s="1">
        <v>95</v>
      </c>
      <c r="R101" s="1">
        <v>92</v>
      </c>
      <c r="S101" s="1">
        <v>94</v>
      </c>
      <c r="T101" s="1">
        <v>82</v>
      </c>
      <c r="U101" s="1">
        <v>88</v>
      </c>
      <c r="V101" s="1">
        <v>96</v>
      </c>
      <c r="W101" s="1">
        <v>99</v>
      </c>
      <c r="X101" s="1">
        <v>96</v>
      </c>
      <c r="Y101" s="1">
        <v>101</v>
      </c>
      <c r="Z101" s="1">
        <v>99</v>
      </c>
      <c r="AA101" s="1">
        <v>106</v>
      </c>
      <c r="AB101" s="1">
        <v>99</v>
      </c>
      <c r="AC101" s="1">
        <v>103</v>
      </c>
      <c r="AD101" s="1">
        <v>106</v>
      </c>
      <c r="AE101" s="1">
        <v>106</v>
      </c>
      <c r="AF101" s="1">
        <v>97</v>
      </c>
      <c r="AG101" s="1">
        <v>100</v>
      </c>
      <c r="AH101" s="7">
        <v>108</v>
      </c>
      <c r="AI101" s="1">
        <v>108</v>
      </c>
      <c r="AJ101" s="1">
        <v>105</v>
      </c>
      <c r="AK101" s="1">
        <v>113</v>
      </c>
      <c r="AL101" s="1">
        <v>95</v>
      </c>
      <c r="AM101" s="1">
        <v>99</v>
      </c>
      <c r="AN101" s="1">
        <v>113</v>
      </c>
      <c r="AO101" s="1">
        <v>113</v>
      </c>
      <c r="AP101" s="1">
        <v>102</v>
      </c>
      <c r="AQ101" s="1">
        <v>104</v>
      </c>
      <c r="AR101" s="1">
        <v>105</v>
      </c>
      <c r="AS101" s="1">
        <v>108</v>
      </c>
      <c r="AT101" s="1">
        <v>99</v>
      </c>
      <c r="AU101" s="1">
        <v>99</v>
      </c>
      <c r="AV101" s="1">
        <v>99</v>
      </c>
      <c r="AW101" s="1">
        <v>101</v>
      </c>
      <c r="AX101" s="1">
        <v>111</v>
      </c>
      <c r="AY101" s="1">
        <v>113</v>
      </c>
      <c r="AZ101" s="1">
        <v>90</v>
      </c>
      <c r="BA101" s="1">
        <v>93</v>
      </c>
      <c r="BD101" s="2">
        <v>98</v>
      </c>
    </row>
    <row r="102" spans="2:56" ht="15.75" x14ac:dyDescent="0.25">
      <c r="B102" s="2">
        <v>99</v>
      </c>
      <c r="D102" s="1">
        <v>108</v>
      </c>
      <c r="E102" s="1">
        <v>115</v>
      </c>
      <c r="F102" s="1">
        <v>111</v>
      </c>
      <c r="G102" s="1">
        <v>115</v>
      </c>
      <c r="H102" s="1">
        <v>114</v>
      </c>
      <c r="I102" s="1">
        <v>115</v>
      </c>
      <c r="J102" s="1">
        <v>106</v>
      </c>
      <c r="K102" s="1">
        <v>115</v>
      </c>
      <c r="L102" s="1">
        <v>93</v>
      </c>
      <c r="M102" s="1">
        <v>100</v>
      </c>
      <c r="N102" s="1">
        <v>93</v>
      </c>
      <c r="O102" s="1">
        <v>100</v>
      </c>
      <c r="P102" s="1">
        <v>96</v>
      </c>
      <c r="Q102" s="1">
        <v>115</v>
      </c>
      <c r="R102" s="1">
        <v>95</v>
      </c>
      <c r="S102" s="1">
        <v>115</v>
      </c>
      <c r="T102" s="1">
        <v>89</v>
      </c>
      <c r="U102" s="1">
        <v>115</v>
      </c>
      <c r="V102" s="1">
        <v>100</v>
      </c>
      <c r="W102" s="1">
        <v>100</v>
      </c>
      <c r="X102" s="1">
        <v>102</v>
      </c>
      <c r="Y102" s="1">
        <v>115</v>
      </c>
      <c r="Z102" s="1">
        <v>107</v>
      </c>
      <c r="AA102" s="1">
        <v>115</v>
      </c>
      <c r="AB102" s="1">
        <v>104</v>
      </c>
      <c r="AC102" s="1">
        <v>115</v>
      </c>
      <c r="AD102" s="1">
        <v>107</v>
      </c>
      <c r="AE102" s="1">
        <v>115</v>
      </c>
      <c r="AF102" s="1">
        <v>101</v>
      </c>
      <c r="AG102" s="1">
        <v>115</v>
      </c>
      <c r="AH102" s="7">
        <v>109</v>
      </c>
      <c r="AI102" s="1">
        <v>115</v>
      </c>
      <c r="AJ102" s="1">
        <v>114</v>
      </c>
      <c r="AK102" s="1">
        <v>115</v>
      </c>
      <c r="AL102" s="1">
        <v>100</v>
      </c>
      <c r="AM102" s="1">
        <v>115</v>
      </c>
      <c r="AN102" s="1">
        <v>114</v>
      </c>
      <c r="AO102" s="1">
        <v>115</v>
      </c>
      <c r="AP102" s="1">
        <v>105</v>
      </c>
      <c r="AQ102" s="1">
        <v>115</v>
      </c>
      <c r="AR102" s="1">
        <v>109</v>
      </c>
      <c r="AS102" s="1">
        <v>115</v>
      </c>
      <c r="AT102" s="1">
        <v>100</v>
      </c>
      <c r="AU102" s="1">
        <v>115</v>
      </c>
      <c r="AV102" s="1">
        <v>102</v>
      </c>
      <c r="AW102" s="1">
        <v>115</v>
      </c>
      <c r="AX102" s="1">
        <v>114</v>
      </c>
      <c r="AY102" s="1">
        <v>115</v>
      </c>
      <c r="AZ102" s="1">
        <v>94</v>
      </c>
      <c r="BA102" s="1">
        <v>115</v>
      </c>
      <c r="BD102" s="2">
        <v>99</v>
      </c>
    </row>
  </sheetData>
  <mergeCells count="27">
    <mergeCell ref="A2:AZ2"/>
    <mergeCell ref="A3:C3"/>
    <mergeCell ref="D3:E3"/>
    <mergeCell ref="F3:G3"/>
    <mergeCell ref="H3:I3"/>
    <mergeCell ref="J3:K3"/>
    <mergeCell ref="L3:M3"/>
    <mergeCell ref="N3:O3"/>
    <mergeCell ref="P3:Q3"/>
    <mergeCell ref="R3:S3"/>
    <mergeCell ref="AP3:AQ3"/>
    <mergeCell ref="T3:U3"/>
    <mergeCell ref="V3:W3"/>
    <mergeCell ref="X3:Y3"/>
    <mergeCell ref="Z3:AA3"/>
    <mergeCell ref="AB3:AC3"/>
    <mergeCell ref="AD3:AE3"/>
    <mergeCell ref="AF3:AG3"/>
    <mergeCell ref="AH3:AI3"/>
    <mergeCell ref="AJ3:AK3"/>
    <mergeCell ref="AL3:AM3"/>
    <mergeCell ref="AZ3:BA3"/>
    <mergeCell ref="AN3:AO3"/>
    <mergeCell ref="AR3:AS3"/>
    <mergeCell ref="AT3:AU3"/>
    <mergeCell ref="AV3:AW3"/>
    <mergeCell ref="AX3:AY3"/>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2:Z119"/>
  <sheetViews>
    <sheetView topLeftCell="A60" zoomScale="70" zoomScaleNormal="70" workbookViewId="0">
      <selection activeCell="A99" sqref="A99"/>
    </sheetView>
  </sheetViews>
  <sheetFormatPr baseColWidth="10" defaultColWidth="4.140625" defaultRowHeight="15" x14ac:dyDescent="0.25"/>
  <cols>
    <col min="1" max="1" width="5" style="1" bestFit="1" customWidth="1"/>
    <col min="2" max="10" width="4.140625" style="1" customWidth="1"/>
    <col min="11" max="11" width="5.5703125" style="1" bestFit="1" customWidth="1"/>
    <col min="12" max="12" width="4.140625" style="1"/>
    <col min="13" max="13" width="5.5703125" style="1" bestFit="1" customWidth="1"/>
    <col min="14" max="16384" width="4.140625" style="1"/>
  </cols>
  <sheetData>
    <row r="2" spans="1:26" ht="15.75" x14ac:dyDescent="0.25">
      <c r="B2" s="2" t="s">
        <v>291</v>
      </c>
    </row>
    <row r="3" spans="1:26" s="2" customFormat="1" ht="15.75" x14ac:dyDescent="0.25">
      <c r="B3" s="2">
        <v>1</v>
      </c>
      <c r="C3" s="2" t="s">
        <v>200</v>
      </c>
      <c r="D3" s="2" t="s">
        <v>201</v>
      </c>
      <c r="E3" s="2">
        <v>3</v>
      </c>
      <c r="F3" s="2" t="s">
        <v>211</v>
      </c>
      <c r="G3" s="2" t="s">
        <v>213</v>
      </c>
      <c r="H3" s="2">
        <v>5</v>
      </c>
      <c r="I3" s="2" t="s">
        <v>202</v>
      </c>
      <c r="J3" s="2" t="s">
        <v>203</v>
      </c>
      <c r="K3" s="2">
        <v>7</v>
      </c>
      <c r="L3" s="2" t="s">
        <v>204</v>
      </c>
      <c r="M3" s="2" t="s">
        <v>205</v>
      </c>
      <c r="N3" s="2" t="s">
        <v>197</v>
      </c>
      <c r="O3" s="2" t="s">
        <v>198</v>
      </c>
      <c r="P3" s="2" t="s">
        <v>199</v>
      </c>
      <c r="Q3" s="3" t="s">
        <v>224</v>
      </c>
      <c r="R3" s="2" t="s">
        <v>225</v>
      </c>
      <c r="S3" s="2" t="s">
        <v>232</v>
      </c>
      <c r="T3" s="2" t="s">
        <v>226</v>
      </c>
      <c r="U3" s="2" t="s">
        <v>227</v>
      </c>
      <c r="V3" s="2" t="s">
        <v>228</v>
      </c>
      <c r="W3" s="2" t="s">
        <v>229</v>
      </c>
      <c r="X3" s="2" t="s">
        <v>238</v>
      </c>
      <c r="Y3" s="2" t="s">
        <v>240</v>
      </c>
      <c r="Z3" s="2" t="s">
        <v>242</v>
      </c>
    </row>
    <row r="4" spans="1:26" ht="15.75" x14ac:dyDescent="0.25">
      <c r="A4" s="2">
        <v>0</v>
      </c>
      <c r="B4" s="1">
        <v>2</v>
      </c>
      <c r="C4" s="1">
        <v>2</v>
      </c>
      <c r="D4" s="1">
        <v>5</v>
      </c>
      <c r="E4" s="1">
        <v>2</v>
      </c>
      <c r="F4" s="1">
        <v>4</v>
      </c>
      <c r="G4" s="1">
        <v>4</v>
      </c>
      <c r="H4" s="1">
        <v>10</v>
      </c>
      <c r="I4" s="1">
        <v>11</v>
      </c>
      <c r="J4" s="1">
        <v>6</v>
      </c>
      <c r="K4" s="1">
        <v>1</v>
      </c>
      <c r="L4" s="1">
        <v>3</v>
      </c>
      <c r="M4" s="1">
        <v>5</v>
      </c>
      <c r="N4" s="1">
        <v>4</v>
      </c>
      <c r="O4" s="1">
        <v>4</v>
      </c>
      <c r="P4" s="1">
        <v>7</v>
      </c>
      <c r="Q4" s="7">
        <v>5</v>
      </c>
      <c r="R4" s="8">
        <v>11</v>
      </c>
      <c r="S4" s="8">
        <v>3</v>
      </c>
      <c r="T4" s="8">
        <v>3</v>
      </c>
      <c r="U4" s="8">
        <v>34</v>
      </c>
      <c r="V4" s="8">
        <v>24</v>
      </c>
      <c r="W4" s="8">
        <v>8</v>
      </c>
      <c r="X4" s="8">
        <v>3</v>
      </c>
      <c r="Y4" s="8">
        <v>13</v>
      </c>
      <c r="Z4" s="8">
        <v>17</v>
      </c>
    </row>
    <row r="5" spans="1:26" ht="15.75" x14ac:dyDescent="0.25">
      <c r="A5" s="2">
        <v>1</v>
      </c>
      <c r="B5" s="1">
        <v>2</v>
      </c>
      <c r="C5" s="1">
        <v>2</v>
      </c>
      <c r="D5" s="1">
        <v>6</v>
      </c>
      <c r="E5" s="1">
        <v>2</v>
      </c>
      <c r="F5" s="1">
        <v>4</v>
      </c>
      <c r="G5" s="1">
        <v>4</v>
      </c>
      <c r="H5" s="1">
        <v>11</v>
      </c>
      <c r="I5" s="1">
        <v>12</v>
      </c>
      <c r="J5" s="1">
        <v>7</v>
      </c>
      <c r="K5" s="1">
        <v>1</v>
      </c>
      <c r="L5" s="1">
        <v>4</v>
      </c>
      <c r="M5" s="1">
        <v>5</v>
      </c>
      <c r="N5" s="1">
        <v>5</v>
      </c>
      <c r="O5" s="1">
        <v>6</v>
      </c>
      <c r="P5" s="1">
        <v>9</v>
      </c>
      <c r="Q5" s="7">
        <v>5</v>
      </c>
      <c r="R5" s="8">
        <v>12</v>
      </c>
      <c r="S5" s="8">
        <v>4</v>
      </c>
      <c r="T5" s="8">
        <v>4</v>
      </c>
      <c r="U5" s="8">
        <v>36</v>
      </c>
      <c r="V5" s="8">
        <v>25</v>
      </c>
      <c r="W5" s="8">
        <v>9</v>
      </c>
      <c r="X5" s="8">
        <v>4</v>
      </c>
      <c r="Y5" s="8">
        <v>14</v>
      </c>
      <c r="Z5" s="8">
        <v>19</v>
      </c>
    </row>
    <row r="6" spans="1:26" ht="15.75" x14ac:dyDescent="0.25">
      <c r="A6" s="2">
        <v>2</v>
      </c>
      <c r="B6" s="1">
        <v>2</v>
      </c>
      <c r="C6" s="1">
        <v>2</v>
      </c>
      <c r="D6" s="1">
        <v>6</v>
      </c>
      <c r="E6" s="1">
        <v>2</v>
      </c>
      <c r="F6" s="1">
        <v>4</v>
      </c>
      <c r="G6" s="1">
        <v>4</v>
      </c>
      <c r="H6" s="1">
        <v>11</v>
      </c>
      <c r="I6" s="1">
        <v>12</v>
      </c>
      <c r="J6" s="1">
        <v>8</v>
      </c>
      <c r="K6" s="1">
        <v>1</v>
      </c>
      <c r="L6" s="1">
        <v>5</v>
      </c>
      <c r="M6" s="1">
        <v>5</v>
      </c>
      <c r="N6" s="1">
        <v>6</v>
      </c>
      <c r="O6" s="1">
        <v>6</v>
      </c>
      <c r="P6" s="1">
        <v>10</v>
      </c>
      <c r="Q6" s="7">
        <v>6</v>
      </c>
      <c r="R6" s="8">
        <v>12</v>
      </c>
      <c r="S6" s="8">
        <v>4</v>
      </c>
      <c r="T6" s="8">
        <v>4</v>
      </c>
      <c r="U6" s="8">
        <v>37</v>
      </c>
      <c r="V6" s="8">
        <v>25</v>
      </c>
      <c r="W6" s="8">
        <v>10</v>
      </c>
      <c r="X6" s="8">
        <v>5</v>
      </c>
      <c r="Y6" s="8">
        <v>15</v>
      </c>
      <c r="Z6" s="8">
        <v>20</v>
      </c>
    </row>
    <row r="7" spans="1:26" ht="15.75" x14ac:dyDescent="0.25">
      <c r="A7" s="2">
        <v>3</v>
      </c>
      <c r="B7" s="1">
        <v>2</v>
      </c>
      <c r="C7" s="1">
        <v>2</v>
      </c>
      <c r="D7" s="1">
        <v>7</v>
      </c>
      <c r="E7" s="1">
        <v>2</v>
      </c>
      <c r="F7" s="1">
        <v>4</v>
      </c>
      <c r="G7" s="1">
        <v>4</v>
      </c>
      <c r="H7" s="1">
        <v>12</v>
      </c>
      <c r="I7" s="1">
        <v>12</v>
      </c>
      <c r="J7" s="1">
        <v>8</v>
      </c>
      <c r="K7" s="1">
        <v>1</v>
      </c>
      <c r="L7" s="1">
        <v>6</v>
      </c>
      <c r="M7" s="1">
        <v>6</v>
      </c>
      <c r="N7" s="1">
        <v>6</v>
      </c>
      <c r="O7" s="1">
        <v>6</v>
      </c>
      <c r="P7" s="1">
        <v>10</v>
      </c>
      <c r="Q7" s="7">
        <v>6</v>
      </c>
      <c r="R7" s="8">
        <v>12</v>
      </c>
      <c r="S7" s="8">
        <v>4</v>
      </c>
      <c r="T7" s="8">
        <v>4</v>
      </c>
      <c r="U7" s="8">
        <v>37</v>
      </c>
      <c r="V7" s="8">
        <v>25</v>
      </c>
      <c r="W7" s="8">
        <v>10</v>
      </c>
      <c r="X7" s="8">
        <v>5</v>
      </c>
      <c r="Y7" s="8">
        <v>15</v>
      </c>
      <c r="Z7" s="8">
        <v>20</v>
      </c>
    </row>
    <row r="8" spans="1:26" ht="15.75" x14ac:dyDescent="0.25">
      <c r="A8" s="2">
        <v>4</v>
      </c>
      <c r="B8" s="1">
        <v>2</v>
      </c>
      <c r="C8" s="1">
        <v>2</v>
      </c>
      <c r="D8" s="1">
        <v>7</v>
      </c>
      <c r="E8" s="1">
        <v>2</v>
      </c>
      <c r="F8" s="1">
        <v>4</v>
      </c>
      <c r="G8" s="1">
        <v>4</v>
      </c>
      <c r="H8" s="1">
        <v>12</v>
      </c>
      <c r="I8" s="1">
        <v>12</v>
      </c>
      <c r="J8" s="1">
        <v>8</v>
      </c>
      <c r="K8" s="1">
        <v>1</v>
      </c>
      <c r="L8" s="1">
        <v>6</v>
      </c>
      <c r="M8" s="1">
        <v>6</v>
      </c>
      <c r="N8" s="1">
        <v>6</v>
      </c>
      <c r="O8" s="1">
        <v>6</v>
      </c>
      <c r="P8" s="1">
        <v>10</v>
      </c>
      <c r="Q8" s="7">
        <v>6</v>
      </c>
      <c r="R8" s="8">
        <v>12</v>
      </c>
      <c r="S8" s="8">
        <v>4</v>
      </c>
      <c r="T8" s="8">
        <v>4</v>
      </c>
      <c r="U8" s="8">
        <v>37</v>
      </c>
      <c r="V8" s="8">
        <v>25</v>
      </c>
      <c r="W8" s="8">
        <v>10</v>
      </c>
      <c r="X8" s="8">
        <v>5</v>
      </c>
      <c r="Y8" s="8">
        <v>15</v>
      </c>
      <c r="Z8" s="8">
        <v>20</v>
      </c>
    </row>
    <row r="9" spans="1:26" ht="15.75" x14ac:dyDescent="0.25">
      <c r="A9" s="2">
        <v>5</v>
      </c>
      <c r="B9" s="1">
        <v>2</v>
      </c>
      <c r="C9" s="1">
        <v>2</v>
      </c>
      <c r="D9" s="1">
        <v>8</v>
      </c>
      <c r="E9" s="1">
        <v>2</v>
      </c>
      <c r="F9" s="1">
        <v>4</v>
      </c>
      <c r="G9" s="1">
        <v>5</v>
      </c>
      <c r="H9" s="1">
        <v>12</v>
      </c>
      <c r="I9" s="1">
        <v>12</v>
      </c>
      <c r="J9" s="1">
        <v>8</v>
      </c>
      <c r="K9" s="1">
        <v>1</v>
      </c>
      <c r="L9" s="1">
        <v>6</v>
      </c>
      <c r="M9" s="1">
        <v>6</v>
      </c>
      <c r="N9" s="1">
        <v>6</v>
      </c>
      <c r="O9" s="1">
        <v>7</v>
      </c>
      <c r="P9" s="1">
        <v>10</v>
      </c>
      <c r="Q9" s="7">
        <v>6</v>
      </c>
      <c r="R9" s="8">
        <v>12</v>
      </c>
      <c r="S9" s="8">
        <v>4</v>
      </c>
      <c r="T9" s="8">
        <v>8</v>
      </c>
      <c r="U9" s="8">
        <v>37</v>
      </c>
      <c r="V9" s="8">
        <v>26</v>
      </c>
      <c r="W9" s="8">
        <v>10</v>
      </c>
      <c r="X9" s="8">
        <v>5</v>
      </c>
      <c r="Y9" s="8">
        <v>15</v>
      </c>
      <c r="Z9" s="8">
        <v>20</v>
      </c>
    </row>
    <row r="10" spans="1:26" ht="15.75" x14ac:dyDescent="0.25">
      <c r="A10" s="2">
        <v>6</v>
      </c>
      <c r="B10" s="1">
        <v>2</v>
      </c>
      <c r="C10" s="1">
        <v>5</v>
      </c>
      <c r="D10" s="1">
        <v>8</v>
      </c>
      <c r="E10" s="1">
        <v>3</v>
      </c>
      <c r="F10" s="1">
        <v>7</v>
      </c>
      <c r="G10" s="1">
        <v>7</v>
      </c>
      <c r="H10" s="1">
        <v>12</v>
      </c>
      <c r="I10" s="1">
        <v>12</v>
      </c>
      <c r="J10" s="1">
        <v>8</v>
      </c>
      <c r="K10" s="1">
        <v>1</v>
      </c>
      <c r="L10" s="1">
        <v>6</v>
      </c>
      <c r="M10" s="1">
        <v>6</v>
      </c>
      <c r="N10" s="1">
        <v>9</v>
      </c>
      <c r="O10" s="1">
        <v>7</v>
      </c>
      <c r="P10" s="1">
        <v>10</v>
      </c>
      <c r="Q10" s="7">
        <v>6</v>
      </c>
      <c r="R10" s="8">
        <v>12</v>
      </c>
      <c r="S10" s="8">
        <v>4</v>
      </c>
      <c r="T10" s="8">
        <v>8</v>
      </c>
      <c r="U10" s="8">
        <v>37</v>
      </c>
      <c r="V10" s="8">
        <v>26</v>
      </c>
      <c r="W10" s="8">
        <v>10</v>
      </c>
      <c r="X10" s="8">
        <v>5</v>
      </c>
      <c r="Y10" s="8">
        <v>15</v>
      </c>
      <c r="Z10" s="8">
        <v>20</v>
      </c>
    </row>
    <row r="11" spans="1:26" ht="15.75" x14ac:dyDescent="0.25">
      <c r="A11" s="2">
        <v>7</v>
      </c>
      <c r="B11" s="1">
        <v>5</v>
      </c>
      <c r="C11" s="1">
        <v>5</v>
      </c>
      <c r="D11" s="1">
        <v>9</v>
      </c>
      <c r="E11" s="1">
        <v>3</v>
      </c>
      <c r="F11" s="1">
        <v>9</v>
      </c>
      <c r="G11" s="1">
        <v>8</v>
      </c>
      <c r="H11" s="1">
        <v>12</v>
      </c>
      <c r="I11" s="1">
        <v>12</v>
      </c>
      <c r="J11" s="1">
        <v>8</v>
      </c>
      <c r="K11" s="1">
        <v>1</v>
      </c>
      <c r="L11" s="1">
        <v>9</v>
      </c>
      <c r="M11" s="1">
        <v>6</v>
      </c>
      <c r="N11" s="1">
        <v>9</v>
      </c>
      <c r="O11" s="1">
        <v>7</v>
      </c>
      <c r="P11" s="1">
        <v>10</v>
      </c>
      <c r="Q11" s="7">
        <v>6</v>
      </c>
      <c r="R11" s="8">
        <v>12</v>
      </c>
      <c r="S11" s="8">
        <v>4</v>
      </c>
      <c r="T11" s="8">
        <v>9</v>
      </c>
      <c r="U11" s="8">
        <v>37</v>
      </c>
      <c r="V11" s="8">
        <v>26</v>
      </c>
      <c r="W11" s="8">
        <v>10</v>
      </c>
      <c r="X11" s="8">
        <v>8</v>
      </c>
      <c r="Y11" s="8">
        <v>15</v>
      </c>
      <c r="Z11" s="8">
        <v>20</v>
      </c>
    </row>
    <row r="12" spans="1:26" ht="15.75" x14ac:dyDescent="0.25">
      <c r="A12" s="2">
        <v>8</v>
      </c>
      <c r="B12" s="1">
        <v>5</v>
      </c>
      <c r="C12" s="1">
        <v>6</v>
      </c>
      <c r="D12" s="1">
        <v>9</v>
      </c>
      <c r="E12" s="1">
        <v>3</v>
      </c>
      <c r="F12" s="1">
        <v>9</v>
      </c>
      <c r="G12" s="1">
        <v>8</v>
      </c>
      <c r="H12" s="1">
        <v>12</v>
      </c>
      <c r="I12" s="1">
        <v>12</v>
      </c>
      <c r="J12" s="1">
        <v>8</v>
      </c>
      <c r="K12" s="1">
        <v>1</v>
      </c>
      <c r="L12" s="1">
        <v>9</v>
      </c>
      <c r="M12" s="1">
        <v>10</v>
      </c>
      <c r="N12" s="1">
        <v>10</v>
      </c>
      <c r="O12" s="1">
        <v>12</v>
      </c>
      <c r="P12" s="1">
        <v>10</v>
      </c>
      <c r="Q12" s="7">
        <v>10</v>
      </c>
      <c r="R12" s="8">
        <v>12</v>
      </c>
      <c r="S12" s="8">
        <v>4</v>
      </c>
      <c r="T12" s="8">
        <v>9</v>
      </c>
      <c r="U12" s="8">
        <v>37</v>
      </c>
      <c r="V12" s="8">
        <v>26</v>
      </c>
      <c r="W12" s="8">
        <v>10</v>
      </c>
      <c r="X12" s="8">
        <v>8</v>
      </c>
      <c r="Y12" s="8">
        <v>16</v>
      </c>
      <c r="Z12" s="8">
        <v>20</v>
      </c>
    </row>
    <row r="13" spans="1:26" ht="15.75" x14ac:dyDescent="0.25">
      <c r="A13" s="2">
        <v>9</v>
      </c>
      <c r="B13" s="1">
        <v>5</v>
      </c>
      <c r="C13" s="1">
        <v>6</v>
      </c>
      <c r="D13" s="1">
        <v>9</v>
      </c>
      <c r="E13" s="1">
        <v>3</v>
      </c>
      <c r="F13" s="1">
        <v>10</v>
      </c>
      <c r="G13" s="1">
        <v>8</v>
      </c>
      <c r="H13" s="1">
        <v>12</v>
      </c>
      <c r="I13" s="1">
        <v>12</v>
      </c>
      <c r="J13" s="1">
        <v>8</v>
      </c>
      <c r="K13" s="1">
        <v>1</v>
      </c>
      <c r="L13" s="1">
        <v>10</v>
      </c>
      <c r="M13" s="1">
        <v>10</v>
      </c>
      <c r="N13" s="1">
        <v>10</v>
      </c>
      <c r="O13" s="1">
        <v>13</v>
      </c>
      <c r="P13" s="1">
        <v>15</v>
      </c>
      <c r="Q13" s="7">
        <v>10</v>
      </c>
      <c r="R13" s="8">
        <v>12</v>
      </c>
      <c r="S13" s="8">
        <v>4</v>
      </c>
      <c r="T13" s="8">
        <v>9</v>
      </c>
      <c r="U13" s="8">
        <v>37</v>
      </c>
      <c r="V13" s="8">
        <v>26</v>
      </c>
      <c r="W13" s="8">
        <v>10</v>
      </c>
      <c r="X13" s="8">
        <v>9</v>
      </c>
      <c r="Y13" s="8">
        <v>21</v>
      </c>
      <c r="Z13" s="8">
        <v>20</v>
      </c>
    </row>
    <row r="14" spans="1:26" ht="15.75" x14ac:dyDescent="0.25">
      <c r="A14" s="2">
        <v>10</v>
      </c>
      <c r="B14" s="1">
        <v>5</v>
      </c>
      <c r="C14" s="1">
        <v>6</v>
      </c>
      <c r="D14" s="1">
        <v>13</v>
      </c>
      <c r="E14" s="1">
        <v>4</v>
      </c>
      <c r="F14" s="1">
        <v>10</v>
      </c>
      <c r="G14" s="1">
        <v>8</v>
      </c>
      <c r="H14" s="1">
        <v>12</v>
      </c>
      <c r="I14" s="1">
        <v>12</v>
      </c>
      <c r="J14" s="1">
        <v>13</v>
      </c>
      <c r="K14" s="1">
        <v>1</v>
      </c>
      <c r="L14" s="1">
        <v>10</v>
      </c>
      <c r="M14" s="1">
        <v>10</v>
      </c>
      <c r="N14" s="1">
        <v>10</v>
      </c>
      <c r="O14" s="1">
        <v>13</v>
      </c>
      <c r="P14" s="1">
        <v>15</v>
      </c>
      <c r="Q14" s="7">
        <v>10</v>
      </c>
      <c r="R14" s="8">
        <v>17</v>
      </c>
      <c r="S14" s="8">
        <v>8</v>
      </c>
      <c r="T14" s="8">
        <v>13</v>
      </c>
      <c r="U14" s="8">
        <v>37</v>
      </c>
      <c r="V14" s="8">
        <v>26</v>
      </c>
      <c r="W14" s="8">
        <v>10</v>
      </c>
      <c r="X14" s="8">
        <v>9</v>
      </c>
      <c r="Y14" s="8">
        <v>21</v>
      </c>
      <c r="Z14" s="8">
        <v>20</v>
      </c>
    </row>
    <row r="15" spans="1:26" ht="15.75" x14ac:dyDescent="0.25">
      <c r="A15" s="2">
        <v>11</v>
      </c>
      <c r="B15" s="1">
        <v>5</v>
      </c>
      <c r="C15" s="1">
        <v>6</v>
      </c>
      <c r="D15" s="1">
        <v>13</v>
      </c>
      <c r="E15" s="1">
        <v>4</v>
      </c>
      <c r="F15" s="1">
        <v>10</v>
      </c>
      <c r="G15" s="1">
        <v>9</v>
      </c>
      <c r="H15" s="1">
        <v>12</v>
      </c>
      <c r="I15" s="1">
        <v>12</v>
      </c>
      <c r="J15" s="1">
        <v>13</v>
      </c>
      <c r="K15" s="1">
        <v>1</v>
      </c>
      <c r="L15" s="1">
        <v>10</v>
      </c>
      <c r="M15" s="1">
        <v>11</v>
      </c>
      <c r="N15" s="1">
        <v>10</v>
      </c>
      <c r="O15" s="1">
        <v>13</v>
      </c>
      <c r="P15" s="1">
        <v>15</v>
      </c>
      <c r="Q15" s="7">
        <v>10</v>
      </c>
      <c r="R15" s="8">
        <v>19</v>
      </c>
      <c r="S15" s="8">
        <v>9</v>
      </c>
      <c r="T15" s="8">
        <v>14</v>
      </c>
      <c r="U15" s="8">
        <v>37</v>
      </c>
      <c r="V15" s="8">
        <v>26</v>
      </c>
      <c r="W15" s="8">
        <v>10</v>
      </c>
      <c r="X15" s="8">
        <v>9</v>
      </c>
      <c r="Y15" s="8">
        <v>22</v>
      </c>
      <c r="Z15" s="8">
        <v>20</v>
      </c>
    </row>
    <row r="16" spans="1:26" ht="15.75" x14ac:dyDescent="0.25">
      <c r="A16" s="2">
        <v>12</v>
      </c>
      <c r="B16" s="1">
        <v>5</v>
      </c>
      <c r="C16" s="1">
        <v>10</v>
      </c>
      <c r="D16" s="1">
        <v>14</v>
      </c>
      <c r="E16" s="1">
        <v>7</v>
      </c>
      <c r="F16" s="1">
        <v>11</v>
      </c>
      <c r="G16" s="1">
        <v>13</v>
      </c>
      <c r="H16" s="1">
        <v>15</v>
      </c>
      <c r="I16" s="1">
        <v>12</v>
      </c>
      <c r="J16" s="1">
        <v>13</v>
      </c>
      <c r="K16" s="1">
        <v>1</v>
      </c>
      <c r="L16" s="1">
        <v>10</v>
      </c>
      <c r="M16" s="1">
        <v>11</v>
      </c>
      <c r="N16" s="1">
        <v>14</v>
      </c>
      <c r="O16" s="1">
        <v>13</v>
      </c>
      <c r="P16" s="1">
        <v>15</v>
      </c>
      <c r="Q16" s="7">
        <v>10</v>
      </c>
      <c r="R16" s="8">
        <v>19</v>
      </c>
      <c r="S16" s="8">
        <v>9</v>
      </c>
      <c r="T16" s="8">
        <v>14</v>
      </c>
      <c r="U16" s="8">
        <v>37</v>
      </c>
      <c r="V16" s="8">
        <v>26</v>
      </c>
      <c r="W16" s="8">
        <v>18</v>
      </c>
      <c r="X16" s="8">
        <v>9</v>
      </c>
      <c r="Y16" s="8">
        <v>22</v>
      </c>
      <c r="Z16" s="8">
        <v>20</v>
      </c>
    </row>
    <row r="17" spans="1:26" ht="15.75" x14ac:dyDescent="0.25">
      <c r="A17" s="2">
        <v>13</v>
      </c>
      <c r="B17" s="1">
        <v>9</v>
      </c>
      <c r="C17" s="1">
        <v>10</v>
      </c>
      <c r="D17" s="1">
        <v>14</v>
      </c>
      <c r="E17" s="1">
        <v>7</v>
      </c>
      <c r="F17" s="1">
        <v>14</v>
      </c>
      <c r="G17" s="1">
        <v>13</v>
      </c>
      <c r="H17" s="1">
        <v>15</v>
      </c>
      <c r="I17" s="1">
        <v>12</v>
      </c>
      <c r="J17" s="1">
        <v>13</v>
      </c>
      <c r="K17" s="1">
        <v>1</v>
      </c>
      <c r="L17" s="1">
        <v>13</v>
      </c>
      <c r="M17" s="1">
        <v>11</v>
      </c>
      <c r="N17" s="1">
        <v>14</v>
      </c>
      <c r="O17" s="1">
        <v>13</v>
      </c>
      <c r="P17" s="1">
        <v>15</v>
      </c>
      <c r="Q17" s="7">
        <v>10</v>
      </c>
      <c r="R17" s="8">
        <v>19</v>
      </c>
      <c r="S17" s="8">
        <v>9</v>
      </c>
      <c r="T17" s="8">
        <v>14</v>
      </c>
      <c r="U17" s="8">
        <v>37</v>
      </c>
      <c r="V17" s="8">
        <v>26</v>
      </c>
      <c r="W17" s="8">
        <v>19</v>
      </c>
      <c r="X17" s="8">
        <v>13</v>
      </c>
      <c r="Y17" s="8">
        <v>22</v>
      </c>
      <c r="Z17" s="8">
        <v>20</v>
      </c>
    </row>
    <row r="18" spans="1:26" ht="15.75" x14ac:dyDescent="0.25">
      <c r="A18" s="2">
        <v>14</v>
      </c>
      <c r="B18" s="1">
        <v>9</v>
      </c>
      <c r="C18" s="1">
        <v>10</v>
      </c>
      <c r="D18" s="1">
        <v>14</v>
      </c>
      <c r="E18" s="1">
        <v>7</v>
      </c>
      <c r="F18" s="1">
        <v>14</v>
      </c>
      <c r="G18" s="1">
        <v>14</v>
      </c>
      <c r="H18" s="1">
        <v>15</v>
      </c>
      <c r="I18" s="1">
        <v>12</v>
      </c>
      <c r="J18" s="1">
        <v>13</v>
      </c>
      <c r="K18" s="1">
        <v>1</v>
      </c>
      <c r="L18" s="1">
        <v>14</v>
      </c>
      <c r="M18" s="1">
        <v>11</v>
      </c>
      <c r="N18" s="1">
        <v>15</v>
      </c>
      <c r="O18" s="1">
        <v>13</v>
      </c>
      <c r="P18" s="1">
        <v>15</v>
      </c>
      <c r="Q18" s="7">
        <v>10</v>
      </c>
      <c r="R18" s="8">
        <v>19</v>
      </c>
      <c r="S18" s="8">
        <v>9</v>
      </c>
      <c r="T18" s="8">
        <v>14</v>
      </c>
      <c r="U18" s="8">
        <v>37</v>
      </c>
      <c r="V18" s="8">
        <v>26</v>
      </c>
      <c r="W18" s="8">
        <v>19</v>
      </c>
      <c r="X18" s="8">
        <v>14</v>
      </c>
      <c r="Y18" s="8">
        <v>22</v>
      </c>
      <c r="Z18" s="8">
        <v>20</v>
      </c>
    </row>
    <row r="19" spans="1:26" ht="15.75" x14ac:dyDescent="0.25">
      <c r="A19" s="2">
        <v>15</v>
      </c>
      <c r="B19" s="1">
        <v>9</v>
      </c>
      <c r="C19" s="1">
        <v>10</v>
      </c>
      <c r="D19" s="1">
        <v>17</v>
      </c>
      <c r="E19" s="1">
        <v>8</v>
      </c>
      <c r="F19" s="1">
        <v>14</v>
      </c>
      <c r="G19" s="1">
        <v>14</v>
      </c>
      <c r="H19" s="1">
        <v>15</v>
      </c>
      <c r="I19" s="1">
        <v>12</v>
      </c>
      <c r="J19" s="1">
        <v>13</v>
      </c>
      <c r="K19" s="1">
        <v>1</v>
      </c>
      <c r="L19" s="1">
        <v>14</v>
      </c>
      <c r="M19" s="1">
        <v>15</v>
      </c>
      <c r="N19" s="1">
        <v>15</v>
      </c>
      <c r="O19" s="1">
        <v>18</v>
      </c>
      <c r="P19" s="1">
        <v>15</v>
      </c>
      <c r="Q19" s="7">
        <v>14</v>
      </c>
      <c r="R19" s="8">
        <v>19</v>
      </c>
      <c r="S19" s="8">
        <v>9</v>
      </c>
      <c r="T19" s="8">
        <v>18</v>
      </c>
      <c r="U19" s="8">
        <v>37</v>
      </c>
      <c r="V19" s="8">
        <v>26</v>
      </c>
      <c r="W19" s="8">
        <v>19</v>
      </c>
      <c r="X19" s="8">
        <v>14</v>
      </c>
      <c r="Y19" s="8">
        <v>22</v>
      </c>
      <c r="Z19" s="8">
        <v>20</v>
      </c>
    </row>
    <row r="20" spans="1:26" ht="15.75" x14ac:dyDescent="0.25">
      <c r="A20" s="2">
        <v>16</v>
      </c>
      <c r="B20" s="1">
        <v>9</v>
      </c>
      <c r="C20" s="1">
        <v>10</v>
      </c>
      <c r="D20" s="1">
        <v>17</v>
      </c>
      <c r="E20" s="1">
        <v>8</v>
      </c>
      <c r="F20" s="1">
        <v>14</v>
      </c>
      <c r="G20" s="1">
        <v>14</v>
      </c>
      <c r="H20" s="1">
        <v>15</v>
      </c>
      <c r="I20" s="1">
        <v>13</v>
      </c>
      <c r="J20" s="1">
        <v>13</v>
      </c>
      <c r="K20" s="1">
        <v>1</v>
      </c>
      <c r="L20" s="1">
        <v>14</v>
      </c>
      <c r="M20" s="1">
        <v>16</v>
      </c>
      <c r="N20" s="1">
        <v>15</v>
      </c>
      <c r="O20" s="1">
        <v>19</v>
      </c>
      <c r="P20" s="1">
        <v>15</v>
      </c>
      <c r="Q20" s="7">
        <v>15</v>
      </c>
      <c r="R20" s="8">
        <v>19</v>
      </c>
      <c r="S20" s="8">
        <v>9</v>
      </c>
      <c r="T20" s="8">
        <v>18</v>
      </c>
      <c r="U20" s="8">
        <v>37</v>
      </c>
      <c r="V20" s="8">
        <v>26</v>
      </c>
      <c r="W20" s="8">
        <v>19</v>
      </c>
      <c r="X20" s="8">
        <v>14</v>
      </c>
      <c r="Y20" s="8">
        <v>22</v>
      </c>
      <c r="Z20" s="8">
        <v>20</v>
      </c>
    </row>
    <row r="21" spans="1:26" ht="15.75" x14ac:dyDescent="0.25">
      <c r="A21" s="2">
        <v>17</v>
      </c>
      <c r="B21" s="1">
        <v>9</v>
      </c>
      <c r="C21" s="1">
        <v>10</v>
      </c>
      <c r="D21" s="1">
        <v>17</v>
      </c>
      <c r="E21" s="1">
        <v>8</v>
      </c>
      <c r="F21" s="1">
        <v>14</v>
      </c>
      <c r="G21" s="1">
        <v>15</v>
      </c>
      <c r="H21" s="1">
        <v>15</v>
      </c>
      <c r="I21" s="1">
        <v>13</v>
      </c>
      <c r="J21" s="1">
        <v>13</v>
      </c>
      <c r="K21" s="1">
        <v>1</v>
      </c>
      <c r="L21" s="1">
        <v>14</v>
      </c>
      <c r="M21" s="1">
        <v>16</v>
      </c>
      <c r="N21" s="1">
        <v>15</v>
      </c>
      <c r="O21" s="1">
        <v>19</v>
      </c>
      <c r="P21" s="1">
        <v>24</v>
      </c>
      <c r="Q21" s="7">
        <v>15</v>
      </c>
      <c r="R21" s="8">
        <v>19</v>
      </c>
      <c r="S21" s="8">
        <v>9</v>
      </c>
      <c r="T21" s="8">
        <v>18</v>
      </c>
      <c r="U21" s="8">
        <v>37</v>
      </c>
      <c r="V21" s="8">
        <v>26</v>
      </c>
      <c r="W21" s="8">
        <v>19</v>
      </c>
      <c r="X21" s="8">
        <v>14</v>
      </c>
      <c r="Y21" s="8">
        <v>28</v>
      </c>
      <c r="Z21" s="8">
        <v>20</v>
      </c>
    </row>
    <row r="22" spans="1:26" ht="15.75" x14ac:dyDescent="0.25">
      <c r="A22" s="2">
        <v>18</v>
      </c>
      <c r="B22" s="1">
        <v>9</v>
      </c>
      <c r="C22" s="1">
        <v>16</v>
      </c>
      <c r="D22" s="1">
        <v>18</v>
      </c>
      <c r="E22" s="1">
        <v>9</v>
      </c>
      <c r="F22" s="1">
        <v>14</v>
      </c>
      <c r="G22" s="1">
        <v>19</v>
      </c>
      <c r="H22" s="1">
        <v>15</v>
      </c>
      <c r="I22" s="1">
        <v>13</v>
      </c>
      <c r="J22" s="1">
        <v>13</v>
      </c>
      <c r="K22" s="1">
        <v>1</v>
      </c>
      <c r="L22" s="1">
        <v>14</v>
      </c>
      <c r="M22" s="1">
        <v>16</v>
      </c>
      <c r="N22" s="1">
        <v>18</v>
      </c>
      <c r="O22" s="1">
        <v>19</v>
      </c>
      <c r="P22" s="1">
        <v>24</v>
      </c>
      <c r="Q22" s="7">
        <v>15</v>
      </c>
      <c r="R22" s="8">
        <v>19</v>
      </c>
      <c r="S22" s="8">
        <v>9</v>
      </c>
      <c r="T22" s="8">
        <v>18</v>
      </c>
      <c r="U22" s="8">
        <v>37</v>
      </c>
      <c r="V22" s="8">
        <v>26</v>
      </c>
      <c r="W22" s="8">
        <v>19</v>
      </c>
      <c r="X22" s="8">
        <v>14</v>
      </c>
      <c r="Y22" s="8">
        <v>28</v>
      </c>
      <c r="Z22" s="8">
        <v>20</v>
      </c>
    </row>
    <row r="23" spans="1:26" ht="15.75" x14ac:dyDescent="0.25">
      <c r="A23" s="2">
        <v>19</v>
      </c>
      <c r="B23" s="1">
        <v>9</v>
      </c>
      <c r="C23" s="1">
        <v>16</v>
      </c>
      <c r="D23" s="1">
        <v>18</v>
      </c>
      <c r="E23" s="1">
        <v>10</v>
      </c>
      <c r="F23" s="1">
        <v>15</v>
      </c>
      <c r="G23" s="1">
        <v>19</v>
      </c>
      <c r="H23" s="1">
        <v>15</v>
      </c>
      <c r="I23" s="1">
        <v>14</v>
      </c>
      <c r="J23" s="1">
        <v>14</v>
      </c>
      <c r="K23" s="1">
        <v>1</v>
      </c>
      <c r="L23" s="1">
        <v>14</v>
      </c>
      <c r="M23" s="1">
        <v>16</v>
      </c>
      <c r="N23" s="1">
        <v>18</v>
      </c>
      <c r="O23" s="1">
        <v>19</v>
      </c>
      <c r="P23" s="1">
        <v>24</v>
      </c>
      <c r="Q23" s="7">
        <v>15</v>
      </c>
      <c r="R23" s="8">
        <v>20</v>
      </c>
      <c r="S23" s="8">
        <v>9</v>
      </c>
      <c r="T23" s="8">
        <v>18</v>
      </c>
      <c r="U23" s="8">
        <v>37</v>
      </c>
      <c r="V23" s="8">
        <v>26</v>
      </c>
      <c r="W23" s="8">
        <v>19</v>
      </c>
      <c r="X23" s="8">
        <v>14</v>
      </c>
      <c r="Y23" s="8">
        <v>28</v>
      </c>
      <c r="Z23" s="8">
        <v>20</v>
      </c>
    </row>
    <row r="24" spans="1:26" ht="15.75" x14ac:dyDescent="0.25">
      <c r="A24" s="2">
        <v>20</v>
      </c>
      <c r="B24" s="1">
        <v>13</v>
      </c>
      <c r="C24" s="1">
        <v>16</v>
      </c>
      <c r="D24" s="1">
        <v>20</v>
      </c>
      <c r="E24" s="1">
        <v>10</v>
      </c>
      <c r="F24" s="1">
        <v>18</v>
      </c>
      <c r="G24" s="1">
        <v>19</v>
      </c>
      <c r="H24" s="1">
        <v>15</v>
      </c>
      <c r="I24" s="1">
        <v>25</v>
      </c>
      <c r="J24" s="1">
        <v>22</v>
      </c>
      <c r="K24" s="1">
        <v>2</v>
      </c>
      <c r="L24" s="1">
        <v>19</v>
      </c>
      <c r="M24" s="1">
        <v>16</v>
      </c>
      <c r="N24" s="1">
        <v>18</v>
      </c>
      <c r="O24" s="1">
        <v>19</v>
      </c>
      <c r="P24" s="1">
        <v>24</v>
      </c>
      <c r="Q24" s="7">
        <v>15</v>
      </c>
      <c r="R24" s="8">
        <v>28</v>
      </c>
      <c r="S24" s="8">
        <v>15</v>
      </c>
      <c r="T24" s="8">
        <v>21</v>
      </c>
      <c r="U24" s="8">
        <v>37</v>
      </c>
      <c r="V24" s="8">
        <v>26</v>
      </c>
      <c r="W24" s="8">
        <v>19</v>
      </c>
      <c r="X24" s="8">
        <v>20</v>
      </c>
      <c r="Y24" s="8">
        <v>28</v>
      </c>
      <c r="Z24" s="8">
        <v>20</v>
      </c>
    </row>
    <row r="25" spans="1:26" ht="15.75" x14ac:dyDescent="0.25">
      <c r="A25" s="2">
        <v>21</v>
      </c>
      <c r="B25" s="1">
        <v>14</v>
      </c>
      <c r="C25" s="1">
        <v>16</v>
      </c>
      <c r="D25" s="1">
        <v>20</v>
      </c>
      <c r="E25" s="1">
        <v>10</v>
      </c>
      <c r="F25" s="1">
        <v>18</v>
      </c>
      <c r="G25" s="1">
        <v>19</v>
      </c>
      <c r="H25" s="1">
        <v>15</v>
      </c>
      <c r="I25" s="1">
        <v>25</v>
      </c>
      <c r="J25" s="1">
        <v>22</v>
      </c>
      <c r="K25" s="1">
        <v>2</v>
      </c>
      <c r="L25" s="1">
        <v>19</v>
      </c>
      <c r="M25" s="1">
        <v>16</v>
      </c>
      <c r="N25" s="1">
        <v>18</v>
      </c>
      <c r="O25" s="1">
        <v>19</v>
      </c>
      <c r="P25" s="1">
        <v>24</v>
      </c>
      <c r="Q25" s="7">
        <v>15</v>
      </c>
      <c r="R25" s="8">
        <v>29</v>
      </c>
      <c r="S25" s="8">
        <v>15</v>
      </c>
      <c r="T25" s="8">
        <v>21</v>
      </c>
      <c r="U25" s="8">
        <v>37</v>
      </c>
      <c r="V25" s="8">
        <v>26</v>
      </c>
      <c r="W25" s="8">
        <v>19</v>
      </c>
      <c r="X25" s="8">
        <v>20</v>
      </c>
      <c r="Y25" s="8">
        <v>28</v>
      </c>
      <c r="Z25" s="8">
        <v>20</v>
      </c>
    </row>
    <row r="26" spans="1:26" ht="15.75" x14ac:dyDescent="0.25">
      <c r="A26" s="2">
        <v>22</v>
      </c>
      <c r="B26" s="1">
        <v>14</v>
      </c>
      <c r="C26" s="1">
        <v>16</v>
      </c>
      <c r="D26" s="1">
        <v>20</v>
      </c>
      <c r="E26" s="1">
        <v>10</v>
      </c>
      <c r="F26" s="1">
        <v>18</v>
      </c>
      <c r="G26" s="1">
        <v>19</v>
      </c>
      <c r="H26" s="1">
        <v>15</v>
      </c>
      <c r="I26" s="1">
        <v>26</v>
      </c>
      <c r="J26" s="1">
        <v>23</v>
      </c>
      <c r="K26" s="1">
        <v>2</v>
      </c>
      <c r="L26" s="1">
        <v>19</v>
      </c>
      <c r="M26" s="1">
        <v>16</v>
      </c>
      <c r="N26" s="1">
        <v>18</v>
      </c>
      <c r="O26" s="1">
        <v>19</v>
      </c>
      <c r="P26" s="1">
        <v>24</v>
      </c>
      <c r="Q26" s="7">
        <v>15</v>
      </c>
      <c r="R26" s="8">
        <v>29</v>
      </c>
      <c r="S26" s="8">
        <v>15</v>
      </c>
      <c r="T26" s="8">
        <v>21</v>
      </c>
      <c r="U26" s="8">
        <v>37</v>
      </c>
      <c r="V26" s="8">
        <v>26</v>
      </c>
      <c r="W26" s="8">
        <v>19</v>
      </c>
      <c r="X26" s="8">
        <v>20</v>
      </c>
      <c r="Y26" s="8">
        <v>28</v>
      </c>
      <c r="Z26" s="8">
        <v>20</v>
      </c>
    </row>
    <row r="27" spans="1:26" ht="15.75" x14ac:dyDescent="0.25">
      <c r="A27" s="2">
        <v>23</v>
      </c>
      <c r="B27" s="1">
        <v>14</v>
      </c>
      <c r="C27" s="1">
        <v>16</v>
      </c>
      <c r="D27" s="1">
        <v>20</v>
      </c>
      <c r="E27" s="1">
        <v>10</v>
      </c>
      <c r="F27" s="1">
        <v>18</v>
      </c>
      <c r="G27" s="1">
        <v>21</v>
      </c>
      <c r="H27" s="1">
        <v>16</v>
      </c>
      <c r="I27" s="1">
        <v>26</v>
      </c>
      <c r="J27" s="1">
        <v>23</v>
      </c>
      <c r="K27" s="1">
        <v>2</v>
      </c>
      <c r="L27" s="1">
        <v>19</v>
      </c>
      <c r="M27" s="1">
        <v>22</v>
      </c>
      <c r="N27" s="1">
        <v>18</v>
      </c>
      <c r="O27" s="1">
        <v>24</v>
      </c>
      <c r="P27" s="1">
        <v>24</v>
      </c>
      <c r="Q27" s="7">
        <v>19</v>
      </c>
      <c r="R27" s="8">
        <v>29</v>
      </c>
      <c r="S27" s="8">
        <v>15</v>
      </c>
      <c r="T27" s="8">
        <v>21</v>
      </c>
      <c r="U27" s="8">
        <v>37</v>
      </c>
      <c r="V27" s="8">
        <v>26</v>
      </c>
      <c r="W27" s="8">
        <v>19</v>
      </c>
      <c r="X27" s="8">
        <v>20</v>
      </c>
      <c r="Y27" s="8">
        <v>28</v>
      </c>
      <c r="Z27" s="8">
        <v>20</v>
      </c>
    </row>
    <row r="28" spans="1:26" ht="15.75" x14ac:dyDescent="0.25">
      <c r="A28" s="2">
        <v>24</v>
      </c>
      <c r="B28" s="1">
        <v>14</v>
      </c>
      <c r="C28" s="1">
        <v>20</v>
      </c>
      <c r="D28" s="1">
        <v>21</v>
      </c>
      <c r="E28" s="1">
        <v>14</v>
      </c>
      <c r="F28" s="1">
        <v>18</v>
      </c>
      <c r="G28" s="1">
        <v>24</v>
      </c>
      <c r="H28" s="1">
        <v>25</v>
      </c>
      <c r="I28" s="1">
        <v>26</v>
      </c>
      <c r="J28" s="1">
        <v>23</v>
      </c>
      <c r="K28" s="1">
        <v>2</v>
      </c>
      <c r="L28" s="1">
        <v>19</v>
      </c>
      <c r="M28" s="1">
        <v>22</v>
      </c>
      <c r="N28" s="1">
        <v>24</v>
      </c>
      <c r="O28" s="1">
        <v>24</v>
      </c>
      <c r="P28" s="1">
        <v>24</v>
      </c>
      <c r="Q28" s="7">
        <v>20</v>
      </c>
      <c r="R28" s="8">
        <v>29</v>
      </c>
      <c r="S28" s="8">
        <v>15</v>
      </c>
      <c r="T28" s="8">
        <v>21</v>
      </c>
      <c r="U28" s="8">
        <v>37</v>
      </c>
      <c r="V28" s="8">
        <v>26</v>
      </c>
      <c r="W28" s="8">
        <v>28</v>
      </c>
      <c r="X28" s="8">
        <v>20</v>
      </c>
      <c r="Y28" s="8">
        <v>28</v>
      </c>
      <c r="Z28" s="8">
        <v>20</v>
      </c>
    </row>
    <row r="29" spans="1:26" ht="15.75" x14ac:dyDescent="0.25">
      <c r="A29" s="2">
        <v>25</v>
      </c>
      <c r="B29" s="1">
        <v>14</v>
      </c>
      <c r="C29" s="1">
        <v>20</v>
      </c>
      <c r="D29" s="1">
        <v>23</v>
      </c>
      <c r="E29" s="1">
        <v>15</v>
      </c>
      <c r="F29" s="1">
        <v>18</v>
      </c>
      <c r="G29" s="1">
        <v>24</v>
      </c>
      <c r="H29" s="1">
        <v>25</v>
      </c>
      <c r="I29" s="1">
        <v>26</v>
      </c>
      <c r="J29" s="1">
        <v>23</v>
      </c>
      <c r="K29" s="1">
        <v>3</v>
      </c>
      <c r="L29" s="1">
        <v>19</v>
      </c>
      <c r="M29" s="1">
        <v>22</v>
      </c>
      <c r="N29" s="1">
        <v>24</v>
      </c>
      <c r="O29" s="1">
        <v>24</v>
      </c>
      <c r="P29" s="1">
        <v>24</v>
      </c>
      <c r="Q29" s="7">
        <v>20</v>
      </c>
      <c r="R29" s="8">
        <v>29</v>
      </c>
      <c r="S29" s="8">
        <v>15</v>
      </c>
      <c r="T29" s="8">
        <v>24</v>
      </c>
      <c r="U29" s="8">
        <v>37</v>
      </c>
      <c r="V29" s="8">
        <v>26</v>
      </c>
      <c r="W29" s="8">
        <v>28</v>
      </c>
      <c r="X29" s="8">
        <v>20</v>
      </c>
      <c r="Y29" s="8">
        <v>28</v>
      </c>
      <c r="Z29" s="8">
        <v>20</v>
      </c>
    </row>
    <row r="30" spans="1:26" ht="15.75" x14ac:dyDescent="0.25">
      <c r="A30" s="2">
        <v>26</v>
      </c>
      <c r="B30" s="1">
        <v>14</v>
      </c>
      <c r="C30" s="1">
        <v>20</v>
      </c>
      <c r="D30" s="1">
        <v>23</v>
      </c>
      <c r="E30" s="1">
        <v>15</v>
      </c>
      <c r="F30" s="1">
        <v>19</v>
      </c>
      <c r="G30" s="1">
        <v>24</v>
      </c>
      <c r="H30" s="1">
        <v>26</v>
      </c>
      <c r="I30" s="1">
        <v>26</v>
      </c>
      <c r="J30" s="1">
        <v>23</v>
      </c>
      <c r="K30" s="1">
        <v>3</v>
      </c>
      <c r="L30" s="1">
        <v>19</v>
      </c>
      <c r="M30" s="1">
        <v>22</v>
      </c>
      <c r="N30" s="1">
        <v>24</v>
      </c>
      <c r="O30" s="1">
        <v>24</v>
      </c>
      <c r="P30" s="1">
        <v>29</v>
      </c>
      <c r="Q30" s="7">
        <v>20</v>
      </c>
      <c r="R30" s="8">
        <v>29</v>
      </c>
      <c r="S30" s="8">
        <v>15</v>
      </c>
      <c r="T30" s="8">
        <v>24</v>
      </c>
      <c r="U30" s="8">
        <v>37</v>
      </c>
      <c r="V30" s="8">
        <v>26</v>
      </c>
      <c r="W30" s="8">
        <v>28</v>
      </c>
      <c r="X30" s="8">
        <v>20</v>
      </c>
      <c r="Y30" s="8">
        <v>32</v>
      </c>
      <c r="Z30" s="8">
        <v>20</v>
      </c>
    </row>
    <row r="31" spans="1:26" ht="15.75" x14ac:dyDescent="0.25">
      <c r="A31" s="2">
        <v>27</v>
      </c>
      <c r="B31" s="1">
        <v>18</v>
      </c>
      <c r="C31" s="1">
        <v>20</v>
      </c>
      <c r="D31" s="1">
        <v>23</v>
      </c>
      <c r="E31" s="1">
        <v>15</v>
      </c>
      <c r="F31" s="1">
        <v>24</v>
      </c>
      <c r="G31" s="1">
        <v>24</v>
      </c>
      <c r="H31" s="1">
        <v>26</v>
      </c>
      <c r="I31" s="1">
        <v>26</v>
      </c>
      <c r="J31" s="1">
        <v>23</v>
      </c>
      <c r="K31" s="1">
        <v>3</v>
      </c>
      <c r="L31" s="1">
        <v>24</v>
      </c>
      <c r="M31" s="1">
        <v>23</v>
      </c>
      <c r="N31" s="1">
        <v>24</v>
      </c>
      <c r="O31" s="1">
        <v>24</v>
      </c>
      <c r="P31" s="1">
        <v>29</v>
      </c>
      <c r="Q31" s="7">
        <v>20</v>
      </c>
      <c r="R31" s="8">
        <v>29</v>
      </c>
      <c r="S31" s="8">
        <v>15</v>
      </c>
      <c r="T31" s="8">
        <v>24</v>
      </c>
      <c r="U31" s="8">
        <v>37</v>
      </c>
      <c r="V31" s="8">
        <v>26</v>
      </c>
      <c r="W31" s="8">
        <v>28</v>
      </c>
      <c r="X31" s="8">
        <v>23</v>
      </c>
      <c r="Y31" s="8">
        <v>32</v>
      </c>
      <c r="Z31" s="8">
        <v>20</v>
      </c>
    </row>
    <row r="32" spans="1:26" ht="15.75" x14ac:dyDescent="0.25">
      <c r="A32" s="2">
        <v>28</v>
      </c>
      <c r="B32" s="1">
        <v>19</v>
      </c>
      <c r="C32" s="1">
        <v>21</v>
      </c>
      <c r="D32" s="1">
        <v>23</v>
      </c>
      <c r="E32" s="1">
        <v>15</v>
      </c>
      <c r="F32" s="1">
        <v>24</v>
      </c>
      <c r="G32" s="1">
        <v>24</v>
      </c>
      <c r="H32" s="1">
        <v>27</v>
      </c>
      <c r="I32" s="1">
        <v>26</v>
      </c>
      <c r="J32" s="1">
        <v>23</v>
      </c>
      <c r="K32" s="1">
        <v>3</v>
      </c>
      <c r="L32" s="1">
        <v>24</v>
      </c>
      <c r="M32" s="1">
        <v>23</v>
      </c>
      <c r="N32" s="1">
        <v>24</v>
      </c>
      <c r="O32" s="1">
        <v>24</v>
      </c>
      <c r="P32" s="1">
        <v>29</v>
      </c>
      <c r="Q32" s="7">
        <v>20</v>
      </c>
      <c r="R32" s="8">
        <v>29</v>
      </c>
      <c r="S32" s="8">
        <v>15</v>
      </c>
      <c r="T32" s="8">
        <v>24</v>
      </c>
      <c r="U32" s="8">
        <v>37</v>
      </c>
      <c r="V32" s="8">
        <v>26</v>
      </c>
      <c r="W32" s="8">
        <v>28</v>
      </c>
      <c r="X32" s="8">
        <v>24</v>
      </c>
      <c r="Y32" s="8">
        <v>32</v>
      </c>
      <c r="Z32" s="8">
        <v>20</v>
      </c>
    </row>
    <row r="33" spans="1:26" ht="15.75" x14ac:dyDescent="0.25">
      <c r="A33" s="2">
        <v>29</v>
      </c>
      <c r="B33" s="1">
        <v>19</v>
      </c>
      <c r="C33" s="1">
        <v>21</v>
      </c>
      <c r="D33" s="1">
        <v>24</v>
      </c>
      <c r="E33" s="1">
        <v>15</v>
      </c>
      <c r="F33" s="1">
        <v>25</v>
      </c>
      <c r="G33" s="1">
        <v>25</v>
      </c>
      <c r="H33" s="1">
        <v>27</v>
      </c>
      <c r="I33" s="1">
        <v>26</v>
      </c>
      <c r="J33" s="1">
        <v>24</v>
      </c>
      <c r="K33" s="1">
        <v>4</v>
      </c>
      <c r="L33" s="1">
        <v>24</v>
      </c>
      <c r="M33" s="1">
        <v>23</v>
      </c>
      <c r="N33" s="1">
        <v>24</v>
      </c>
      <c r="O33" s="1">
        <v>24</v>
      </c>
      <c r="P33" s="1">
        <v>29</v>
      </c>
      <c r="Q33" s="7">
        <v>20</v>
      </c>
      <c r="R33" s="8">
        <v>30</v>
      </c>
      <c r="S33" s="8">
        <v>16</v>
      </c>
      <c r="T33" s="8">
        <v>25</v>
      </c>
      <c r="U33" s="8">
        <v>37</v>
      </c>
      <c r="V33" s="8">
        <v>26</v>
      </c>
      <c r="W33" s="8">
        <v>28</v>
      </c>
      <c r="X33" s="8">
        <v>24</v>
      </c>
      <c r="Y33" s="8">
        <v>32</v>
      </c>
      <c r="Z33" s="8">
        <v>21</v>
      </c>
    </row>
    <row r="34" spans="1:26" ht="15.75" x14ac:dyDescent="0.25">
      <c r="A34" s="2">
        <v>30</v>
      </c>
      <c r="B34" s="1">
        <v>19</v>
      </c>
      <c r="C34" s="1">
        <v>25</v>
      </c>
      <c r="D34" s="1">
        <v>28</v>
      </c>
      <c r="E34" s="1">
        <v>20</v>
      </c>
      <c r="F34" s="1">
        <v>25</v>
      </c>
      <c r="G34" s="1">
        <v>28</v>
      </c>
      <c r="H34" s="1">
        <v>27</v>
      </c>
      <c r="I34" s="1">
        <v>26</v>
      </c>
      <c r="J34" s="1">
        <v>30</v>
      </c>
      <c r="K34" s="1">
        <v>5</v>
      </c>
      <c r="L34" s="1">
        <v>24</v>
      </c>
      <c r="M34" s="1">
        <v>28</v>
      </c>
      <c r="N34" s="1">
        <v>29</v>
      </c>
      <c r="O34" s="1">
        <v>30</v>
      </c>
      <c r="P34" s="1">
        <v>29</v>
      </c>
      <c r="Q34" s="7">
        <v>26</v>
      </c>
      <c r="R34" s="8">
        <v>35</v>
      </c>
      <c r="S34" s="8">
        <v>22</v>
      </c>
      <c r="T34" s="8">
        <v>28</v>
      </c>
      <c r="U34" s="8">
        <v>37</v>
      </c>
      <c r="V34" s="8">
        <v>26</v>
      </c>
      <c r="W34" s="8">
        <v>28</v>
      </c>
      <c r="X34" s="8">
        <v>24</v>
      </c>
      <c r="Y34" s="8">
        <v>32</v>
      </c>
      <c r="Z34" s="8">
        <v>38</v>
      </c>
    </row>
    <row r="35" spans="1:26" ht="15.75" x14ac:dyDescent="0.25">
      <c r="A35" s="2">
        <v>31</v>
      </c>
      <c r="B35" s="1">
        <v>19</v>
      </c>
      <c r="C35" s="1">
        <v>25</v>
      </c>
      <c r="D35" s="1">
        <v>28</v>
      </c>
      <c r="E35" s="1">
        <v>20</v>
      </c>
      <c r="F35" s="1">
        <v>25</v>
      </c>
      <c r="G35" s="1">
        <v>29</v>
      </c>
      <c r="H35" s="1">
        <v>27</v>
      </c>
      <c r="I35" s="1">
        <v>26</v>
      </c>
      <c r="J35" s="1">
        <v>30</v>
      </c>
      <c r="K35" s="1">
        <v>5</v>
      </c>
      <c r="L35" s="1">
        <v>24</v>
      </c>
      <c r="M35" s="1">
        <v>28</v>
      </c>
      <c r="N35" s="1">
        <v>29</v>
      </c>
      <c r="O35" s="1">
        <v>30</v>
      </c>
      <c r="P35" s="1">
        <v>29</v>
      </c>
      <c r="Q35" s="7">
        <v>26</v>
      </c>
      <c r="R35" s="8">
        <v>35</v>
      </c>
      <c r="S35" s="8">
        <v>23</v>
      </c>
      <c r="T35" s="8">
        <v>28</v>
      </c>
      <c r="U35" s="8">
        <v>37</v>
      </c>
      <c r="V35" s="8">
        <v>26</v>
      </c>
      <c r="W35" s="8">
        <v>28</v>
      </c>
      <c r="X35" s="8">
        <v>24</v>
      </c>
      <c r="Y35" s="8">
        <v>32</v>
      </c>
      <c r="Z35" s="8">
        <v>38</v>
      </c>
    </row>
    <row r="36" spans="1:26" ht="15.75" x14ac:dyDescent="0.25">
      <c r="A36" s="2">
        <v>32</v>
      </c>
      <c r="B36" s="1">
        <v>20</v>
      </c>
      <c r="C36" s="1">
        <v>25</v>
      </c>
      <c r="D36" s="1">
        <v>29</v>
      </c>
      <c r="E36" s="1">
        <v>20</v>
      </c>
      <c r="F36" s="1">
        <v>26</v>
      </c>
      <c r="G36" s="1">
        <v>29</v>
      </c>
      <c r="H36" s="1">
        <v>27</v>
      </c>
      <c r="I36" s="1">
        <v>26</v>
      </c>
      <c r="J36" s="1">
        <v>30</v>
      </c>
      <c r="K36" s="1">
        <v>6</v>
      </c>
      <c r="L36" s="1">
        <v>24</v>
      </c>
      <c r="M36" s="1">
        <v>29</v>
      </c>
      <c r="N36" s="1">
        <v>29</v>
      </c>
      <c r="O36" s="1">
        <v>30</v>
      </c>
      <c r="P36" s="1">
        <v>29</v>
      </c>
      <c r="Q36" s="7">
        <v>26</v>
      </c>
      <c r="R36" s="8">
        <v>35</v>
      </c>
      <c r="S36" s="8">
        <v>23</v>
      </c>
      <c r="T36" s="8">
        <v>28</v>
      </c>
      <c r="U36" s="8">
        <v>37</v>
      </c>
      <c r="V36" s="8">
        <v>26</v>
      </c>
      <c r="W36" s="8">
        <v>28</v>
      </c>
      <c r="X36" s="8">
        <v>24</v>
      </c>
      <c r="Y36" s="8">
        <v>32</v>
      </c>
      <c r="Z36" s="8">
        <v>39</v>
      </c>
    </row>
    <row r="37" spans="1:26" ht="15.75" x14ac:dyDescent="0.25">
      <c r="A37" s="2">
        <v>33</v>
      </c>
      <c r="B37" s="1">
        <v>26</v>
      </c>
      <c r="C37" s="1">
        <v>25</v>
      </c>
      <c r="D37" s="1">
        <v>29</v>
      </c>
      <c r="E37" s="1">
        <v>21</v>
      </c>
      <c r="F37" s="1">
        <v>30</v>
      </c>
      <c r="G37" s="1">
        <v>29</v>
      </c>
      <c r="H37" s="1">
        <v>27</v>
      </c>
      <c r="I37" s="1">
        <v>26</v>
      </c>
      <c r="J37" s="1">
        <v>30</v>
      </c>
      <c r="K37" s="1">
        <v>6</v>
      </c>
      <c r="L37" s="1">
        <v>29</v>
      </c>
      <c r="M37" s="1">
        <v>29</v>
      </c>
      <c r="N37" s="1">
        <v>29</v>
      </c>
      <c r="O37" s="1">
        <v>30</v>
      </c>
      <c r="P37" s="1">
        <v>29</v>
      </c>
      <c r="Q37" s="7">
        <v>26</v>
      </c>
      <c r="R37" s="8">
        <v>35</v>
      </c>
      <c r="S37" s="8">
        <v>23</v>
      </c>
      <c r="T37" s="8">
        <v>28</v>
      </c>
      <c r="U37" s="8">
        <v>37</v>
      </c>
      <c r="V37" s="8">
        <v>26</v>
      </c>
      <c r="W37" s="8">
        <v>28</v>
      </c>
      <c r="X37" s="8">
        <v>27</v>
      </c>
      <c r="Y37" s="8">
        <v>33</v>
      </c>
      <c r="Z37" s="8">
        <v>39</v>
      </c>
    </row>
    <row r="38" spans="1:26" ht="15.75" x14ac:dyDescent="0.25">
      <c r="A38" s="2">
        <v>34</v>
      </c>
      <c r="B38" s="1">
        <v>26</v>
      </c>
      <c r="C38" s="1">
        <v>25</v>
      </c>
      <c r="D38" s="1">
        <v>29</v>
      </c>
      <c r="E38" s="1">
        <v>21</v>
      </c>
      <c r="F38" s="1">
        <v>30</v>
      </c>
      <c r="G38" s="1">
        <v>29</v>
      </c>
      <c r="H38" s="1">
        <v>27</v>
      </c>
      <c r="I38" s="1">
        <v>26</v>
      </c>
      <c r="J38" s="1">
        <v>30</v>
      </c>
      <c r="K38" s="1">
        <v>9</v>
      </c>
      <c r="L38" s="1">
        <v>29</v>
      </c>
      <c r="M38" s="1">
        <v>29</v>
      </c>
      <c r="N38" s="1">
        <v>29</v>
      </c>
      <c r="O38" s="1">
        <v>30</v>
      </c>
      <c r="P38" s="1">
        <v>36</v>
      </c>
      <c r="Q38" s="7">
        <v>26</v>
      </c>
      <c r="R38" s="8">
        <v>35</v>
      </c>
      <c r="S38" s="8">
        <v>23</v>
      </c>
      <c r="T38" s="8">
        <v>28</v>
      </c>
      <c r="U38" s="8">
        <v>37</v>
      </c>
      <c r="V38" s="8">
        <v>26</v>
      </c>
      <c r="W38" s="8">
        <v>28</v>
      </c>
      <c r="X38" s="8">
        <v>28</v>
      </c>
      <c r="Y38" s="8">
        <v>38</v>
      </c>
      <c r="Z38" s="8">
        <v>39</v>
      </c>
    </row>
    <row r="39" spans="1:26" ht="15.75" x14ac:dyDescent="0.25">
      <c r="A39" s="2">
        <v>35</v>
      </c>
      <c r="B39" s="1">
        <v>26</v>
      </c>
      <c r="C39" s="1">
        <v>26</v>
      </c>
      <c r="D39" s="1">
        <v>32</v>
      </c>
      <c r="E39" s="1">
        <v>21</v>
      </c>
      <c r="F39" s="1">
        <v>30</v>
      </c>
      <c r="G39" s="1">
        <v>30</v>
      </c>
      <c r="H39" s="1">
        <v>28</v>
      </c>
      <c r="I39" s="1">
        <v>26</v>
      </c>
      <c r="J39" s="1">
        <v>30</v>
      </c>
      <c r="K39" s="1">
        <v>9</v>
      </c>
      <c r="L39" s="1">
        <v>29</v>
      </c>
      <c r="M39" s="1">
        <v>29</v>
      </c>
      <c r="N39" s="1">
        <v>30</v>
      </c>
      <c r="O39" s="1">
        <v>30</v>
      </c>
      <c r="P39" s="1">
        <v>36</v>
      </c>
      <c r="Q39" s="7">
        <v>26</v>
      </c>
      <c r="R39" s="8">
        <v>35</v>
      </c>
      <c r="S39" s="8">
        <v>23</v>
      </c>
      <c r="T39" s="8">
        <v>31</v>
      </c>
      <c r="U39" s="8">
        <v>37</v>
      </c>
      <c r="V39" s="8">
        <v>26</v>
      </c>
      <c r="W39" s="8">
        <v>29</v>
      </c>
      <c r="X39" s="8">
        <v>28</v>
      </c>
      <c r="Y39" s="8">
        <v>38</v>
      </c>
      <c r="Z39" s="8">
        <v>39</v>
      </c>
    </row>
    <row r="40" spans="1:26" ht="15.75" x14ac:dyDescent="0.25">
      <c r="A40" s="2">
        <v>36</v>
      </c>
      <c r="B40" s="1">
        <v>26</v>
      </c>
      <c r="C40" s="1">
        <v>31</v>
      </c>
      <c r="D40" s="1">
        <v>32</v>
      </c>
      <c r="E40" s="1">
        <v>25</v>
      </c>
      <c r="F40" s="1">
        <v>30</v>
      </c>
      <c r="G40" s="1">
        <v>33</v>
      </c>
      <c r="H40" s="1">
        <v>33</v>
      </c>
      <c r="I40" s="1">
        <v>26</v>
      </c>
      <c r="J40" s="1">
        <v>30</v>
      </c>
      <c r="K40" s="1">
        <v>9</v>
      </c>
      <c r="L40" s="1">
        <v>29</v>
      </c>
      <c r="M40" s="1">
        <v>29</v>
      </c>
      <c r="N40" s="1">
        <v>34</v>
      </c>
      <c r="O40" s="1">
        <v>30</v>
      </c>
      <c r="P40" s="1">
        <v>36</v>
      </c>
      <c r="Q40" s="7">
        <v>26</v>
      </c>
      <c r="R40" s="8">
        <v>35</v>
      </c>
      <c r="S40" s="8">
        <v>23</v>
      </c>
      <c r="T40" s="8">
        <v>31</v>
      </c>
      <c r="U40" s="8">
        <v>37</v>
      </c>
      <c r="V40" s="8">
        <v>26</v>
      </c>
      <c r="W40" s="8">
        <v>36</v>
      </c>
      <c r="X40" s="8">
        <v>28</v>
      </c>
      <c r="Y40" s="8">
        <v>38</v>
      </c>
      <c r="Z40" s="8">
        <v>39</v>
      </c>
    </row>
    <row r="41" spans="1:26" ht="15.75" x14ac:dyDescent="0.25">
      <c r="A41" s="2">
        <v>37</v>
      </c>
      <c r="B41" s="1">
        <v>26</v>
      </c>
      <c r="C41" s="1">
        <v>31</v>
      </c>
      <c r="D41" s="1">
        <v>32</v>
      </c>
      <c r="E41" s="1">
        <v>25</v>
      </c>
      <c r="F41" s="1">
        <v>30</v>
      </c>
      <c r="G41" s="1">
        <v>33</v>
      </c>
      <c r="H41" s="1">
        <v>34</v>
      </c>
      <c r="I41" s="1">
        <v>26</v>
      </c>
      <c r="J41" s="1">
        <v>30</v>
      </c>
      <c r="K41" s="1">
        <v>10</v>
      </c>
      <c r="L41" s="1">
        <v>29</v>
      </c>
      <c r="M41" s="1">
        <v>29</v>
      </c>
      <c r="N41" s="1">
        <v>34</v>
      </c>
      <c r="O41" s="1">
        <v>30</v>
      </c>
      <c r="P41" s="1">
        <v>36</v>
      </c>
      <c r="Q41" s="7">
        <v>26</v>
      </c>
      <c r="R41" s="8">
        <v>35</v>
      </c>
      <c r="S41" s="8">
        <v>23</v>
      </c>
      <c r="T41" s="8">
        <v>31</v>
      </c>
      <c r="U41" s="8">
        <v>37</v>
      </c>
      <c r="V41" s="8">
        <v>26</v>
      </c>
      <c r="W41" s="8">
        <v>36</v>
      </c>
      <c r="X41" s="8">
        <v>28</v>
      </c>
      <c r="Y41" s="8">
        <v>38</v>
      </c>
      <c r="Z41" s="8">
        <v>39</v>
      </c>
    </row>
    <row r="42" spans="1:26" ht="15.75" x14ac:dyDescent="0.25">
      <c r="A42" s="2">
        <v>38</v>
      </c>
      <c r="B42" s="1">
        <v>26</v>
      </c>
      <c r="C42" s="1">
        <v>31</v>
      </c>
      <c r="D42" s="1">
        <v>32</v>
      </c>
      <c r="E42" s="1">
        <v>25</v>
      </c>
      <c r="F42" s="1">
        <v>30</v>
      </c>
      <c r="G42" s="1">
        <v>33</v>
      </c>
      <c r="H42" s="1">
        <v>34</v>
      </c>
      <c r="I42" s="1">
        <v>26</v>
      </c>
      <c r="J42" s="1">
        <v>30</v>
      </c>
      <c r="K42" s="1">
        <v>12</v>
      </c>
      <c r="L42" s="1">
        <v>29</v>
      </c>
      <c r="M42" s="1">
        <v>33</v>
      </c>
      <c r="N42" s="1">
        <v>34</v>
      </c>
      <c r="O42" s="1">
        <v>35</v>
      </c>
      <c r="P42" s="1">
        <v>36</v>
      </c>
      <c r="Q42" s="7">
        <v>31</v>
      </c>
      <c r="R42" s="8">
        <v>35</v>
      </c>
      <c r="S42" s="8">
        <v>23</v>
      </c>
      <c r="T42" s="8">
        <v>31</v>
      </c>
      <c r="U42" s="8">
        <v>37</v>
      </c>
      <c r="V42" s="8">
        <v>26</v>
      </c>
      <c r="W42" s="8">
        <v>36</v>
      </c>
      <c r="X42" s="8">
        <v>28</v>
      </c>
      <c r="Y42" s="8">
        <v>38</v>
      </c>
      <c r="Z42" s="8">
        <v>39</v>
      </c>
    </row>
    <row r="43" spans="1:26" ht="15.75" x14ac:dyDescent="0.25">
      <c r="A43" s="2">
        <v>39</v>
      </c>
      <c r="B43" s="1">
        <v>27</v>
      </c>
      <c r="C43" s="1">
        <v>31</v>
      </c>
      <c r="D43" s="1">
        <v>33</v>
      </c>
      <c r="E43" s="1">
        <v>25</v>
      </c>
      <c r="F43" s="1">
        <v>31</v>
      </c>
      <c r="G43" s="1">
        <v>34</v>
      </c>
      <c r="H43" s="1">
        <v>34</v>
      </c>
      <c r="I43" s="1">
        <v>27</v>
      </c>
      <c r="J43" s="1">
        <v>30</v>
      </c>
      <c r="K43" s="1">
        <v>12</v>
      </c>
      <c r="L43" s="1">
        <v>29</v>
      </c>
      <c r="M43" s="1">
        <v>33</v>
      </c>
      <c r="N43" s="1">
        <v>34</v>
      </c>
      <c r="O43" s="1">
        <v>35</v>
      </c>
      <c r="P43" s="1">
        <v>36</v>
      </c>
      <c r="Q43" s="7">
        <v>31</v>
      </c>
      <c r="R43" s="8">
        <v>36</v>
      </c>
      <c r="S43" s="8">
        <v>24</v>
      </c>
      <c r="T43" s="8">
        <v>31</v>
      </c>
      <c r="U43" s="8">
        <v>37</v>
      </c>
      <c r="V43" s="8">
        <v>26</v>
      </c>
      <c r="W43" s="8">
        <v>36</v>
      </c>
      <c r="X43" s="8">
        <v>28</v>
      </c>
      <c r="Y43" s="8">
        <v>38</v>
      </c>
      <c r="Z43" s="8">
        <v>39</v>
      </c>
    </row>
    <row r="44" spans="1:26" ht="15.75" x14ac:dyDescent="0.25">
      <c r="A44" s="2">
        <v>40</v>
      </c>
      <c r="B44" s="1">
        <v>31</v>
      </c>
      <c r="C44" s="1">
        <v>32</v>
      </c>
      <c r="D44" s="1">
        <v>37</v>
      </c>
      <c r="E44" s="1">
        <v>25</v>
      </c>
      <c r="F44" s="1">
        <v>36</v>
      </c>
      <c r="G44" s="1">
        <v>34</v>
      </c>
      <c r="H44" s="1">
        <v>34</v>
      </c>
      <c r="I44" s="1">
        <v>39</v>
      </c>
      <c r="J44" s="1">
        <v>37</v>
      </c>
      <c r="K44" s="1">
        <v>13</v>
      </c>
      <c r="L44" s="1">
        <v>33</v>
      </c>
      <c r="M44" s="1">
        <v>33</v>
      </c>
      <c r="N44" s="1">
        <v>34</v>
      </c>
      <c r="O44" s="1">
        <v>35</v>
      </c>
      <c r="P44" s="1">
        <v>36</v>
      </c>
      <c r="Q44" s="7">
        <v>31</v>
      </c>
      <c r="R44" s="8">
        <v>42</v>
      </c>
      <c r="S44" s="8">
        <v>30</v>
      </c>
      <c r="T44" s="8">
        <v>35</v>
      </c>
      <c r="U44" s="8">
        <v>37</v>
      </c>
      <c r="V44" s="8">
        <v>26</v>
      </c>
      <c r="W44" s="8">
        <v>36</v>
      </c>
      <c r="X44" s="8">
        <v>33</v>
      </c>
      <c r="Y44" s="8">
        <v>38</v>
      </c>
      <c r="Z44" s="8">
        <v>39</v>
      </c>
    </row>
    <row r="45" spans="1:26" ht="15.75" x14ac:dyDescent="0.25">
      <c r="A45" s="2">
        <v>41</v>
      </c>
      <c r="B45" s="1">
        <v>31</v>
      </c>
      <c r="C45" s="1">
        <v>32</v>
      </c>
      <c r="D45" s="1">
        <v>37</v>
      </c>
      <c r="E45" s="1">
        <v>26</v>
      </c>
      <c r="F45" s="1">
        <v>36</v>
      </c>
      <c r="G45" s="1">
        <v>34</v>
      </c>
      <c r="H45" s="1">
        <v>34</v>
      </c>
      <c r="I45" s="1">
        <v>39</v>
      </c>
      <c r="J45" s="1">
        <v>38</v>
      </c>
      <c r="K45" s="1">
        <v>16</v>
      </c>
      <c r="L45" s="1">
        <v>33</v>
      </c>
      <c r="M45" s="1">
        <v>33</v>
      </c>
      <c r="N45" s="1">
        <v>34</v>
      </c>
      <c r="O45" s="1">
        <v>35</v>
      </c>
      <c r="P45" s="1">
        <v>36</v>
      </c>
      <c r="Q45" s="7">
        <v>31</v>
      </c>
      <c r="R45" s="8">
        <v>42</v>
      </c>
      <c r="S45" s="8">
        <v>30</v>
      </c>
      <c r="T45" s="8">
        <v>35</v>
      </c>
      <c r="U45" s="8">
        <v>37</v>
      </c>
      <c r="V45" s="8">
        <v>26</v>
      </c>
      <c r="W45" s="8">
        <v>36</v>
      </c>
      <c r="X45" s="8">
        <v>33</v>
      </c>
      <c r="Y45" s="8">
        <v>38</v>
      </c>
      <c r="Z45" s="8">
        <v>39</v>
      </c>
    </row>
    <row r="46" spans="1:26" ht="15.75" x14ac:dyDescent="0.25">
      <c r="A46" s="2">
        <v>42</v>
      </c>
      <c r="B46" s="1">
        <v>31</v>
      </c>
      <c r="C46" s="1">
        <v>37</v>
      </c>
      <c r="D46" s="1">
        <v>37</v>
      </c>
      <c r="E46" s="1">
        <v>32</v>
      </c>
      <c r="F46" s="1">
        <v>36</v>
      </c>
      <c r="G46" s="1">
        <v>36</v>
      </c>
      <c r="H46" s="1">
        <v>34</v>
      </c>
      <c r="I46" s="1">
        <v>39</v>
      </c>
      <c r="J46" s="1">
        <v>38</v>
      </c>
      <c r="K46" s="1">
        <v>17</v>
      </c>
      <c r="L46" s="1">
        <v>33</v>
      </c>
      <c r="M46" s="1">
        <v>33</v>
      </c>
      <c r="N46" s="1">
        <v>39</v>
      </c>
      <c r="O46" s="1">
        <v>35</v>
      </c>
      <c r="P46" s="1">
        <v>36</v>
      </c>
      <c r="Q46" s="7">
        <v>31</v>
      </c>
      <c r="R46" s="8">
        <v>42</v>
      </c>
      <c r="S46" s="8">
        <v>30</v>
      </c>
      <c r="T46" s="8">
        <v>35</v>
      </c>
      <c r="U46" s="8">
        <v>37</v>
      </c>
      <c r="V46" s="8">
        <v>26</v>
      </c>
      <c r="W46" s="8">
        <v>36</v>
      </c>
      <c r="X46" s="8">
        <v>33</v>
      </c>
      <c r="Y46" s="8">
        <v>38</v>
      </c>
      <c r="Z46" s="8">
        <v>39</v>
      </c>
    </row>
    <row r="47" spans="1:26" ht="15.75" x14ac:dyDescent="0.25">
      <c r="A47" s="2">
        <v>43</v>
      </c>
      <c r="B47" s="1">
        <v>31</v>
      </c>
      <c r="C47" s="1">
        <v>37</v>
      </c>
      <c r="D47" s="1">
        <v>37</v>
      </c>
      <c r="E47" s="1">
        <v>33</v>
      </c>
      <c r="F47" s="1">
        <v>36</v>
      </c>
      <c r="G47" s="1">
        <v>36</v>
      </c>
      <c r="H47" s="1">
        <v>34</v>
      </c>
      <c r="I47" s="1">
        <v>40</v>
      </c>
      <c r="J47" s="1">
        <v>38</v>
      </c>
      <c r="K47" s="1">
        <v>17</v>
      </c>
      <c r="L47" s="1">
        <v>33</v>
      </c>
      <c r="M47" s="1">
        <v>33</v>
      </c>
      <c r="N47" s="1">
        <v>39</v>
      </c>
      <c r="O47" s="1">
        <v>35</v>
      </c>
      <c r="P47" s="1">
        <v>42</v>
      </c>
      <c r="Q47" s="7">
        <v>31</v>
      </c>
      <c r="R47" s="8">
        <v>42</v>
      </c>
      <c r="S47" s="8">
        <v>30</v>
      </c>
      <c r="T47" s="8">
        <v>35</v>
      </c>
      <c r="U47" s="8">
        <v>37</v>
      </c>
      <c r="V47" s="8">
        <v>26</v>
      </c>
      <c r="W47" s="8">
        <v>36</v>
      </c>
      <c r="X47" s="8">
        <v>33</v>
      </c>
      <c r="Y47" s="8">
        <v>42</v>
      </c>
      <c r="Z47" s="8">
        <v>39</v>
      </c>
    </row>
    <row r="48" spans="1:26" ht="15.75" x14ac:dyDescent="0.25">
      <c r="A48" s="2">
        <v>44</v>
      </c>
      <c r="B48" s="1">
        <v>31</v>
      </c>
      <c r="C48" s="1">
        <v>37</v>
      </c>
      <c r="D48" s="1">
        <v>37</v>
      </c>
      <c r="E48" s="1">
        <v>33</v>
      </c>
      <c r="F48" s="1">
        <v>36</v>
      </c>
      <c r="G48" s="1">
        <v>37</v>
      </c>
      <c r="H48" s="1">
        <v>34</v>
      </c>
      <c r="I48" s="1">
        <v>40</v>
      </c>
      <c r="J48" s="1">
        <v>38</v>
      </c>
      <c r="K48" s="1">
        <v>18</v>
      </c>
      <c r="L48" s="1">
        <v>33</v>
      </c>
      <c r="M48" s="1">
        <v>33</v>
      </c>
      <c r="N48" s="1">
        <v>39</v>
      </c>
      <c r="O48" s="1">
        <v>36</v>
      </c>
      <c r="P48" s="1">
        <v>42</v>
      </c>
      <c r="Q48" s="7">
        <v>32</v>
      </c>
      <c r="R48" s="8">
        <v>42</v>
      </c>
      <c r="S48" s="8">
        <v>30</v>
      </c>
      <c r="T48" s="8">
        <v>35</v>
      </c>
      <c r="U48" s="8">
        <v>37</v>
      </c>
      <c r="V48" s="8">
        <v>26</v>
      </c>
      <c r="W48" s="8">
        <v>36</v>
      </c>
      <c r="X48" s="8">
        <v>33</v>
      </c>
      <c r="Y48" s="8">
        <v>42</v>
      </c>
      <c r="Z48" s="8">
        <v>39</v>
      </c>
    </row>
    <row r="49" spans="1:26" ht="15.75" x14ac:dyDescent="0.25">
      <c r="A49" s="2">
        <v>45</v>
      </c>
      <c r="B49" s="1">
        <v>31</v>
      </c>
      <c r="C49" s="1">
        <v>37</v>
      </c>
      <c r="D49" s="1">
        <v>40</v>
      </c>
      <c r="E49" s="1">
        <v>33</v>
      </c>
      <c r="F49" s="1">
        <v>36</v>
      </c>
      <c r="G49" s="1">
        <v>37</v>
      </c>
      <c r="H49" s="1">
        <v>34</v>
      </c>
      <c r="I49" s="1">
        <v>40</v>
      </c>
      <c r="J49" s="1">
        <v>38</v>
      </c>
      <c r="K49" s="1">
        <v>20</v>
      </c>
      <c r="L49" s="1">
        <v>33</v>
      </c>
      <c r="M49" s="1">
        <v>39</v>
      </c>
      <c r="N49" s="1">
        <v>39</v>
      </c>
      <c r="O49" s="1">
        <v>40</v>
      </c>
      <c r="P49" s="1">
        <v>42</v>
      </c>
      <c r="Q49" s="7">
        <v>37</v>
      </c>
      <c r="R49" s="8">
        <v>42</v>
      </c>
      <c r="S49" s="8">
        <v>30</v>
      </c>
      <c r="T49" s="8">
        <v>40</v>
      </c>
      <c r="U49" s="8">
        <v>37</v>
      </c>
      <c r="V49" s="8">
        <v>26</v>
      </c>
      <c r="W49" s="8">
        <v>36</v>
      </c>
      <c r="X49" s="8">
        <v>33</v>
      </c>
      <c r="Y49" s="8">
        <v>42</v>
      </c>
      <c r="Z49" s="8">
        <v>39</v>
      </c>
    </row>
    <row r="50" spans="1:26" ht="15.75" x14ac:dyDescent="0.25">
      <c r="A50" s="2">
        <v>46</v>
      </c>
      <c r="B50" s="1">
        <v>32</v>
      </c>
      <c r="C50" s="1">
        <v>37</v>
      </c>
      <c r="D50" s="1">
        <v>40</v>
      </c>
      <c r="E50" s="1">
        <v>33</v>
      </c>
      <c r="F50" s="1">
        <v>37</v>
      </c>
      <c r="G50" s="1">
        <v>37</v>
      </c>
      <c r="H50" s="1">
        <v>34</v>
      </c>
      <c r="I50" s="1">
        <v>40</v>
      </c>
      <c r="J50" s="1">
        <v>38</v>
      </c>
      <c r="K50" s="1">
        <v>20</v>
      </c>
      <c r="L50" s="1">
        <v>33</v>
      </c>
      <c r="M50" s="1">
        <v>39</v>
      </c>
      <c r="N50" s="1">
        <v>39</v>
      </c>
      <c r="O50" s="1">
        <v>40</v>
      </c>
      <c r="P50" s="1">
        <v>42</v>
      </c>
      <c r="Q50" s="7">
        <v>37</v>
      </c>
      <c r="R50" s="8">
        <v>42</v>
      </c>
      <c r="S50" s="8">
        <v>30</v>
      </c>
      <c r="T50" s="8">
        <v>40</v>
      </c>
      <c r="U50" s="8">
        <v>37</v>
      </c>
      <c r="V50" s="8">
        <v>26</v>
      </c>
      <c r="W50" s="8">
        <v>36</v>
      </c>
      <c r="X50" s="8">
        <v>34</v>
      </c>
      <c r="Y50" s="8">
        <v>42</v>
      </c>
      <c r="Z50" s="8">
        <v>39</v>
      </c>
    </row>
    <row r="51" spans="1:26" ht="15.75" x14ac:dyDescent="0.25">
      <c r="A51" s="2">
        <v>47</v>
      </c>
      <c r="B51" s="1">
        <v>36</v>
      </c>
      <c r="C51" s="1">
        <v>38</v>
      </c>
      <c r="D51" s="1">
        <v>40</v>
      </c>
      <c r="E51" s="1">
        <v>33</v>
      </c>
      <c r="F51" s="1">
        <v>40</v>
      </c>
      <c r="G51" s="1">
        <v>38</v>
      </c>
      <c r="H51" s="1">
        <v>35</v>
      </c>
      <c r="I51" s="1">
        <v>40</v>
      </c>
      <c r="J51" s="1">
        <v>38</v>
      </c>
      <c r="K51" s="1">
        <v>20</v>
      </c>
      <c r="L51" s="1">
        <v>38</v>
      </c>
      <c r="M51" s="1">
        <v>39</v>
      </c>
      <c r="N51" s="1">
        <v>39</v>
      </c>
      <c r="O51" s="1">
        <v>40</v>
      </c>
      <c r="P51" s="1">
        <v>42</v>
      </c>
      <c r="Q51" s="7">
        <v>37</v>
      </c>
      <c r="R51" s="8">
        <v>42</v>
      </c>
      <c r="S51" s="8">
        <v>30</v>
      </c>
      <c r="T51" s="8">
        <v>40</v>
      </c>
      <c r="U51" s="8">
        <v>37</v>
      </c>
      <c r="V51" s="8">
        <v>26</v>
      </c>
      <c r="W51" s="8">
        <v>37</v>
      </c>
      <c r="X51" s="8">
        <v>39</v>
      </c>
      <c r="Y51" s="8">
        <v>42</v>
      </c>
      <c r="Z51" s="8">
        <v>39</v>
      </c>
    </row>
    <row r="52" spans="1:26" ht="15.75" x14ac:dyDescent="0.25">
      <c r="A52" s="2">
        <v>48</v>
      </c>
      <c r="B52" s="1">
        <v>36</v>
      </c>
      <c r="C52" s="1">
        <v>41</v>
      </c>
      <c r="D52" s="1">
        <v>40</v>
      </c>
      <c r="E52" s="1">
        <v>38</v>
      </c>
      <c r="F52" s="1">
        <v>41</v>
      </c>
      <c r="G52" s="1">
        <v>41</v>
      </c>
      <c r="H52" s="1">
        <v>43</v>
      </c>
      <c r="I52" s="1">
        <v>40</v>
      </c>
      <c r="J52" s="1">
        <v>38</v>
      </c>
      <c r="K52" s="1">
        <v>21</v>
      </c>
      <c r="L52" s="1">
        <v>38</v>
      </c>
      <c r="M52" s="1">
        <v>39</v>
      </c>
      <c r="N52" s="1">
        <v>43</v>
      </c>
      <c r="O52" s="1">
        <v>40</v>
      </c>
      <c r="P52" s="1">
        <v>42</v>
      </c>
      <c r="Q52" s="7">
        <v>37</v>
      </c>
      <c r="R52" s="8">
        <v>42</v>
      </c>
      <c r="S52" s="8">
        <v>30</v>
      </c>
      <c r="T52" s="8">
        <v>40</v>
      </c>
      <c r="U52" s="8">
        <v>37</v>
      </c>
      <c r="V52" s="8">
        <v>26</v>
      </c>
      <c r="W52" s="8">
        <v>42</v>
      </c>
      <c r="X52" s="8">
        <v>39</v>
      </c>
      <c r="Y52" s="8">
        <v>42</v>
      </c>
      <c r="Z52" s="8">
        <v>39</v>
      </c>
    </row>
    <row r="53" spans="1:26" ht="15.75" x14ac:dyDescent="0.25">
      <c r="A53" s="2">
        <v>49</v>
      </c>
      <c r="B53" s="1">
        <v>36</v>
      </c>
      <c r="C53" s="1">
        <v>42</v>
      </c>
      <c r="D53" s="1">
        <v>40</v>
      </c>
      <c r="E53" s="1">
        <v>38</v>
      </c>
      <c r="F53" s="1">
        <v>41</v>
      </c>
      <c r="G53" s="1">
        <v>41</v>
      </c>
      <c r="H53" s="1">
        <v>43</v>
      </c>
      <c r="I53" s="1">
        <v>40</v>
      </c>
      <c r="J53" s="1">
        <v>39</v>
      </c>
      <c r="K53" s="1">
        <v>26</v>
      </c>
      <c r="L53" s="1">
        <v>38</v>
      </c>
      <c r="M53" s="1">
        <v>39</v>
      </c>
      <c r="N53" s="1">
        <v>43</v>
      </c>
      <c r="O53" s="1">
        <v>40</v>
      </c>
      <c r="P53" s="1">
        <v>42</v>
      </c>
      <c r="Q53" s="7">
        <v>37</v>
      </c>
      <c r="R53" s="8">
        <v>42</v>
      </c>
      <c r="S53" s="8">
        <v>32</v>
      </c>
      <c r="T53" s="8">
        <v>41</v>
      </c>
      <c r="U53" s="8">
        <v>37</v>
      </c>
      <c r="V53" s="8">
        <v>26</v>
      </c>
      <c r="W53" s="8">
        <v>43</v>
      </c>
      <c r="X53" s="8">
        <v>39</v>
      </c>
      <c r="Y53" s="8">
        <v>42</v>
      </c>
      <c r="Z53" s="8">
        <v>39</v>
      </c>
    </row>
    <row r="54" spans="1:26" ht="15.75" x14ac:dyDescent="0.25">
      <c r="A54" s="2">
        <v>50</v>
      </c>
      <c r="B54" s="1">
        <v>36</v>
      </c>
      <c r="C54" s="1">
        <v>42</v>
      </c>
      <c r="D54" s="1">
        <v>44</v>
      </c>
      <c r="E54" s="1">
        <v>39</v>
      </c>
      <c r="F54" s="1">
        <v>41</v>
      </c>
      <c r="G54" s="1">
        <v>41</v>
      </c>
      <c r="H54" s="1">
        <v>43</v>
      </c>
      <c r="I54" s="1">
        <v>40</v>
      </c>
      <c r="J54" s="1">
        <v>44</v>
      </c>
      <c r="K54" s="1">
        <v>26</v>
      </c>
      <c r="L54" s="1">
        <v>38</v>
      </c>
      <c r="M54" s="1">
        <v>39</v>
      </c>
      <c r="N54" s="1">
        <v>43</v>
      </c>
      <c r="O54" s="1">
        <v>40</v>
      </c>
      <c r="P54" s="1">
        <v>42</v>
      </c>
      <c r="Q54" s="7">
        <v>37</v>
      </c>
      <c r="R54" s="8">
        <v>46</v>
      </c>
      <c r="S54" s="8">
        <v>38</v>
      </c>
      <c r="T54" s="8">
        <v>45</v>
      </c>
      <c r="U54" s="8">
        <v>37</v>
      </c>
      <c r="V54" s="8">
        <v>26</v>
      </c>
      <c r="W54" s="8">
        <v>43</v>
      </c>
      <c r="X54" s="8">
        <v>39</v>
      </c>
      <c r="Y54" s="8">
        <v>43</v>
      </c>
      <c r="Z54" s="8">
        <v>39</v>
      </c>
    </row>
    <row r="55" spans="1:26" ht="15.75" x14ac:dyDescent="0.25">
      <c r="A55" s="2">
        <v>51</v>
      </c>
      <c r="B55" s="1">
        <v>36</v>
      </c>
      <c r="C55" s="1">
        <v>42</v>
      </c>
      <c r="D55" s="1">
        <v>44</v>
      </c>
      <c r="E55" s="1">
        <v>39</v>
      </c>
      <c r="F55" s="1">
        <v>41</v>
      </c>
      <c r="G55" s="1">
        <v>41</v>
      </c>
      <c r="H55" s="1">
        <v>43</v>
      </c>
      <c r="I55" s="1">
        <v>40</v>
      </c>
      <c r="J55" s="1">
        <v>44</v>
      </c>
      <c r="K55" s="1">
        <v>27</v>
      </c>
      <c r="L55" s="1">
        <v>38</v>
      </c>
      <c r="M55" s="1">
        <v>39</v>
      </c>
      <c r="N55" s="1">
        <v>43</v>
      </c>
      <c r="O55" s="1">
        <v>40</v>
      </c>
      <c r="P55" s="1">
        <v>47</v>
      </c>
      <c r="Q55" s="7">
        <v>37</v>
      </c>
      <c r="R55" s="8">
        <v>46</v>
      </c>
      <c r="S55" s="8">
        <v>39</v>
      </c>
      <c r="T55" s="8">
        <v>45</v>
      </c>
      <c r="U55" s="8">
        <v>37</v>
      </c>
      <c r="V55" s="8">
        <v>26</v>
      </c>
      <c r="W55" s="8">
        <v>43</v>
      </c>
      <c r="X55" s="8">
        <v>39</v>
      </c>
      <c r="Y55" s="8">
        <v>46</v>
      </c>
      <c r="Z55" s="8">
        <v>39</v>
      </c>
    </row>
    <row r="56" spans="1:26" ht="15.75" x14ac:dyDescent="0.25">
      <c r="A56" s="2">
        <v>52</v>
      </c>
      <c r="B56" s="1">
        <v>37</v>
      </c>
      <c r="C56" s="1">
        <v>42</v>
      </c>
      <c r="D56" s="1">
        <v>44</v>
      </c>
      <c r="E56" s="1">
        <v>39</v>
      </c>
      <c r="F56" s="1">
        <v>42</v>
      </c>
      <c r="G56" s="1">
        <v>42</v>
      </c>
      <c r="H56" s="1">
        <v>43</v>
      </c>
      <c r="I56" s="1">
        <v>40</v>
      </c>
      <c r="J56" s="1">
        <v>44</v>
      </c>
      <c r="K56" s="1">
        <v>28</v>
      </c>
      <c r="L56" s="1">
        <v>39</v>
      </c>
      <c r="M56" s="1">
        <v>40</v>
      </c>
      <c r="N56" s="1">
        <v>43</v>
      </c>
      <c r="O56" s="1">
        <v>40</v>
      </c>
      <c r="P56" s="1">
        <v>47</v>
      </c>
      <c r="Q56" s="7">
        <v>38</v>
      </c>
      <c r="R56" s="8">
        <v>46</v>
      </c>
      <c r="S56" s="8">
        <v>39</v>
      </c>
      <c r="T56" s="8">
        <v>45</v>
      </c>
      <c r="U56" s="8">
        <v>37</v>
      </c>
      <c r="V56" s="8">
        <v>26</v>
      </c>
      <c r="W56" s="8">
        <v>43</v>
      </c>
      <c r="X56" s="8">
        <v>40</v>
      </c>
      <c r="Y56" s="8">
        <v>46</v>
      </c>
      <c r="Z56" s="8">
        <v>39</v>
      </c>
    </row>
    <row r="57" spans="1:26" ht="15.75" x14ac:dyDescent="0.25">
      <c r="A57" s="2">
        <v>53</v>
      </c>
      <c r="B57" s="1">
        <v>42</v>
      </c>
      <c r="C57" s="1">
        <v>43</v>
      </c>
      <c r="D57" s="1">
        <v>44</v>
      </c>
      <c r="E57" s="1">
        <v>39</v>
      </c>
      <c r="F57" s="1">
        <v>45</v>
      </c>
      <c r="G57" s="1">
        <v>43</v>
      </c>
      <c r="H57" s="1">
        <v>43</v>
      </c>
      <c r="I57" s="1">
        <v>40</v>
      </c>
      <c r="J57" s="1">
        <v>44</v>
      </c>
      <c r="K57" s="1">
        <v>31</v>
      </c>
      <c r="L57" s="1">
        <v>43</v>
      </c>
      <c r="M57" s="1">
        <v>45</v>
      </c>
      <c r="N57" s="1">
        <v>43</v>
      </c>
      <c r="O57" s="1">
        <v>45</v>
      </c>
      <c r="P57" s="1">
        <v>47</v>
      </c>
      <c r="Q57" s="7">
        <v>45</v>
      </c>
      <c r="R57" s="8">
        <v>46</v>
      </c>
      <c r="S57" s="8">
        <v>39</v>
      </c>
      <c r="T57" s="8">
        <v>45</v>
      </c>
      <c r="U57" s="8">
        <v>37</v>
      </c>
      <c r="V57" s="8">
        <v>26</v>
      </c>
      <c r="W57" s="8">
        <v>43</v>
      </c>
      <c r="X57" s="8">
        <v>45</v>
      </c>
      <c r="Y57" s="8">
        <v>46</v>
      </c>
      <c r="Z57" s="8">
        <v>39</v>
      </c>
    </row>
    <row r="58" spans="1:26" ht="15.75" x14ac:dyDescent="0.25">
      <c r="A58" s="2">
        <v>54</v>
      </c>
      <c r="B58" s="1">
        <v>42</v>
      </c>
      <c r="C58" s="1">
        <v>46</v>
      </c>
      <c r="D58" s="1">
        <v>44</v>
      </c>
      <c r="E58" s="1">
        <v>44</v>
      </c>
      <c r="F58" s="1">
        <v>45</v>
      </c>
      <c r="G58" s="1">
        <v>46</v>
      </c>
      <c r="H58" s="1">
        <v>43</v>
      </c>
      <c r="I58" s="1">
        <v>40</v>
      </c>
      <c r="J58" s="1">
        <v>44</v>
      </c>
      <c r="K58" s="1">
        <v>31</v>
      </c>
      <c r="L58" s="1">
        <v>43</v>
      </c>
      <c r="M58" s="1">
        <v>45</v>
      </c>
      <c r="N58" s="1">
        <v>47</v>
      </c>
      <c r="O58" s="1">
        <v>45</v>
      </c>
      <c r="P58" s="1">
        <v>47</v>
      </c>
      <c r="Q58" s="7">
        <v>45</v>
      </c>
      <c r="R58" s="8">
        <v>46</v>
      </c>
      <c r="S58" s="8">
        <v>39</v>
      </c>
      <c r="T58" s="8">
        <v>45</v>
      </c>
      <c r="U58" s="8">
        <v>37</v>
      </c>
      <c r="V58" s="8">
        <v>26</v>
      </c>
      <c r="W58" s="8">
        <v>43</v>
      </c>
      <c r="X58" s="8">
        <v>45</v>
      </c>
      <c r="Y58" s="8">
        <v>46</v>
      </c>
      <c r="Z58" s="8">
        <v>39</v>
      </c>
    </row>
    <row r="59" spans="1:26" ht="15.75" x14ac:dyDescent="0.25">
      <c r="A59" s="2">
        <v>55</v>
      </c>
      <c r="B59" s="1">
        <v>42</v>
      </c>
      <c r="C59" s="1">
        <v>46</v>
      </c>
      <c r="D59" s="1">
        <v>47</v>
      </c>
      <c r="E59" s="1">
        <v>45</v>
      </c>
      <c r="F59" s="1">
        <v>46</v>
      </c>
      <c r="G59" s="1">
        <v>46</v>
      </c>
      <c r="H59" s="1">
        <v>43</v>
      </c>
      <c r="I59" s="1">
        <v>40</v>
      </c>
      <c r="J59" s="1">
        <v>44</v>
      </c>
      <c r="K59" s="1">
        <v>33</v>
      </c>
      <c r="L59" s="1">
        <v>43</v>
      </c>
      <c r="M59" s="1">
        <v>45</v>
      </c>
      <c r="N59" s="1">
        <v>47</v>
      </c>
      <c r="O59" s="1">
        <v>45</v>
      </c>
      <c r="P59" s="1">
        <v>47</v>
      </c>
      <c r="Q59" s="7">
        <v>45</v>
      </c>
      <c r="R59" s="8">
        <v>46</v>
      </c>
      <c r="S59" s="8">
        <v>39</v>
      </c>
      <c r="T59" s="8">
        <v>48</v>
      </c>
      <c r="U59" s="8">
        <v>37</v>
      </c>
      <c r="V59" s="8">
        <v>26</v>
      </c>
      <c r="W59" s="8">
        <v>43</v>
      </c>
      <c r="X59" s="8">
        <v>45</v>
      </c>
      <c r="Y59" s="8">
        <v>46</v>
      </c>
      <c r="Z59" s="8">
        <v>39</v>
      </c>
    </row>
    <row r="60" spans="1:26" ht="15.75" x14ac:dyDescent="0.25">
      <c r="A60" s="2">
        <v>56</v>
      </c>
      <c r="B60" s="1">
        <v>42</v>
      </c>
      <c r="C60" s="1">
        <v>46</v>
      </c>
      <c r="D60" s="1">
        <v>47</v>
      </c>
      <c r="E60" s="1">
        <v>45</v>
      </c>
      <c r="F60" s="1">
        <v>46</v>
      </c>
      <c r="G60" s="1">
        <v>46</v>
      </c>
      <c r="H60" s="1">
        <v>43</v>
      </c>
      <c r="I60" s="1">
        <v>40</v>
      </c>
      <c r="J60" s="1">
        <v>44</v>
      </c>
      <c r="K60" s="1">
        <v>40</v>
      </c>
      <c r="L60" s="1">
        <v>43</v>
      </c>
      <c r="M60" s="1">
        <v>45</v>
      </c>
      <c r="N60" s="1">
        <v>47</v>
      </c>
      <c r="O60" s="1">
        <v>45</v>
      </c>
      <c r="P60" s="1">
        <v>47</v>
      </c>
      <c r="Q60" s="7">
        <v>45</v>
      </c>
      <c r="R60" s="8">
        <v>46</v>
      </c>
      <c r="S60" s="8">
        <v>39</v>
      </c>
      <c r="T60" s="8">
        <v>48</v>
      </c>
      <c r="U60" s="8">
        <v>37</v>
      </c>
      <c r="V60" s="8">
        <v>26</v>
      </c>
      <c r="W60" s="8">
        <v>43</v>
      </c>
      <c r="X60" s="8">
        <v>45</v>
      </c>
      <c r="Y60" s="8">
        <v>46</v>
      </c>
      <c r="Z60" s="8">
        <v>39</v>
      </c>
    </row>
    <row r="61" spans="1:26" ht="15.75" x14ac:dyDescent="0.25">
      <c r="A61" s="2">
        <v>57</v>
      </c>
      <c r="B61" s="1">
        <v>42</v>
      </c>
      <c r="C61" s="1">
        <v>46</v>
      </c>
      <c r="D61" s="1">
        <v>47</v>
      </c>
      <c r="E61" s="1">
        <v>45</v>
      </c>
      <c r="F61" s="1">
        <v>46</v>
      </c>
      <c r="G61" s="1">
        <v>46</v>
      </c>
      <c r="H61" s="1">
        <v>43</v>
      </c>
      <c r="I61" s="1">
        <v>40</v>
      </c>
      <c r="J61" s="1">
        <v>44</v>
      </c>
      <c r="K61" s="1">
        <v>40</v>
      </c>
      <c r="L61" s="1">
        <v>43</v>
      </c>
      <c r="M61" s="1">
        <v>45</v>
      </c>
      <c r="N61" s="1">
        <v>47</v>
      </c>
      <c r="O61" s="1">
        <v>45</v>
      </c>
      <c r="P61" s="1">
        <v>47</v>
      </c>
      <c r="Q61" s="7">
        <v>45</v>
      </c>
      <c r="R61" s="8">
        <v>46</v>
      </c>
      <c r="S61" s="8">
        <v>39</v>
      </c>
      <c r="T61" s="8">
        <v>48</v>
      </c>
      <c r="U61" s="8">
        <v>37</v>
      </c>
      <c r="V61" s="8">
        <v>26</v>
      </c>
      <c r="W61" s="8">
        <v>43</v>
      </c>
      <c r="X61" s="8">
        <v>45</v>
      </c>
      <c r="Y61" s="8">
        <v>46</v>
      </c>
      <c r="Z61" s="8">
        <v>39</v>
      </c>
    </row>
    <row r="62" spans="1:26" ht="15.75" x14ac:dyDescent="0.25">
      <c r="A62" s="2">
        <v>58</v>
      </c>
      <c r="B62" s="1">
        <v>42</v>
      </c>
      <c r="C62" s="1">
        <v>46</v>
      </c>
      <c r="D62" s="1">
        <v>47</v>
      </c>
      <c r="E62" s="1">
        <v>45</v>
      </c>
      <c r="F62" s="1">
        <v>46</v>
      </c>
      <c r="G62" s="1">
        <v>47</v>
      </c>
      <c r="H62" s="1">
        <v>43</v>
      </c>
      <c r="I62" s="1">
        <v>40</v>
      </c>
      <c r="J62" s="1">
        <v>44</v>
      </c>
      <c r="K62" s="1">
        <v>41</v>
      </c>
      <c r="L62" s="1">
        <v>43</v>
      </c>
      <c r="M62" s="1">
        <v>45</v>
      </c>
      <c r="N62" s="1">
        <v>47</v>
      </c>
      <c r="O62" s="1">
        <v>45</v>
      </c>
      <c r="P62" s="1">
        <v>47</v>
      </c>
      <c r="Q62" s="7">
        <v>45</v>
      </c>
      <c r="R62" s="8">
        <v>46</v>
      </c>
      <c r="S62" s="8">
        <v>39</v>
      </c>
      <c r="T62" s="8">
        <v>48</v>
      </c>
      <c r="U62" s="8">
        <v>38</v>
      </c>
      <c r="V62" s="8">
        <v>26</v>
      </c>
      <c r="W62" s="8">
        <v>43</v>
      </c>
      <c r="X62" s="8">
        <v>45</v>
      </c>
      <c r="Y62" s="8">
        <v>46</v>
      </c>
      <c r="Z62" s="8">
        <v>39</v>
      </c>
    </row>
    <row r="63" spans="1:26" ht="15.75" x14ac:dyDescent="0.25">
      <c r="A63" s="2">
        <v>59</v>
      </c>
      <c r="B63" s="1">
        <v>43</v>
      </c>
      <c r="C63" s="1">
        <v>47</v>
      </c>
      <c r="D63" s="1">
        <v>47</v>
      </c>
      <c r="E63" s="1">
        <v>46</v>
      </c>
      <c r="F63" s="1">
        <v>47</v>
      </c>
      <c r="G63" s="1">
        <v>48</v>
      </c>
      <c r="H63" s="1">
        <v>44</v>
      </c>
      <c r="I63" s="1">
        <v>42</v>
      </c>
      <c r="J63" s="1">
        <v>46</v>
      </c>
      <c r="K63" s="1">
        <v>43</v>
      </c>
      <c r="L63" s="1">
        <v>43</v>
      </c>
      <c r="M63" s="1">
        <v>46</v>
      </c>
      <c r="N63" s="1">
        <v>48</v>
      </c>
      <c r="O63" s="1">
        <v>45</v>
      </c>
      <c r="P63" s="1">
        <v>48</v>
      </c>
      <c r="Q63" s="7">
        <v>46</v>
      </c>
      <c r="R63" s="8">
        <v>47</v>
      </c>
      <c r="S63" s="8">
        <v>41</v>
      </c>
      <c r="T63" s="8">
        <v>48</v>
      </c>
      <c r="U63" s="8">
        <v>45</v>
      </c>
      <c r="V63" s="8">
        <v>30</v>
      </c>
      <c r="W63" s="8">
        <v>44</v>
      </c>
      <c r="X63" s="8">
        <v>45</v>
      </c>
      <c r="Y63" s="8">
        <v>46</v>
      </c>
      <c r="Z63" s="8">
        <v>40</v>
      </c>
    </row>
    <row r="64" spans="1:26" ht="15.75" x14ac:dyDescent="0.25">
      <c r="A64" s="2">
        <v>60</v>
      </c>
      <c r="B64" s="1">
        <v>48</v>
      </c>
      <c r="C64" s="1">
        <v>50</v>
      </c>
      <c r="D64" s="1">
        <v>51</v>
      </c>
      <c r="E64" s="1">
        <v>51</v>
      </c>
      <c r="F64" s="1">
        <v>50</v>
      </c>
      <c r="G64" s="1">
        <v>51</v>
      </c>
      <c r="H64" s="1">
        <v>49</v>
      </c>
      <c r="I64" s="1">
        <v>50</v>
      </c>
      <c r="J64" s="1">
        <v>52</v>
      </c>
      <c r="K64" s="1">
        <v>47</v>
      </c>
      <c r="L64" s="1">
        <v>48</v>
      </c>
      <c r="M64" s="1">
        <v>51</v>
      </c>
      <c r="N64" s="1">
        <v>51</v>
      </c>
      <c r="O64" s="1">
        <v>49</v>
      </c>
      <c r="P64" s="1">
        <v>52</v>
      </c>
      <c r="Q64" s="7">
        <v>51</v>
      </c>
      <c r="R64" s="8">
        <v>50</v>
      </c>
      <c r="S64" s="8">
        <v>48</v>
      </c>
      <c r="T64" s="8">
        <v>50</v>
      </c>
      <c r="U64" s="8">
        <v>65</v>
      </c>
      <c r="V64" s="8">
        <v>48</v>
      </c>
      <c r="W64" s="8">
        <v>50</v>
      </c>
      <c r="X64" s="8">
        <v>49</v>
      </c>
      <c r="Y64" s="8">
        <v>49</v>
      </c>
      <c r="Z64" s="8">
        <v>51</v>
      </c>
    </row>
    <row r="65" spans="1:26" ht="15.75" x14ac:dyDescent="0.25">
      <c r="A65" s="2">
        <v>61</v>
      </c>
      <c r="B65" s="1">
        <v>48</v>
      </c>
      <c r="C65" s="1">
        <v>50</v>
      </c>
      <c r="D65" s="1">
        <v>51</v>
      </c>
      <c r="E65" s="1">
        <v>51</v>
      </c>
      <c r="F65" s="1">
        <v>50</v>
      </c>
      <c r="G65" s="1">
        <v>55</v>
      </c>
      <c r="H65" s="1">
        <v>51</v>
      </c>
      <c r="I65" s="1">
        <v>52</v>
      </c>
      <c r="J65" s="1">
        <v>53</v>
      </c>
      <c r="K65" s="1">
        <v>47</v>
      </c>
      <c r="L65" s="1">
        <v>48</v>
      </c>
      <c r="M65" s="1">
        <v>51</v>
      </c>
      <c r="N65" s="1">
        <v>52</v>
      </c>
      <c r="O65" s="1">
        <v>49</v>
      </c>
      <c r="P65" s="1">
        <v>52</v>
      </c>
      <c r="Q65" s="7">
        <v>51</v>
      </c>
      <c r="R65" s="8">
        <v>50</v>
      </c>
      <c r="S65" s="8">
        <v>48</v>
      </c>
      <c r="T65" s="8">
        <v>50</v>
      </c>
      <c r="U65" s="8">
        <v>65</v>
      </c>
      <c r="V65" s="8">
        <v>52</v>
      </c>
      <c r="W65" s="8">
        <v>51</v>
      </c>
      <c r="X65" s="8">
        <v>50</v>
      </c>
      <c r="Y65" s="8">
        <v>49</v>
      </c>
      <c r="Z65" s="8">
        <v>53</v>
      </c>
    </row>
    <row r="66" spans="1:26" ht="15.75" x14ac:dyDescent="0.25">
      <c r="A66" s="2">
        <v>62</v>
      </c>
      <c r="B66" s="1">
        <v>49</v>
      </c>
      <c r="C66" s="1">
        <v>50</v>
      </c>
      <c r="D66" s="1">
        <v>51</v>
      </c>
      <c r="E66" s="1">
        <v>51</v>
      </c>
      <c r="F66" s="1">
        <v>52</v>
      </c>
      <c r="G66" s="1">
        <v>55</v>
      </c>
      <c r="H66" s="1">
        <v>56</v>
      </c>
      <c r="I66" s="1">
        <v>60</v>
      </c>
      <c r="J66" s="1">
        <v>60</v>
      </c>
      <c r="K66" s="1">
        <v>47</v>
      </c>
      <c r="L66" s="1">
        <v>52</v>
      </c>
      <c r="M66" s="1">
        <v>56</v>
      </c>
      <c r="N66" s="1">
        <v>56</v>
      </c>
      <c r="O66" s="1">
        <v>53</v>
      </c>
      <c r="P66" s="1">
        <v>53</v>
      </c>
      <c r="Q66" s="7">
        <v>52</v>
      </c>
      <c r="R66" s="8">
        <v>50</v>
      </c>
      <c r="S66" s="8">
        <v>49</v>
      </c>
      <c r="T66" s="8">
        <v>50</v>
      </c>
      <c r="U66" s="8">
        <v>65</v>
      </c>
      <c r="V66" s="8">
        <v>61</v>
      </c>
      <c r="W66" s="8">
        <v>55</v>
      </c>
      <c r="X66" s="8">
        <v>56</v>
      </c>
      <c r="Y66" s="8">
        <v>52</v>
      </c>
      <c r="Z66" s="8">
        <v>61</v>
      </c>
    </row>
    <row r="67" spans="1:26" ht="15.75" x14ac:dyDescent="0.25">
      <c r="A67" s="2">
        <v>63</v>
      </c>
      <c r="B67" s="1">
        <v>54</v>
      </c>
      <c r="C67" s="1">
        <v>50</v>
      </c>
      <c r="D67" s="1">
        <v>51</v>
      </c>
      <c r="E67" s="1">
        <v>51</v>
      </c>
      <c r="F67" s="1">
        <v>56</v>
      </c>
      <c r="G67" s="1">
        <v>60</v>
      </c>
      <c r="H67" s="1">
        <v>57</v>
      </c>
      <c r="I67" s="1">
        <v>62</v>
      </c>
      <c r="J67" s="1">
        <v>64</v>
      </c>
      <c r="K67" s="1">
        <v>49</v>
      </c>
      <c r="L67" s="1">
        <v>53</v>
      </c>
      <c r="M67" s="1">
        <v>60</v>
      </c>
      <c r="N67" s="1">
        <v>59</v>
      </c>
      <c r="O67" s="1">
        <v>53</v>
      </c>
      <c r="P67" s="1">
        <v>57</v>
      </c>
      <c r="Q67" s="7">
        <v>52</v>
      </c>
      <c r="R67" s="8">
        <v>52</v>
      </c>
      <c r="S67" s="8">
        <v>55</v>
      </c>
      <c r="T67" s="8">
        <v>53</v>
      </c>
      <c r="U67" s="8">
        <v>65</v>
      </c>
      <c r="V67" s="8">
        <v>64</v>
      </c>
      <c r="W67" s="8">
        <v>56</v>
      </c>
      <c r="X67" s="8">
        <v>57</v>
      </c>
      <c r="Y67" s="8">
        <v>53</v>
      </c>
      <c r="Z67" s="8">
        <v>63</v>
      </c>
    </row>
    <row r="68" spans="1:26" ht="15.75" x14ac:dyDescent="0.25">
      <c r="A68" s="2">
        <v>64</v>
      </c>
      <c r="B68" s="1">
        <v>56</v>
      </c>
      <c r="C68" s="1">
        <v>50</v>
      </c>
      <c r="D68" s="1">
        <v>51</v>
      </c>
      <c r="E68" s="1">
        <v>51</v>
      </c>
      <c r="F68" s="1">
        <v>58</v>
      </c>
      <c r="G68" s="1">
        <v>63</v>
      </c>
      <c r="H68" s="1">
        <v>61</v>
      </c>
      <c r="I68" s="1">
        <v>67</v>
      </c>
      <c r="J68" s="1">
        <v>66</v>
      </c>
      <c r="K68" s="1">
        <v>59</v>
      </c>
      <c r="L68" s="1">
        <v>57</v>
      </c>
      <c r="M68" s="1">
        <v>61</v>
      </c>
      <c r="N68" s="1">
        <v>60</v>
      </c>
      <c r="O68" s="1">
        <v>57</v>
      </c>
      <c r="P68" s="1">
        <v>57</v>
      </c>
      <c r="Q68" s="7">
        <v>52</v>
      </c>
      <c r="R68" s="8">
        <v>56</v>
      </c>
      <c r="S68" s="8">
        <v>55</v>
      </c>
      <c r="T68" s="8">
        <v>53</v>
      </c>
      <c r="U68" s="8">
        <v>65</v>
      </c>
      <c r="V68" s="8">
        <v>72</v>
      </c>
      <c r="W68" s="8">
        <v>60</v>
      </c>
      <c r="X68" s="8">
        <v>61</v>
      </c>
      <c r="Y68" s="8">
        <v>55</v>
      </c>
      <c r="Z68" s="8">
        <v>69</v>
      </c>
    </row>
    <row r="69" spans="1:26" ht="15.75" x14ac:dyDescent="0.25">
      <c r="A69" s="2">
        <v>65</v>
      </c>
      <c r="B69" s="1">
        <v>61</v>
      </c>
      <c r="C69" s="1">
        <v>50</v>
      </c>
      <c r="D69" s="1">
        <v>54</v>
      </c>
      <c r="E69" s="1">
        <v>51</v>
      </c>
      <c r="F69" s="1">
        <v>62</v>
      </c>
      <c r="G69" s="1">
        <v>66</v>
      </c>
      <c r="H69" s="1">
        <v>63</v>
      </c>
      <c r="I69" s="1">
        <v>69</v>
      </c>
      <c r="J69" s="1">
        <v>70</v>
      </c>
      <c r="K69" s="1">
        <v>59</v>
      </c>
      <c r="L69" s="1">
        <v>58</v>
      </c>
      <c r="M69" s="1">
        <v>65</v>
      </c>
      <c r="N69" s="1">
        <v>64</v>
      </c>
      <c r="O69" s="1">
        <v>58</v>
      </c>
      <c r="P69" s="1">
        <v>58</v>
      </c>
      <c r="Q69" s="7">
        <v>57</v>
      </c>
      <c r="R69" s="8">
        <v>56</v>
      </c>
      <c r="S69" s="8">
        <v>57</v>
      </c>
      <c r="T69" s="8">
        <v>53</v>
      </c>
      <c r="U69" s="8">
        <v>66</v>
      </c>
      <c r="V69" s="8">
        <v>74</v>
      </c>
      <c r="W69" s="8">
        <v>61</v>
      </c>
      <c r="X69" s="8">
        <v>62</v>
      </c>
      <c r="Y69" s="8">
        <v>55</v>
      </c>
      <c r="Z69" s="8">
        <v>70</v>
      </c>
    </row>
    <row r="70" spans="1:26" ht="15.75" x14ac:dyDescent="0.25">
      <c r="A70" s="2">
        <v>66</v>
      </c>
      <c r="B70" s="1">
        <v>61</v>
      </c>
      <c r="C70" s="1">
        <v>50</v>
      </c>
      <c r="D70" s="1">
        <v>54</v>
      </c>
      <c r="E70" s="1">
        <v>51</v>
      </c>
      <c r="F70" s="1">
        <v>62</v>
      </c>
      <c r="G70" s="1">
        <v>67</v>
      </c>
      <c r="H70" s="1">
        <v>68</v>
      </c>
      <c r="I70" s="1">
        <v>74</v>
      </c>
      <c r="J70" s="1">
        <v>71</v>
      </c>
      <c r="K70" s="1">
        <v>60</v>
      </c>
      <c r="L70" s="1">
        <v>63</v>
      </c>
      <c r="M70" s="1">
        <v>66</v>
      </c>
      <c r="N70" s="1">
        <v>67</v>
      </c>
      <c r="O70" s="1">
        <v>61</v>
      </c>
      <c r="P70" s="1">
        <v>62</v>
      </c>
      <c r="Q70" s="7">
        <v>57</v>
      </c>
      <c r="R70" s="8">
        <v>56</v>
      </c>
      <c r="S70" s="8">
        <v>65</v>
      </c>
      <c r="T70" s="8">
        <v>55</v>
      </c>
      <c r="U70" s="8">
        <v>67</v>
      </c>
      <c r="V70" s="8">
        <v>76</v>
      </c>
      <c r="W70" s="8">
        <v>65</v>
      </c>
      <c r="X70" s="8">
        <v>66</v>
      </c>
      <c r="Y70" s="8">
        <v>57</v>
      </c>
      <c r="Z70" s="8">
        <v>76</v>
      </c>
    </row>
    <row r="71" spans="1:26" ht="15.75" x14ac:dyDescent="0.25">
      <c r="A71" s="2">
        <v>67</v>
      </c>
      <c r="B71" s="1">
        <v>62</v>
      </c>
      <c r="C71" s="1">
        <v>50</v>
      </c>
      <c r="D71" s="1">
        <v>54</v>
      </c>
      <c r="E71" s="1">
        <v>53</v>
      </c>
      <c r="F71" s="1">
        <v>63</v>
      </c>
      <c r="G71" s="1">
        <v>71</v>
      </c>
      <c r="H71" s="1">
        <v>68</v>
      </c>
      <c r="I71" s="1">
        <v>74</v>
      </c>
      <c r="J71" s="1">
        <v>77</v>
      </c>
      <c r="K71" s="1">
        <v>62</v>
      </c>
      <c r="L71" s="1">
        <v>63</v>
      </c>
      <c r="M71" s="1">
        <v>70</v>
      </c>
      <c r="N71" s="1">
        <v>67</v>
      </c>
      <c r="O71" s="1">
        <v>62</v>
      </c>
      <c r="P71" s="1">
        <v>63</v>
      </c>
      <c r="Q71" s="7">
        <v>57</v>
      </c>
      <c r="R71" s="8">
        <v>57</v>
      </c>
      <c r="S71" s="8">
        <v>65</v>
      </c>
      <c r="T71" s="8">
        <v>55</v>
      </c>
      <c r="U71" s="8">
        <v>72</v>
      </c>
      <c r="V71" s="8">
        <v>77</v>
      </c>
      <c r="W71" s="8">
        <v>66</v>
      </c>
      <c r="X71" s="8">
        <v>67</v>
      </c>
      <c r="Y71" s="8">
        <v>57</v>
      </c>
      <c r="Z71" s="8">
        <v>76</v>
      </c>
    </row>
    <row r="72" spans="1:26" ht="15.75" x14ac:dyDescent="0.25">
      <c r="A72" s="2">
        <v>68</v>
      </c>
      <c r="B72" s="1">
        <v>65</v>
      </c>
      <c r="C72" s="1">
        <v>50</v>
      </c>
      <c r="D72" s="1">
        <v>54</v>
      </c>
      <c r="E72" s="1">
        <v>57</v>
      </c>
      <c r="F72" s="1">
        <v>67</v>
      </c>
      <c r="G72" s="1">
        <v>73</v>
      </c>
      <c r="H72" s="1">
        <v>70</v>
      </c>
      <c r="I72" s="1">
        <v>76</v>
      </c>
      <c r="J72" s="1">
        <v>81</v>
      </c>
      <c r="K72" s="1">
        <v>68</v>
      </c>
      <c r="L72" s="1">
        <v>64</v>
      </c>
      <c r="M72" s="1">
        <v>73</v>
      </c>
      <c r="N72" s="1">
        <v>71</v>
      </c>
      <c r="O72" s="1">
        <v>65</v>
      </c>
      <c r="P72" s="1">
        <v>64</v>
      </c>
      <c r="Q72" s="7">
        <v>57</v>
      </c>
      <c r="R72" s="8">
        <v>63</v>
      </c>
      <c r="S72" s="8">
        <v>67</v>
      </c>
      <c r="T72" s="8">
        <v>56</v>
      </c>
      <c r="U72" s="8">
        <v>80</v>
      </c>
      <c r="V72" s="8">
        <v>79</v>
      </c>
      <c r="W72" s="8">
        <v>70</v>
      </c>
      <c r="X72" s="8">
        <v>72</v>
      </c>
      <c r="Y72" s="8">
        <v>57</v>
      </c>
      <c r="Z72" s="8">
        <v>79</v>
      </c>
    </row>
    <row r="73" spans="1:26" ht="15.75" x14ac:dyDescent="0.25">
      <c r="A73" s="2">
        <v>69</v>
      </c>
      <c r="B73" s="1">
        <v>67</v>
      </c>
      <c r="C73" s="1">
        <v>50</v>
      </c>
      <c r="D73" s="1">
        <v>55</v>
      </c>
      <c r="E73" s="1">
        <v>57</v>
      </c>
      <c r="F73" s="1">
        <v>68</v>
      </c>
      <c r="G73" s="1">
        <v>74</v>
      </c>
      <c r="H73" s="1">
        <v>74</v>
      </c>
      <c r="I73" s="1">
        <v>81</v>
      </c>
      <c r="J73" s="1">
        <v>82</v>
      </c>
      <c r="K73" s="1">
        <v>68</v>
      </c>
      <c r="L73" s="1">
        <v>68</v>
      </c>
      <c r="M73" s="1">
        <v>75</v>
      </c>
      <c r="N73" s="1">
        <v>74</v>
      </c>
      <c r="O73" s="1">
        <v>69</v>
      </c>
      <c r="P73" s="1">
        <v>68</v>
      </c>
      <c r="Q73" s="7">
        <v>57</v>
      </c>
      <c r="R73" s="8">
        <v>64</v>
      </c>
      <c r="S73" s="8">
        <v>72</v>
      </c>
      <c r="T73" s="8">
        <v>59</v>
      </c>
      <c r="U73" s="8">
        <v>80</v>
      </c>
      <c r="V73" s="8">
        <v>81</v>
      </c>
      <c r="W73" s="8">
        <v>73</v>
      </c>
      <c r="X73" s="8">
        <v>75</v>
      </c>
      <c r="Y73" s="8">
        <v>59</v>
      </c>
      <c r="Z73" s="8">
        <v>81</v>
      </c>
    </row>
    <row r="74" spans="1:26" ht="15.75" x14ac:dyDescent="0.25">
      <c r="A74" s="2">
        <v>70</v>
      </c>
      <c r="B74" s="1">
        <v>71</v>
      </c>
      <c r="C74" s="1">
        <v>50</v>
      </c>
      <c r="D74" s="1">
        <v>57</v>
      </c>
      <c r="E74" s="1">
        <v>57</v>
      </c>
      <c r="F74" s="1">
        <v>72</v>
      </c>
      <c r="G74" s="1">
        <v>77</v>
      </c>
      <c r="H74" s="1">
        <v>75</v>
      </c>
      <c r="I74" s="1">
        <v>81</v>
      </c>
      <c r="J74" s="1">
        <v>85</v>
      </c>
      <c r="K74" s="1">
        <v>70</v>
      </c>
      <c r="L74" s="1">
        <v>69</v>
      </c>
      <c r="M74" s="1">
        <v>77</v>
      </c>
      <c r="N74" s="1">
        <v>75</v>
      </c>
      <c r="O74" s="1">
        <v>70</v>
      </c>
      <c r="P74" s="1">
        <v>68</v>
      </c>
      <c r="Q74" s="7">
        <v>57</v>
      </c>
      <c r="R74" s="8">
        <v>65</v>
      </c>
      <c r="S74" s="8">
        <v>72</v>
      </c>
      <c r="T74" s="8">
        <v>59</v>
      </c>
      <c r="U74" s="8">
        <v>80</v>
      </c>
      <c r="V74" s="8">
        <v>81</v>
      </c>
      <c r="W74" s="8">
        <v>75</v>
      </c>
      <c r="X74" s="8">
        <v>76</v>
      </c>
      <c r="Y74" s="8">
        <v>60</v>
      </c>
      <c r="Z74" s="8">
        <v>82</v>
      </c>
    </row>
    <row r="75" spans="1:26" ht="15.75" x14ac:dyDescent="0.25">
      <c r="A75" s="2">
        <v>71</v>
      </c>
      <c r="B75" s="1">
        <v>71</v>
      </c>
      <c r="C75" s="1">
        <v>51</v>
      </c>
      <c r="D75" s="1">
        <v>57</v>
      </c>
      <c r="E75" s="1">
        <v>57</v>
      </c>
      <c r="F75" s="1">
        <v>72</v>
      </c>
      <c r="G75" s="1">
        <v>80</v>
      </c>
      <c r="H75" s="1">
        <v>78</v>
      </c>
      <c r="I75" s="1">
        <v>84</v>
      </c>
      <c r="J75" s="1">
        <v>87</v>
      </c>
      <c r="K75" s="1">
        <v>79</v>
      </c>
      <c r="L75" s="1">
        <v>72</v>
      </c>
      <c r="M75" s="1">
        <v>78</v>
      </c>
      <c r="N75" s="1">
        <v>79</v>
      </c>
      <c r="O75" s="1">
        <v>72</v>
      </c>
      <c r="P75" s="1">
        <v>70</v>
      </c>
      <c r="Q75" s="7">
        <v>57</v>
      </c>
      <c r="R75" s="8">
        <v>70</v>
      </c>
      <c r="S75" s="8">
        <v>74</v>
      </c>
      <c r="T75" s="8">
        <v>60</v>
      </c>
      <c r="U75" s="8">
        <v>80</v>
      </c>
      <c r="V75" s="8">
        <v>82</v>
      </c>
      <c r="W75" s="8">
        <v>77</v>
      </c>
      <c r="X75" s="8">
        <v>78</v>
      </c>
      <c r="Y75" s="8">
        <v>62</v>
      </c>
      <c r="Z75" s="8">
        <v>85</v>
      </c>
    </row>
    <row r="76" spans="1:26" ht="15.75" x14ac:dyDescent="0.25">
      <c r="A76" s="2">
        <v>72</v>
      </c>
      <c r="B76" s="1">
        <v>73</v>
      </c>
      <c r="C76" s="1">
        <v>51</v>
      </c>
      <c r="D76" s="1">
        <v>57</v>
      </c>
      <c r="E76" s="1">
        <v>57</v>
      </c>
      <c r="F76" s="1">
        <v>73</v>
      </c>
      <c r="G76" s="1">
        <v>83</v>
      </c>
      <c r="H76" s="1">
        <v>80</v>
      </c>
      <c r="I76" s="1">
        <v>85</v>
      </c>
      <c r="J76" s="1">
        <v>90</v>
      </c>
      <c r="K76" s="1">
        <v>79</v>
      </c>
      <c r="L76" s="1">
        <v>73</v>
      </c>
      <c r="M76" s="1">
        <v>81</v>
      </c>
      <c r="N76" s="1">
        <v>81</v>
      </c>
      <c r="O76" s="1">
        <v>74</v>
      </c>
      <c r="P76" s="1">
        <v>73</v>
      </c>
      <c r="Q76" s="7">
        <v>57</v>
      </c>
      <c r="R76" s="8">
        <v>71</v>
      </c>
      <c r="S76" s="8">
        <v>79</v>
      </c>
      <c r="T76" s="8">
        <v>62</v>
      </c>
      <c r="U76" s="8">
        <v>81</v>
      </c>
      <c r="V76" s="8">
        <v>83</v>
      </c>
      <c r="W76" s="8">
        <v>79</v>
      </c>
      <c r="X76" s="8">
        <v>81</v>
      </c>
      <c r="Y76" s="8">
        <v>63</v>
      </c>
      <c r="Z76" s="8">
        <v>87</v>
      </c>
    </row>
    <row r="77" spans="1:26" ht="15.75" x14ac:dyDescent="0.25">
      <c r="A77" s="2">
        <v>73</v>
      </c>
      <c r="B77" s="1">
        <v>76</v>
      </c>
      <c r="C77" s="1">
        <v>51</v>
      </c>
      <c r="D77" s="1">
        <v>57</v>
      </c>
      <c r="E77" s="1">
        <v>58</v>
      </c>
      <c r="F77" s="1">
        <v>78</v>
      </c>
      <c r="G77" s="1">
        <v>83</v>
      </c>
      <c r="H77" s="1">
        <v>82</v>
      </c>
      <c r="I77" s="1">
        <v>87</v>
      </c>
      <c r="J77" s="1">
        <v>92</v>
      </c>
      <c r="K77" s="1">
        <v>79</v>
      </c>
      <c r="L77" s="1">
        <v>75</v>
      </c>
      <c r="M77" s="1">
        <v>83</v>
      </c>
      <c r="N77" s="1">
        <v>82</v>
      </c>
      <c r="O77" s="1">
        <v>76</v>
      </c>
      <c r="P77" s="1">
        <v>73</v>
      </c>
      <c r="Q77" s="7">
        <v>57</v>
      </c>
      <c r="R77" s="8">
        <v>72</v>
      </c>
      <c r="S77" s="8">
        <v>79</v>
      </c>
      <c r="T77" s="8">
        <v>62</v>
      </c>
      <c r="U77" s="8">
        <v>81</v>
      </c>
      <c r="V77" s="8">
        <v>85</v>
      </c>
      <c r="W77" s="8">
        <v>81</v>
      </c>
      <c r="X77" s="8">
        <v>83</v>
      </c>
      <c r="Y77" s="8">
        <v>66</v>
      </c>
      <c r="Z77" s="8">
        <v>88</v>
      </c>
    </row>
    <row r="78" spans="1:26" ht="15.75" x14ac:dyDescent="0.25">
      <c r="A78" s="2">
        <v>74</v>
      </c>
      <c r="B78" s="1">
        <v>78</v>
      </c>
      <c r="C78" s="1">
        <v>52</v>
      </c>
      <c r="D78" s="1">
        <v>57</v>
      </c>
      <c r="E78" s="1">
        <v>59</v>
      </c>
      <c r="F78" s="1">
        <v>79</v>
      </c>
      <c r="G78" s="1">
        <v>87</v>
      </c>
      <c r="H78" s="1">
        <v>84</v>
      </c>
      <c r="I78" s="1">
        <v>89</v>
      </c>
      <c r="J78" s="1">
        <v>93</v>
      </c>
      <c r="K78" s="1">
        <v>81</v>
      </c>
      <c r="L78" s="1">
        <v>77</v>
      </c>
      <c r="M78" s="1">
        <v>84</v>
      </c>
      <c r="N78" s="1">
        <v>85</v>
      </c>
      <c r="O78" s="1">
        <v>77</v>
      </c>
      <c r="P78" s="1">
        <v>75</v>
      </c>
      <c r="Q78" s="7">
        <v>57</v>
      </c>
      <c r="R78" s="8">
        <v>74</v>
      </c>
      <c r="S78" s="8">
        <v>81</v>
      </c>
      <c r="T78" s="8">
        <v>62</v>
      </c>
      <c r="U78" s="8">
        <v>83</v>
      </c>
      <c r="V78" s="8">
        <v>85</v>
      </c>
      <c r="W78" s="8">
        <v>83</v>
      </c>
      <c r="X78" s="8">
        <v>85</v>
      </c>
      <c r="Y78" s="8">
        <v>67</v>
      </c>
      <c r="Z78" s="8">
        <v>90</v>
      </c>
    </row>
    <row r="79" spans="1:26" ht="15.75" x14ac:dyDescent="0.25">
      <c r="A79" s="2">
        <v>75</v>
      </c>
      <c r="B79" s="1">
        <v>80</v>
      </c>
      <c r="C79" s="1">
        <v>55</v>
      </c>
      <c r="D79" s="1">
        <v>61</v>
      </c>
      <c r="E79" s="1">
        <v>63</v>
      </c>
      <c r="F79" s="1">
        <v>83</v>
      </c>
      <c r="G79" s="1">
        <v>90</v>
      </c>
      <c r="H79" s="1">
        <v>87</v>
      </c>
      <c r="I79" s="1">
        <v>90</v>
      </c>
      <c r="J79" s="1">
        <v>93</v>
      </c>
      <c r="K79" s="1">
        <v>85</v>
      </c>
      <c r="L79" s="1">
        <v>79</v>
      </c>
      <c r="M79" s="1">
        <v>85</v>
      </c>
      <c r="N79" s="1">
        <v>86</v>
      </c>
      <c r="O79" s="1">
        <v>79</v>
      </c>
      <c r="P79" s="1">
        <v>78</v>
      </c>
      <c r="Q79" s="7">
        <v>57</v>
      </c>
      <c r="R79" s="8">
        <v>78</v>
      </c>
      <c r="S79" s="8">
        <v>84</v>
      </c>
      <c r="T79" s="8">
        <v>65</v>
      </c>
      <c r="U79" s="8">
        <v>86</v>
      </c>
      <c r="V79" s="8">
        <v>87</v>
      </c>
      <c r="W79" s="8">
        <v>85</v>
      </c>
      <c r="X79" s="8">
        <v>86</v>
      </c>
      <c r="Y79" s="8">
        <v>69</v>
      </c>
      <c r="Z79" s="8">
        <v>91</v>
      </c>
    </row>
    <row r="80" spans="1:26" ht="15.75" x14ac:dyDescent="0.25">
      <c r="A80" s="2">
        <v>76</v>
      </c>
      <c r="B80" s="1">
        <v>80</v>
      </c>
      <c r="C80" s="1">
        <v>56</v>
      </c>
      <c r="D80" s="1">
        <v>63</v>
      </c>
      <c r="E80" s="1">
        <v>63</v>
      </c>
      <c r="F80" s="1">
        <v>83</v>
      </c>
      <c r="G80" s="1">
        <v>90</v>
      </c>
      <c r="H80" s="1">
        <v>87</v>
      </c>
      <c r="I80" s="1">
        <v>90</v>
      </c>
      <c r="J80" s="1">
        <v>94</v>
      </c>
      <c r="K80" s="1">
        <v>85</v>
      </c>
      <c r="L80" s="1">
        <v>80</v>
      </c>
      <c r="M80" s="1">
        <v>86</v>
      </c>
      <c r="N80" s="1">
        <v>86</v>
      </c>
      <c r="O80" s="1">
        <v>79</v>
      </c>
      <c r="P80" s="1">
        <v>78</v>
      </c>
      <c r="Q80" s="7">
        <v>57</v>
      </c>
      <c r="R80" s="8">
        <v>78</v>
      </c>
      <c r="S80" s="8">
        <v>84</v>
      </c>
      <c r="T80" s="8">
        <v>65</v>
      </c>
      <c r="U80" s="8">
        <v>86</v>
      </c>
      <c r="V80" s="8">
        <v>87</v>
      </c>
      <c r="W80" s="8">
        <v>85</v>
      </c>
      <c r="X80" s="8">
        <v>86</v>
      </c>
      <c r="Y80" s="8">
        <v>70</v>
      </c>
      <c r="Z80" s="8">
        <v>91</v>
      </c>
    </row>
    <row r="81" spans="1:26" ht="15.75" x14ac:dyDescent="0.25">
      <c r="A81" s="2">
        <v>77</v>
      </c>
      <c r="B81" s="1">
        <v>81</v>
      </c>
      <c r="C81" s="1">
        <v>61</v>
      </c>
      <c r="D81" s="1">
        <v>65</v>
      </c>
      <c r="E81" s="1">
        <v>64</v>
      </c>
      <c r="F81" s="1">
        <v>84</v>
      </c>
      <c r="G81" s="1">
        <v>90</v>
      </c>
      <c r="H81" s="1">
        <v>88</v>
      </c>
      <c r="I81" s="1">
        <v>91</v>
      </c>
      <c r="J81" s="1">
        <v>95</v>
      </c>
      <c r="K81" s="1">
        <v>85</v>
      </c>
      <c r="L81" s="1">
        <v>82</v>
      </c>
      <c r="M81" s="1">
        <v>87</v>
      </c>
      <c r="N81" s="1">
        <v>87</v>
      </c>
      <c r="O81" s="1">
        <v>80</v>
      </c>
      <c r="P81" s="1">
        <v>80</v>
      </c>
      <c r="Q81" s="7">
        <v>59</v>
      </c>
      <c r="R81" s="8">
        <v>78</v>
      </c>
      <c r="S81" s="8">
        <v>84</v>
      </c>
      <c r="T81" s="8">
        <v>66</v>
      </c>
      <c r="U81" s="8">
        <v>86</v>
      </c>
      <c r="V81" s="8">
        <v>87</v>
      </c>
      <c r="W81" s="8">
        <v>86</v>
      </c>
      <c r="X81" s="8">
        <v>86</v>
      </c>
      <c r="Y81" s="8">
        <v>70</v>
      </c>
      <c r="Z81" s="8">
        <v>92</v>
      </c>
    </row>
    <row r="82" spans="1:26" ht="15.75" x14ac:dyDescent="0.25">
      <c r="A82" s="2">
        <v>78</v>
      </c>
      <c r="B82" s="1">
        <v>84</v>
      </c>
      <c r="C82" s="1">
        <v>64</v>
      </c>
      <c r="D82" s="1">
        <v>68</v>
      </c>
      <c r="E82" s="1">
        <v>68</v>
      </c>
      <c r="F82" s="1">
        <v>87</v>
      </c>
      <c r="G82" s="1">
        <v>90</v>
      </c>
      <c r="H82" s="1">
        <v>90</v>
      </c>
      <c r="I82" s="1">
        <v>92</v>
      </c>
      <c r="J82" s="1">
        <v>96</v>
      </c>
      <c r="K82" s="1">
        <v>85</v>
      </c>
      <c r="L82" s="1">
        <v>83</v>
      </c>
      <c r="M82" s="1">
        <v>88</v>
      </c>
      <c r="N82" s="1">
        <v>88</v>
      </c>
      <c r="O82" s="1">
        <v>81</v>
      </c>
      <c r="P82" s="1">
        <v>82</v>
      </c>
      <c r="Q82" s="7">
        <v>64</v>
      </c>
      <c r="R82" s="8">
        <v>78</v>
      </c>
      <c r="S82" s="8">
        <v>84</v>
      </c>
      <c r="T82" s="8">
        <v>69</v>
      </c>
      <c r="U82" s="8">
        <v>86</v>
      </c>
      <c r="V82" s="8">
        <v>88</v>
      </c>
      <c r="W82" s="8">
        <v>86</v>
      </c>
      <c r="X82" s="8">
        <v>86</v>
      </c>
      <c r="Y82" s="8">
        <v>72</v>
      </c>
      <c r="Z82" s="8">
        <v>92</v>
      </c>
    </row>
    <row r="83" spans="1:26" ht="15.75" x14ac:dyDescent="0.25">
      <c r="A83" s="2">
        <v>79</v>
      </c>
      <c r="B83" s="1">
        <v>84</v>
      </c>
      <c r="C83" s="1">
        <v>65</v>
      </c>
      <c r="D83" s="1">
        <v>72</v>
      </c>
      <c r="E83" s="1">
        <v>70</v>
      </c>
      <c r="F83" s="1">
        <v>88</v>
      </c>
      <c r="G83" s="1">
        <v>91</v>
      </c>
      <c r="H83" s="1">
        <v>91</v>
      </c>
      <c r="I83" s="1">
        <v>92</v>
      </c>
      <c r="J83" s="1">
        <v>96</v>
      </c>
      <c r="K83" s="1">
        <v>87</v>
      </c>
      <c r="L83" s="1">
        <v>85</v>
      </c>
      <c r="M83" s="1">
        <v>90</v>
      </c>
      <c r="N83" s="1">
        <v>88</v>
      </c>
      <c r="O83" s="1">
        <v>81</v>
      </c>
      <c r="P83" s="1">
        <v>82</v>
      </c>
      <c r="Q83" s="7">
        <v>67</v>
      </c>
      <c r="R83" s="8">
        <v>80</v>
      </c>
      <c r="S83" s="8">
        <v>86</v>
      </c>
      <c r="T83" s="8">
        <v>70</v>
      </c>
      <c r="U83" s="8">
        <v>86</v>
      </c>
      <c r="V83" s="8">
        <v>88</v>
      </c>
      <c r="W83" s="8">
        <v>88</v>
      </c>
      <c r="X83" s="8">
        <v>88</v>
      </c>
      <c r="Y83" s="8">
        <v>72</v>
      </c>
      <c r="Z83" s="8">
        <v>93</v>
      </c>
    </row>
    <row r="84" spans="1:26" ht="15.75" x14ac:dyDescent="0.25">
      <c r="A84" s="2">
        <v>80</v>
      </c>
      <c r="B84" s="1">
        <v>85</v>
      </c>
      <c r="C84" s="1">
        <v>68</v>
      </c>
      <c r="D84" s="1">
        <v>74</v>
      </c>
      <c r="E84" s="1">
        <v>73</v>
      </c>
      <c r="F84" s="1">
        <v>91</v>
      </c>
      <c r="G84" s="1">
        <v>93</v>
      </c>
      <c r="H84" s="1">
        <v>92</v>
      </c>
      <c r="I84" s="1">
        <v>92</v>
      </c>
      <c r="J84" s="1">
        <v>96</v>
      </c>
      <c r="K84" s="1">
        <v>96</v>
      </c>
      <c r="L84" s="1">
        <v>86</v>
      </c>
      <c r="M84" s="1">
        <v>91</v>
      </c>
      <c r="N84" s="1">
        <v>89</v>
      </c>
      <c r="O84" s="1">
        <v>82</v>
      </c>
      <c r="P84" s="1">
        <v>82</v>
      </c>
      <c r="Q84" s="7">
        <v>71</v>
      </c>
      <c r="R84" s="8">
        <v>84</v>
      </c>
      <c r="S84" s="8">
        <v>89</v>
      </c>
      <c r="T84" s="8">
        <v>72</v>
      </c>
      <c r="U84" s="8">
        <v>86</v>
      </c>
      <c r="V84" s="8">
        <v>88</v>
      </c>
      <c r="W84" s="8">
        <v>89</v>
      </c>
      <c r="X84" s="8">
        <v>89</v>
      </c>
      <c r="Y84" s="8">
        <v>73</v>
      </c>
      <c r="Z84" s="8">
        <v>94</v>
      </c>
    </row>
    <row r="85" spans="1:26" ht="15.75" x14ac:dyDescent="0.25">
      <c r="A85" s="2">
        <v>81</v>
      </c>
      <c r="B85" s="1">
        <v>87</v>
      </c>
      <c r="C85" s="1">
        <v>70</v>
      </c>
      <c r="D85" s="1">
        <v>77</v>
      </c>
      <c r="E85" s="1">
        <v>73</v>
      </c>
      <c r="F85" s="1">
        <v>91</v>
      </c>
      <c r="G85" s="1">
        <v>94</v>
      </c>
      <c r="H85" s="1">
        <v>92</v>
      </c>
      <c r="I85" s="1">
        <v>93</v>
      </c>
      <c r="J85" s="1">
        <v>97</v>
      </c>
      <c r="K85" s="1">
        <v>96</v>
      </c>
      <c r="L85" s="1">
        <v>87</v>
      </c>
      <c r="M85" s="1">
        <v>91</v>
      </c>
      <c r="N85" s="1">
        <v>90</v>
      </c>
      <c r="O85" s="1">
        <v>83</v>
      </c>
      <c r="P85" s="1">
        <v>84</v>
      </c>
      <c r="Q85" s="7">
        <v>71</v>
      </c>
      <c r="R85" s="8">
        <v>84</v>
      </c>
      <c r="S85" s="8">
        <v>89</v>
      </c>
      <c r="T85" s="8">
        <v>73</v>
      </c>
      <c r="U85" s="8">
        <v>87</v>
      </c>
      <c r="V85" s="8">
        <v>89</v>
      </c>
      <c r="W85" s="8">
        <v>89</v>
      </c>
      <c r="X85" s="8">
        <v>89</v>
      </c>
      <c r="Y85" s="8">
        <v>74</v>
      </c>
      <c r="Z85" s="8">
        <v>94</v>
      </c>
    </row>
    <row r="86" spans="1:26" ht="15.75" x14ac:dyDescent="0.25">
      <c r="A86" s="2">
        <v>82</v>
      </c>
      <c r="B86" s="1">
        <v>88</v>
      </c>
      <c r="C86" s="1">
        <v>74</v>
      </c>
      <c r="D86" s="1">
        <v>78</v>
      </c>
      <c r="E86" s="1">
        <v>75</v>
      </c>
      <c r="F86" s="1">
        <v>91</v>
      </c>
      <c r="G86" s="1">
        <v>94</v>
      </c>
      <c r="H86" s="1">
        <v>93</v>
      </c>
      <c r="I86" s="1">
        <v>94</v>
      </c>
      <c r="J86" s="1">
        <v>98</v>
      </c>
      <c r="K86" s="1">
        <v>96</v>
      </c>
      <c r="L86" s="1">
        <v>88</v>
      </c>
      <c r="M86" s="1">
        <v>93</v>
      </c>
      <c r="N86" s="1">
        <v>91</v>
      </c>
      <c r="O86" s="1">
        <v>84</v>
      </c>
      <c r="P86" s="1">
        <v>86</v>
      </c>
      <c r="Q86" s="7">
        <v>74</v>
      </c>
      <c r="R86" s="8">
        <v>84</v>
      </c>
      <c r="S86" s="8">
        <v>90</v>
      </c>
      <c r="T86" s="8">
        <v>74</v>
      </c>
      <c r="U86" s="8">
        <v>87</v>
      </c>
      <c r="V86" s="8">
        <v>89</v>
      </c>
      <c r="W86" s="8">
        <v>89</v>
      </c>
      <c r="X86" s="8">
        <v>89</v>
      </c>
      <c r="Y86" s="8">
        <v>76</v>
      </c>
      <c r="Z86" s="8">
        <v>95</v>
      </c>
    </row>
    <row r="87" spans="1:26" ht="15.75" x14ac:dyDescent="0.25">
      <c r="A87" s="2">
        <v>83</v>
      </c>
      <c r="B87" s="1">
        <v>88</v>
      </c>
      <c r="C87" s="1">
        <v>76</v>
      </c>
      <c r="D87" s="1">
        <v>81</v>
      </c>
      <c r="E87" s="1">
        <v>78</v>
      </c>
      <c r="F87" s="1">
        <v>93</v>
      </c>
      <c r="G87" s="1">
        <v>94</v>
      </c>
      <c r="H87" s="1">
        <v>94</v>
      </c>
      <c r="I87" s="1">
        <v>94</v>
      </c>
      <c r="J87" s="1">
        <v>98</v>
      </c>
      <c r="K87" s="1">
        <v>96</v>
      </c>
      <c r="L87" s="1">
        <v>89</v>
      </c>
      <c r="M87" s="1">
        <v>93</v>
      </c>
      <c r="N87" s="1">
        <v>91</v>
      </c>
      <c r="O87" s="1">
        <v>84</v>
      </c>
      <c r="P87" s="1">
        <v>86</v>
      </c>
      <c r="Q87" s="7">
        <v>78</v>
      </c>
      <c r="R87" s="8">
        <v>85</v>
      </c>
      <c r="S87" s="8">
        <v>90</v>
      </c>
      <c r="T87" s="8">
        <v>76</v>
      </c>
      <c r="U87" s="8">
        <v>88</v>
      </c>
      <c r="V87" s="8">
        <v>89</v>
      </c>
      <c r="W87" s="8">
        <v>89</v>
      </c>
      <c r="X87" s="8">
        <v>89</v>
      </c>
      <c r="Y87" s="8">
        <v>76</v>
      </c>
      <c r="Z87" s="8">
        <v>95</v>
      </c>
    </row>
    <row r="88" spans="1:26" ht="15.75" x14ac:dyDescent="0.25">
      <c r="A88" s="2">
        <v>84</v>
      </c>
      <c r="B88" s="1">
        <v>89</v>
      </c>
      <c r="C88" s="1">
        <v>78</v>
      </c>
      <c r="D88" s="1">
        <v>85</v>
      </c>
      <c r="E88" s="1">
        <v>80</v>
      </c>
      <c r="F88" s="1">
        <v>94</v>
      </c>
      <c r="G88" s="1">
        <v>94</v>
      </c>
      <c r="H88" s="1">
        <v>95</v>
      </c>
      <c r="I88" s="1">
        <v>95</v>
      </c>
      <c r="J88" s="1">
        <v>98</v>
      </c>
      <c r="K88" s="1">
        <v>96</v>
      </c>
      <c r="L88" s="1">
        <v>91</v>
      </c>
      <c r="M88" s="1">
        <v>94</v>
      </c>
      <c r="N88" s="1">
        <v>92</v>
      </c>
      <c r="O88" s="1">
        <v>86</v>
      </c>
      <c r="P88" s="1">
        <v>88</v>
      </c>
      <c r="Q88" s="7">
        <v>80</v>
      </c>
      <c r="R88" s="8">
        <v>88</v>
      </c>
      <c r="S88" s="8">
        <v>91</v>
      </c>
      <c r="T88" s="8">
        <v>77</v>
      </c>
      <c r="U88" s="8">
        <v>88</v>
      </c>
      <c r="V88" s="8">
        <v>90</v>
      </c>
      <c r="W88" s="8">
        <v>91</v>
      </c>
      <c r="X88" s="8">
        <v>90</v>
      </c>
      <c r="Y88" s="8">
        <v>78</v>
      </c>
      <c r="Z88" s="8">
        <v>96</v>
      </c>
    </row>
    <row r="89" spans="1:26" ht="15.75" x14ac:dyDescent="0.25">
      <c r="A89" s="2">
        <v>85</v>
      </c>
      <c r="B89" s="1">
        <v>91</v>
      </c>
      <c r="C89" s="1">
        <v>80</v>
      </c>
      <c r="D89" s="1">
        <v>86</v>
      </c>
      <c r="E89" s="1">
        <v>84</v>
      </c>
      <c r="F89" s="1">
        <v>95</v>
      </c>
      <c r="G89" s="1">
        <v>97</v>
      </c>
      <c r="H89" s="1">
        <v>95</v>
      </c>
      <c r="I89" s="1">
        <v>96</v>
      </c>
      <c r="J89" s="1">
        <v>98</v>
      </c>
      <c r="K89" s="1">
        <v>97</v>
      </c>
      <c r="L89" s="1">
        <v>92</v>
      </c>
      <c r="M89" s="1">
        <v>94</v>
      </c>
      <c r="N89" s="1">
        <v>92</v>
      </c>
      <c r="O89" s="1">
        <v>87</v>
      </c>
      <c r="P89" s="1">
        <v>89</v>
      </c>
      <c r="Q89" s="7">
        <v>82</v>
      </c>
      <c r="R89" s="8">
        <v>90</v>
      </c>
      <c r="S89" s="8">
        <v>93</v>
      </c>
      <c r="T89" s="8">
        <v>78</v>
      </c>
      <c r="U89" s="8">
        <v>91</v>
      </c>
      <c r="V89" s="8">
        <v>92</v>
      </c>
      <c r="W89" s="8">
        <v>92</v>
      </c>
      <c r="X89" s="8">
        <v>91</v>
      </c>
      <c r="Y89" s="8">
        <v>80</v>
      </c>
      <c r="Z89" s="8">
        <v>96</v>
      </c>
    </row>
    <row r="90" spans="1:26" ht="15.75" x14ac:dyDescent="0.25">
      <c r="A90" s="2">
        <v>86</v>
      </c>
      <c r="B90" s="1">
        <v>91</v>
      </c>
      <c r="C90" s="1">
        <v>80</v>
      </c>
      <c r="D90" s="1">
        <v>86</v>
      </c>
      <c r="E90" s="1">
        <v>84</v>
      </c>
      <c r="F90" s="1">
        <v>95</v>
      </c>
      <c r="G90" s="1">
        <v>97</v>
      </c>
      <c r="H90" s="1">
        <v>95</v>
      </c>
      <c r="I90" s="1">
        <v>96</v>
      </c>
      <c r="J90" s="1">
        <v>98</v>
      </c>
      <c r="K90" s="1">
        <v>97</v>
      </c>
      <c r="L90" s="1">
        <v>93</v>
      </c>
      <c r="M90" s="1">
        <v>94</v>
      </c>
      <c r="N90" s="1">
        <v>92</v>
      </c>
      <c r="O90" s="1">
        <v>87</v>
      </c>
      <c r="P90" s="1">
        <v>89</v>
      </c>
      <c r="Q90" s="7">
        <v>82</v>
      </c>
      <c r="R90" s="8">
        <v>90</v>
      </c>
      <c r="S90" s="8">
        <v>93</v>
      </c>
      <c r="T90" s="8">
        <v>78</v>
      </c>
      <c r="U90" s="8">
        <v>91</v>
      </c>
      <c r="V90" s="8">
        <v>92</v>
      </c>
      <c r="W90" s="8">
        <v>92</v>
      </c>
      <c r="X90" s="8">
        <v>91</v>
      </c>
      <c r="Y90" s="8">
        <v>80</v>
      </c>
      <c r="Z90" s="8">
        <v>96</v>
      </c>
    </row>
    <row r="91" spans="1:26" ht="15.75" x14ac:dyDescent="0.25">
      <c r="A91" s="2">
        <v>87</v>
      </c>
      <c r="B91" s="1">
        <v>91</v>
      </c>
      <c r="C91" s="1">
        <v>80</v>
      </c>
      <c r="D91" s="1">
        <v>87</v>
      </c>
      <c r="E91" s="1">
        <v>84</v>
      </c>
      <c r="F91" s="1">
        <v>95</v>
      </c>
      <c r="G91" s="1">
        <v>97</v>
      </c>
      <c r="H91" s="1">
        <v>96</v>
      </c>
      <c r="I91" s="1">
        <v>96</v>
      </c>
      <c r="J91" s="1">
        <v>98</v>
      </c>
      <c r="K91" s="1">
        <v>97</v>
      </c>
      <c r="L91" s="1">
        <v>93</v>
      </c>
      <c r="M91" s="1">
        <v>94</v>
      </c>
      <c r="N91" s="1">
        <v>93</v>
      </c>
      <c r="O91" s="1">
        <v>88</v>
      </c>
      <c r="P91" s="1">
        <v>91</v>
      </c>
      <c r="Q91" s="7">
        <v>82</v>
      </c>
      <c r="R91" s="8">
        <v>90</v>
      </c>
      <c r="S91" s="8">
        <v>93</v>
      </c>
      <c r="T91" s="8">
        <v>79</v>
      </c>
      <c r="U91" s="8">
        <v>92</v>
      </c>
      <c r="V91" s="8">
        <v>92</v>
      </c>
      <c r="W91" s="8">
        <v>92</v>
      </c>
      <c r="X91" s="8">
        <v>91</v>
      </c>
      <c r="Y91" s="8">
        <v>80</v>
      </c>
      <c r="Z91" s="8">
        <v>96</v>
      </c>
    </row>
    <row r="92" spans="1:26" ht="15.75" x14ac:dyDescent="0.25">
      <c r="A92" s="2">
        <v>88</v>
      </c>
      <c r="B92" s="1">
        <v>91</v>
      </c>
      <c r="C92" s="1">
        <v>81</v>
      </c>
      <c r="D92" s="1">
        <v>87</v>
      </c>
      <c r="E92" s="1">
        <v>86</v>
      </c>
      <c r="F92" s="1">
        <v>98</v>
      </c>
      <c r="G92" s="1">
        <v>97</v>
      </c>
      <c r="H92" s="1">
        <v>96</v>
      </c>
      <c r="I92" s="1">
        <v>97</v>
      </c>
      <c r="J92" s="1">
        <v>98</v>
      </c>
      <c r="K92" s="1">
        <v>97</v>
      </c>
      <c r="L92" s="1">
        <v>93</v>
      </c>
      <c r="M92" s="1">
        <v>95</v>
      </c>
      <c r="N92" s="1">
        <v>93</v>
      </c>
      <c r="O92" s="1">
        <v>89</v>
      </c>
      <c r="P92" s="1">
        <v>92</v>
      </c>
      <c r="Q92" s="7">
        <v>82</v>
      </c>
      <c r="R92" s="8">
        <v>90</v>
      </c>
      <c r="S92" s="8">
        <v>94</v>
      </c>
      <c r="T92" s="8">
        <v>79</v>
      </c>
      <c r="U92" s="8">
        <v>93</v>
      </c>
      <c r="V92" s="8">
        <v>92</v>
      </c>
      <c r="W92" s="8">
        <v>92</v>
      </c>
      <c r="X92" s="8">
        <v>93</v>
      </c>
      <c r="Y92" s="8">
        <v>81</v>
      </c>
      <c r="Z92" s="8">
        <v>97</v>
      </c>
    </row>
    <row r="93" spans="1:26" ht="15.75" x14ac:dyDescent="0.25">
      <c r="A93" s="2">
        <v>89</v>
      </c>
      <c r="B93" s="1">
        <v>91</v>
      </c>
      <c r="C93" s="1">
        <v>84</v>
      </c>
      <c r="D93" s="1">
        <v>87</v>
      </c>
      <c r="E93" s="1">
        <v>88</v>
      </c>
      <c r="F93" s="1">
        <v>98</v>
      </c>
      <c r="G93" s="1">
        <v>97</v>
      </c>
      <c r="H93" s="1">
        <v>96</v>
      </c>
      <c r="I93" s="1">
        <v>97</v>
      </c>
      <c r="J93" s="1">
        <v>99</v>
      </c>
      <c r="K93" s="1">
        <v>97</v>
      </c>
      <c r="L93" s="1">
        <v>95</v>
      </c>
      <c r="M93" s="1">
        <v>95</v>
      </c>
      <c r="N93" s="1">
        <v>95</v>
      </c>
      <c r="O93" s="1">
        <v>90</v>
      </c>
      <c r="P93" s="1">
        <v>92</v>
      </c>
      <c r="Q93" s="7">
        <v>84</v>
      </c>
      <c r="R93" s="8">
        <v>90</v>
      </c>
      <c r="S93" s="8">
        <v>95</v>
      </c>
      <c r="T93" s="8">
        <v>81</v>
      </c>
      <c r="U93" s="8">
        <v>93</v>
      </c>
      <c r="V93" s="8">
        <v>92</v>
      </c>
      <c r="W93" s="8">
        <v>92</v>
      </c>
      <c r="X93" s="8">
        <v>93</v>
      </c>
      <c r="Y93" s="8">
        <v>83</v>
      </c>
      <c r="Z93" s="8">
        <v>97</v>
      </c>
    </row>
    <row r="94" spans="1:26" ht="15.75" x14ac:dyDescent="0.25">
      <c r="A94" s="2">
        <v>90</v>
      </c>
      <c r="B94" s="1">
        <v>93</v>
      </c>
      <c r="C94" s="1">
        <v>84</v>
      </c>
      <c r="D94" s="1">
        <v>88</v>
      </c>
      <c r="E94" s="1">
        <v>88</v>
      </c>
      <c r="F94" s="1">
        <v>98</v>
      </c>
      <c r="G94" s="1">
        <v>97</v>
      </c>
      <c r="H94" s="1">
        <v>97</v>
      </c>
      <c r="I94" s="1">
        <v>97</v>
      </c>
      <c r="J94" s="1">
        <v>99</v>
      </c>
      <c r="K94" s="1">
        <v>97</v>
      </c>
      <c r="L94" s="1">
        <v>96</v>
      </c>
      <c r="M94" s="1">
        <v>95</v>
      </c>
      <c r="N94" s="1">
        <v>95</v>
      </c>
      <c r="O94" s="1">
        <v>90</v>
      </c>
      <c r="P94" s="1">
        <v>93</v>
      </c>
      <c r="Q94" s="7">
        <v>86</v>
      </c>
      <c r="R94" s="8">
        <v>90</v>
      </c>
      <c r="S94" s="8">
        <v>96</v>
      </c>
      <c r="T94" s="8">
        <v>83</v>
      </c>
      <c r="U94" s="8">
        <v>93</v>
      </c>
      <c r="V94" s="8">
        <v>93</v>
      </c>
      <c r="W94" s="8">
        <v>93</v>
      </c>
      <c r="X94" s="8">
        <v>94</v>
      </c>
      <c r="Y94" s="8">
        <v>83</v>
      </c>
      <c r="Z94" s="8">
        <v>98</v>
      </c>
    </row>
    <row r="95" spans="1:26" ht="15.75" x14ac:dyDescent="0.25">
      <c r="A95" s="2">
        <v>91</v>
      </c>
      <c r="B95" s="1">
        <v>94</v>
      </c>
      <c r="C95" s="1">
        <v>84</v>
      </c>
      <c r="D95" s="1">
        <v>89</v>
      </c>
      <c r="E95" s="1">
        <v>88</v>
      </c>
      <c r="F95" s="1">
        <v>98</v>
      </c>
      <c r="G95" s="1">
        <v>97</v>
      </c>
      <c r="H95" s="1">
        <v>97</v>
      </c>
      <c r="I95" s="1">
        <v>97</v>
      </c>
      <c r="J95" s="1">
        <v>99</v>
      </c>
      <c r="K95" s="1">
        <v>97</v>
      </c>
      <c r="L95" s="1">
        <v>96</v>
      </c>
      <c r="M95" s="1">
        <v>95</v>
      </c>
      <c r="N95" s="1">
        <v>95</v>
      </c>
      <c r="O95" s="1">
        <v>90</v>
      </c>
      <c r="P95" s="1">
        <v>94</v>
      </c>
      <c r="Q95" s="7">
        <v>86</v>
      </c>
      <c r="R95" s="8">
        <v>90</v>
      </c>
      <c r="S95" s="8">
        <v>96</v>
      </c>
      <c r="T95" s="8">
        <v>83</v>
      </c>
      <c r="U95" s="8">
        <v>94</v>
      </c>
      <c r="V95" s="8">
        <v>93</v>
      </c>
      <c r="W95" s="8">
        <v>93</v>
      </c>
      <c r="X95" s="8">
        <v>94</v>
      </c>
      <c r="Y95" s="8">
        <v>83</v>
      </c>
      <c r="Z95" s="8">
        <v>98</v>
      </c>
    </row>
    <row r="96" spans="1:26" ht="15.75" x14ac:dyDescent="0.25">
      <c r="A96" s="2">
        <v>92</v>
      </c>
      <c r="B96" s="1">
        <v>94</v>
      </c>
      <c r="C96" s="1">
        <v>84</v>
      </c>
      <c r="D96" s="1">
        <v>89</v>
      </c>
      <c r="E96" s="1">
        <v>88</v>
      </c>
      <c r="F96" s="1">
        <v>98</v>
      </c>
      <c r="G96" s="1">
        <v>97</v>
      </c>
      <c r="H96" s="1">
        <v>97</v>
      </c>
      <c r="I96" s="1">
        <v>98</v>
      </c>
      <c r="J96" s="1">
        <v>99</v>
      </c>
      <c r="K96" s="1">
        <v>97</v>
      </c>
      <c r="L96" s="1">
        <v>96</v>
      </c>
      <c r="M96" s="1">
        <v>96</v>
      </c>
      <c r="N96" s="1">
        <v>96</v>
      </c>
      <c r="O96" s="1">
        <v>92</v>
      </c>
      <c r="P96" s="1">
        <v>94</v>
      </c>
      <c r="Q96" s="7">
        <v>86</v>
      </c>
      <c r="R96" s="8">
        <v>90</v>
      </c>
      <c r="S96" s="8">
        <v>96</v>
      </c>
      <c r="T96" s="8">
        <v>84</v>
      </c>
      <c r="U96" s="8">
        <v>95</v>
      </c>
      <c r="V96" s="8">
        <v>93</v>
      </c>
      <c r="W96" s="8">
        <v>95</v>
      </c>
      <c r="X96" s="8">
        <v>95</v>
      </c>
      <c r="Y96" s="8">
        <v>83</v>
      </c>
      <c r="Z96" s="8">
        <v>98</v>
      </c>
    </row>
    <row r="97" spans="1:26" ht="15.75" x14ac:dyDescent="0.25">
      <c r="A97" s="2">
        <v>93</v>
      </c>
      <c r="B97" s="1">
        <v>94</v>
      </c>
      <c r="C97" s="1">
        <v>86</v>
      </c>
      <c r="D97" s="1">
        <v>89</v>
      </c>
      <c r="E97" s="1">
        <v>90</v>
      </c>
      <c r="F97" s="1">
        <v>99</v>
      </c>
      <c r="G97" s="1">
        <v>99</v>
      </c>
      <c r="H97" s="1">
        <v>98</v>
      </c>
      <c r="I97" s="1">
        <v>98</v>
      </c>
      <c r="J97" s="1">
        <v>99</v>
      </c>
      <c r="K97" s="1">
        <v>97</v>
      </c>
      <c r="L97" s="1">
        <v>96</v>
      </c>
      <c r="M97" s="1">
        <v>96</v>
      </c>
      <c r="N97" s="1">
        <v>96</v>
      </c>
      <c r="O97" s="1">
        <v>92</v>
      </c>
      <c r="P97" s="1">
        <v>95</v>
      </c>
      <c r="Q97" s="7">
        <v>87</v>
      </c>
      <c r="R97" s="8">
        <v>91</v>
      </c>
      <c r="S97" s="8">
        <v>97</v>
      </c>
      <c r="T97" s="8">
        <v>84</v>
      </c>
      <c r="U97" s="8">
        <v>95</v>
      </c>
      <c r="V97" s="8">
        <v>93</v>
      </c>
      <c r="W97" s="8">
        <v>96</v>
      </c>
      <c r="X97" s="8">
        <v>96</v>
      </c>
      <c r="Y97" s="8">
        <v>84</v>
      </c>
      <c r="Z97" s="8">
        <v>98</v>
      </c>
    </row>
    <row r="98" spans="1:26" ht="15.75" x14ac:dyDescent="0.25">
      <c r="A98" s="2">
        <v>94</v>
      </c>
      <c r="B98" s="1">
        <v>94</v>
      </c>
      <c r="C98" s="1">
        <v>88</v>
      </c>
      <c r="D98" s="1">
        <v>89</v>
      </c>
      <c r="E98" s="1">
        <v>93</v>
      </c>
      <c r="F98" s="1">
        <v>99</v>
      </c>
      <c r="G98" s="1">
        <v>99</v>
      </c>
      <c r="H98" s="1">
        <v>98</v>
      </c>
      <c r="I98" s="1">
        <v>98</v>
      </c>
      <c r="J98" s="1">
        <v>99</v>
      </c>
      <c r="K98" s="1">
        <v>97</v>
      </c>
      <c r="L98" s="1">
        <v>97</v>
      </c>
      <c r="M98" s="1">
        <v>96</v>
      </c>
      <c r="N98" s="1">
        <v>97</v>
      </c>
      <c r="O98" s="1">
        <v>93</v>
      </c>
      <c r="P98" s="1">
        <v>95</v>
      </c>
      <c r="Q98" s="7">
        <v>88</v>
      </c>
      <c r="R98" s="8">
        <v>93</v>
      </c>
      <c r="S98" s="8">
        <v>97</v>
      </c>
      <c r="T98" s="8">
        <v>87</v>
      </c>
      <c r="U98" s="8">
        <v>96</v>
      </c>
      <c r="V98" s="8">
        <v>94</v>
      </c>
      <c r="W98" s="8">
        <v>96</v>
      </c>
      <c r="X98" s="8">
        <v>96</v>
      </c>
      <c r="Y98" s="8">
        <v>86</v>
      </c>
      <c r="Z98" s="8">
        <v>99</v>
      </c>
    </row>
    <row r="99" spans="1:26" ht="15.75" x14ac:dyDescent="0.25">
      <c r="A99" s="2">
        <v>95</v>
      </c>
      <c r="B99" s="1">
        <v>94</v>
      </c>
      <c r="C99" s="1">
        <v>88</v>
      </c>
      <c r="D99" s="1">
        <v>89</v>
      </c>
      <c r="E99" s="1">
        <v>93</v>
      </c>
      <c r="F99" s="1">
        <v>99</v>
      </c>
      <c r="G99" s="1">
        <v>99</v>
      </c>
      <c r="H99" s="1">
        <v>98</v>
      </c>
      <c r="I99" s="1">
        <v>99</v>
      </c>
      <c r="J99" s="1">
        <v>99</v>
      </c>
      <c r="K99" s="1">
        <v>97</v>
      </c>
      <c r="L99" s="1">
        <v>97</v>
      </c>
      <c r="M99" s="1">
        <v>97</v>
      </c>
      <c r="N99" s="1">
        <v>97</v>
      </c>
      <c r="O99" s="1">
        <v>94</v>
      </c>
      <c r="P99" s="1">
        <v>97</v>
      </c>
      <c r="Q99" s="7">
        <v>91</v>
      </c>
      <c r="R99" s="8">
        <v>94</v>
      </c>
      <c r="S99" s="8">
        <v>98</v>
      </c>
      <c r="T99" s="8">
        <v>87</v>
      </c>
      <c r="U99" s="8">
        <v>96</v>
      </c>
      <c r="V99" s="8">
        <v>95</v>
      </c>
      <c r="W99" s="8">
        <v>96</v>
      </c>
      <c r="X99" s="8">
        <v>97</v>
      </c>
      <c r="Y99" s="8">
        <v>86</v>
      </c>
      <c r="Z99" s="8">
        <v>99</v>
      </c>
    </row>
    <row r="100" spans="1:26" ht="15.75" x14ac:dyDescent="0.25">
      <c r="A100" s="2">
        <v>96</v>
      </c>
      <c r="B100" s="1">
        <v>95</v>
      </c>
      <c r="C100" s="1">
        <v>88</v>
      </c>
      <c r="D100" s="1">
        <v>91</v>
      </c>
      <c r="E100" s="1">
        <v>93</v>
      </c>
      <c r="F100" s="1">
        <v>99</v>
      </c>
      <c r="G100" s="1">
        <v>99</v>
      </c>
      <c r="H100" s="1">
        <v>99</v>
      </c>
      <c r="I100" s="1">
        <v>99</v>
      </c>
      <c r="J100" s="1">
        <v>99</v>
      </c>
      <c r="K100" s="1">
        <v>98</v>
      </c>
      <c r="L100" s="1">
        <v>98</v>
      </c>
      <c r="M100" s="1">
        <v>97</v>
      </c>
      <c r="N100" s="1">
        <v>97</v>
      </c>
      <c r="O100" s="1">
        <v>94</v>
      </c>
      <c r="P100" s="1">
        <v>97</v>
      </c>
      <c r="Q100" s="7">
        <v>91</v>
      </c>
      <c r="R100" s="8">
        <v>94</v>
      </c>
      <c r="S100" s="8">
        <v>98</v>
      </c>
      <c r="T100" s="8">
        <v>87</v>
      </c>
      <c r="U100" s="8">
        <v>96</v>
      </c>
      <c r="V100" s="8">
        <v>95</v>
      </c>
      <c r="W100" s="8">
        <v>97</v>
      </c>
      <c r="X100" s="8">
        <v>97</v>
      </c>
      <c r="Y100" s="8">
        <v>86</v>
      </c>
      <c r="Z100" s="8">
        <v>99</v>
      </c>
    </row>
    <row r="101" spans="1:26" ht="15.75" x14ac:dyDescent="0.25">
      <c r="A101" s="2">
        <v>97</v>
      </c>
      <c r="B101" s="1">
        <v>96</v>
      </c>
      <c r="C101" s="1">
        <v>90</v>
      </c>
      <c r="D101" s="1">
        <v>91</v>
      </c>
      <c r="E101" s="1">
        <v>94</v>
      </c>
      <c r="F101" s="1">
        <v>99</v>
      </c>
      <c r="G101" s="1">
        <v>99</v>
      </c>
      <c r="H101" s="1">
        <v>99</v>
      </c>
      <c r="I101" s="1">
        <v>99</v>
      </c>
      <c r="J101" s="1">
        <v>99</v>
      </c>
      <c r="K101" s="1">
        <v>98</v>
      </c>
      <c r="L101" s="1">
        <v>98</v>
      </c>
      <c r="M101" s="1">
        <v>97</v>
      </c>
      <c r="N101" s="1">
        <v>97</v>
      </c>
      <c r="O101" s="1">
        <v>94</v>
      </c>
      <c r="P101" s="1">
        <v>98</v>
      </c>
      <c r="Q101" s="7">
        <v>91</v>
      </c>
      <c r="R101" s="8">
        <v>94</v>
      </c>
      <c r="S101" s="8">
        <v>98</v>
      </c>
      <c r="T101" s="8">
        <v>87</v>
      </c>
      <c r="U101" s="8">
        <v>96</v>
      </c>
      <c r="V101" s="8">
        <v>95</v>
      </c>
      <c r="W101" s="8">
        <v>97</v>
      </c>
      <c r="X101" s="8">
        <v>97</v>
      </c>
      <c r="Y101" s="8">
        <v>88</v>
      </c>
      <c r="Z101" s="8">
        <v>99</v>
      </c>
    </row>
    <row r="102" spans="1:26" ht="15.75" x14ac:dyDescent="0.25">
      <c r="A102" s="2">
        <v>98</v>
      </c>
      <c r="B102" s="1">
        <v>96</v>
      </c>
      <c r="C102" s="1">
        <v>91</v>
      </c>
      <c r="D102" s="1">
        <v>91</v>
      </c>
      <c r="E102" s="1">
        <v>96</v>
      </c>
      <c r="F102" s="1">
        <v>99</v>
      </c>
      <c r="G102" s="1">
        <v>99</v>
      </c>
      <c r="H102" s="1">
        <v>99</v>
      </c>
      <c r="I102" s="1">
        <v>99</v>
      </c>
      <c r="J102" s="1">
        <v>99</v>
      </c>
      <c r="K102" s="1">
        <v>98</v>
      </c>
      <c r="L102" s="1">
        <v>98</v>
      </c>
      <c r="M102" s="1">
        <v>97</v>
      </c>
      <c r="N102" s="1">
        <v>97</v>
      </c>
      <c r="O102" s="1">
        <v>95</v>
      </c>
      <c r="P102" s="1">
        <v>98</v>
      </c>
      <c r="Q102" s="7">
        <v>91</v>
      </c>
      <c r="R102" s="8">
        <v>94</v>
      </c>
      <c r="S102" s="8">
        <v>98</v>
      </c>
      <c r="T102" s="8">
        <v>87</v>
      </c>
      <c r="U102" s="8">
        <v>97</v>
      </c>
      <c r="V102" s="8">
        <v>95</v>
      </c>
      <c r="W102" s="8">
        <v>97</v>
      </c>
      <c r="X102" s="8">
        <v>97</v>
      </c>
      <c r="Y102" s="8">
        <v>89</v>
      </c>
      <c r="Z102" s="8">
        <v>99</v>
      </c>
    </row>
    <row r="103" spans="1:26" ht="15.75" x14ac:dyDescent="0.25">
      <c r="A103" s="2">
        <v>99</v>
      </c>
      <c r="B103" s="1">
        <v>96</v>
      </c>
      <c r="C103" s="1">
        <v>91</v>
      </c>
      <c r="D103" s="1">
        <v>92</v>
      </c>
      <c r="E103" s="1">
        <v>96</v>
      </c>
      <c r="F103" s="1">
        <v>99</v>
      </c>
      <c r="G103" s="1">
        <v>99</v>
      </c>
      <c r="H103" s="1">
        <v>99</v>
      </c>
      <c r="I103" s="1">
        <v>99</v>
      </c>
      <c r="J103" s="1">
        <v>99</v>
      </c>
      <c r="K103" s="1">
        <v>98</v>
      </c>
      <c r="L103" s="1">
        <v>98</v>
      </c>
      <c r="M103" s="1">
        <v>98</v>
      </c>
      <c r="N103" s="1">
        <v>98</v>
      </c>
      <c r="O103" s="1">
        <v>96</v>
      </c>
      <c r="P103" s="1">
        <v>98</v>
      </c>
      <c r="Q103" s="7">
        <v>94</v>
      </c>
      <c r="R103" s="8">
        <v>94</v>
      </c>
      <c r="S103" s="8">
        <v>98</v>
      </c>
      <c r="T103" s="8">
        <v>89</v>
      </c>
      <c r="U103" s="8">
        <v>97</v>
      </c>
      <c r="V103" s="8">
        <v>96</v>
      </c>
      <c r="W103" s="8">
        <v>98</v>
      </c>
      <c r="X103" s="8">
        <v>98</v>
      </c>
      <c r="Y103" s="8">
        <v>89</v>
      </c>
      <c r="Z103" s="8">
        <v>99</v>
      </c>
    </row>
    <row r="104" spans="1:26" ht="15.75" x14ac:dyDescent="0.25">
      <c r="A104" s="2">
        <v>100</v>
      </c>
      <c r="B104" s="1">
        <v>96</v>
      </c>
      <c r="C104" s="1">
        <v>92</v>
      </c>
      <c r="D104" s="1">
        <v>92</v>
      </c>
      <c r="E104" s="1">
        <v>96</v>
      </c>
      <c r="F104" s="1">
        <v>99</v>
      </c>
      <c r="G104" s="1">
        <v>99</v>
      </c>
      <c r="H104" s="1">
        <v>99</v>
      </c>
      <c r="I104" s="1">
        <v>99</v>
      </c>
      <c r="J104" s="1">
        <v>99</v>
      </c>
      <c r="K104" s="1">
        <v>99</v>
      </c>
      <c r="L104" s="1">
        <v>98</v>
      </c>
      <c r="M104" s="1">
        <v>98</v>
      </c>
      <c r="N104" s="1">
        <v>98</v>
      </c>
      <c r="O104" s="1">
        <v>96</v>
      </c>
      <c r="P104" s="1">
        <v>98</v>
      </c>
      <c r="Q104" s="7">
        <v>94</v>
      </c>
      <c r="R104" s="8">
        <v>94</v>
      </c>
      <c r="S104" s="8">
        <v>99</v>
      </c>
      <c r="T104" s="8">
        <v>90</v>
      </c>
      <c r="U104" s="8">
        <v>97</v>
      </c>
      <c r="V104" s="8">
        <v>96</v>
      </c>
      <c r="W104" s="8">
        <v>99</v>
      </c>
      <c r="X104" s="8">
        <v>98</v>
      </c>
      <c r="Y104" s="8">
        <v>90</v>
      </c>
      <c r="Z104" s="8">
        <v>99</v>
      </c>
    </row>
    <row r="105" spans="1:26" ht="15.75" x14ac:dyDescent="0.25">
      <c r="A105" s="2">
        <v>101</v>
      </c>
      <c r="B105" s="1">
        <v>96</v>
      </c>
      <c r="C105" s="1">
        <v>92</v>
      </c>
      <c r="D105" s="1">
        <v>92</v>
      </c>
      <c r="E105" s="1">
        <v>96</v>
      </c>
      <c r="H105" s="1">
        <v>99</v>
      </c>
      <c r="I105" s="1">
        <v>99</v>
      </c>
      <c r="J105" s="1">
        <v>99</v>
      </c>
      <c r="K105" s="1" t="s">
        <v>293</v>
      </c>
      <c r="L105" s="1">
        <v>98</v>
      </c>
      <c r="M105" s="1">
        <v>98</v>
      </c>
      <c r="N105" s="1">
        <v>98</v>
      </c>
      <c r="O105" s="1">
        <v>96</v>
      </c>
      <c r="P105" s="1">
        <v>99</v>
      </c>
      <c r="Q105" s="7">
        <v>94</v>
      </c>
      <c r="R105" s="8">
        <v>94</v>
      </c>
      <c r="S105" s="8">
        <v>99</v>
      </c>
      <c r="T105" s="8">
        <v>90</v>
      </c>
      <c r="U105" s="8">
        <v>97</v>
      </c>
      <c r="V105" s="8">
        <v>96</v>
      </c>
      <c r="W105" s="8">
        <v>99</v>
      </c>
      <c r="X105" s="8">
        <v>98</v>
      </c>
      <c r="Y105" s="8">
        <v>91</v>
      </c>
      <c r="Z105" s="8">
        <v>99</v>
      </c>
    </row>
    <row r="106" spans="1:26" ht="15.75" x14ac:dyDescent="0.25">
      <c r="A106" s="2">
        <v>102</v>
      </c>
      <c r="B106" s="1">
        <v>98</v>
      </c>
      <c r="C106" s="1">
        <v>94</v>
      </c>
      <c r="D106" s="1">
        <v>94</v>
      </c>
      <c r="E106" s="1">
        <v>97</v>
      </c>
      <c r="H106" s="1">
        <v>99</v>
      </c>
      <c r="I106" s="1">
        <v>99</v>
      </c>
      <c r="J106" s="1">
        <v>99</v>
      </c>
      <c r="K106" s="1" t="s">
        <v>293</v>
      </c>
      <c r="L106" s="1">
        <v>99</v>
      </c>
      <c r="M106" s="1">
        <v>98</v>
      </c>
      <c r="N106" s="1">
        <v>98</v>
      </c>
      <c r="O106" s="1">
        <v>96</v>
      </c>
      <c r="P106" s="1">
        <v>99</v>
      </c>
      <c r="Q106" s="7">
        <v>97</v>
      </c>
      <c r="R106" s="8">
        <v>96</v>
      </c>
      <c r="S106" s="8">
        <v>99</v>
      </c>
      <c r="T106" s="8">
        <v>90</v>
      </c>
      <c r="U106" s="8">
        <v>98</v>
      </c>
      <c r="V106" s="8">
        <v>97</v>
      </c>
      <c r="W106" s="8">
        <v>99</v>
      </c>
      <c r="X106" s="8">
        <v>99</v>
      </c>
      <c r="Y106" s="8">
        <v>93</v>
      </c>
      <c r="Z106" s="8">
        <v>99</v>
      </c>
    </row>
    <row r="107" spans="1:26" ht="15.75" x14ac:dyDescent="0.25">
      <c r="A107" s="2">
        <v>103</v>
      </c>
      <c r="B107" s="1">
        <v>98</v>
      </c>
      <c r="C107" s="1">
        <v>94</v>
      </c>
      <c r="D107" s="1">
        <v>94</v>
      </c>
      <c r="E107" s="1">
        <v>97</v>
      </c>
      <c r="H107" s="1">
        <v>99</v>
      </c>
      <c r="I107" s="1">
        <v>99</v>
      </c>
      <c r="J107" s="1">
        <v>99</v>
      </c>
      <c r="K107" s="1" t="s">
        <v>293</v>
      </c>
      <c r="L107" s="1">
        <v>99</v>
      </c>
      <c r="M107" s="1">
        <v>98</v>
      </c>
      <c r="N107" s="1">
        <v>98</v>
      </c>
      <c r="O107" s="1">
        <v>97</v>
      </c>
      <c r="P107" s="1">
        <v>99</v>
      </c>
      <c r="Q107" s="7">
        <v>97</v>
      </c>
      <c r="R107" s="8">
        <v>96</v>
      </c>
      <c r="S107" s="8">
        <v>99</v>
      </c>
      <c r="T107" s="8">
        <v>90</v>
      </c>
      <c r="U107" s="8">
        <v>98</v>
      </c>
      <c r="V107" s="8">
        <v>97</v>
      </c>
      <c r="W107" s="8">
        <v>99</v>
      </c>
      <c r="X107" s="8">
        <v>99</v>
      </c>
      <c r="Y107" s="8">
        <v>94</v>
      </c>
      <c r="Z107" s="8">
        <v>99</v>
      </c>
    </row>
    <row r="108" spans="1:26" ht="15.75" x14ac:dyDescent="0.25">
      <c r="A108" s="2">
        <v>104</v>
      </c>
      <c r="B108" s="1">
        <v>98</v>
      </c>
      <c r="C108" s="1">
        <v>94</v>
      </c>
      <c r="D108" s="1">
        <v>94</v>
      </c>
      <c r="E108" s="1">
        <v>97</v>
      </c>
      <c r="H108" s="1">
        <v>99</v>
      </c>
      <c r="I108" s="1">
        <v>99</v>
      </c>
      <c r="J108" s="1">
        <v>99</v>
      </c>
      <c r="K108" s="1" t="s">
        <v>293</v>
      </c>
      <c r="L108" s="1">
        <v>99</v>
      </c>
      <c r="M108" s="1">
        <v>98</v>
      </c>
      <c r="N108" s="1">
        <v>99</v>
      </c>
      <c r="O108" s="1">
        <v>97</v>
      </c>
      <c r="P108" s="1">
        <v>99</v>
      </c>
      <c r="Q108" s="7">
        <v>97</v>
      </c>
      <c r="R108" s="8">
        <v>96</v>
      </c>
      <c r="S108" s="8">
        <v>99</v>
      </c>
      <c r="T108" s="8">
        <v>92</v>
      </c>
      <c r="U108" s="8">
        <v>98</v>
      </c>
      <c r="V108" s="8">
        <v>97</v>
      </c>
      <c r="W108" s="8">
        <v>99</v>
      </c>
      <c r="X108" s="8">
        <v>99</v>
      </c>
      <c r="Y108" s="8">
        <v>94</v>
      </c>
      <c r="Z108" s="8">
        <v>99</v>
      </c>
    </row>
    <row r="109" spans="1:26" ht="15.75" x14ac:dyDescent="0.25">
      <c r="A109" s="2">
        <v>105</v>
      </c>
      <c r="B109" s="1">
        <v>98</v>
      </c>
      <c r="C109" s="1">
        <v>95</v>
      </c>
      <c r="D109" s="1">
        <v>95</v>
      </c>
      <c r="E109" s="1">
        <v>98</v>
      </c>
      <c r="H109" s="1">
        <v>99</v>
      </c>
      <c r="I109" s="1">
        <v>99</v>
      </c>
      <c r="J109" s="1">
        <v>99</v>
      </c>
      <c r="K109" s="1" t="s">
        <v>293</v>
      </c>
      <c r="L109" s="1">
        <v>99</v>
      </c>
      <c r="M109" s="1">
        <v>98</v>
      </c>
      <c r="N109" s="1">
        <v>99</v>
      </c>
      <c r="O109" s="1">
        <v>97</v>
      </c>
      <c r="P109" s="1">
        <v>99</v>
      </c>
      <c r="Q109" s="7">
        <v>97</v>
      </c>
      <c r="R109" s="8">
        <v>95</v>
      </c>
      <c r="S109" s="8">
        <v>99</v>
      </c>
      <c r="T109" s="8">
        <v>93</v>
      </c>
      <c r="U109" s="8">
        <v>99</v>
      </c>
      <c r="V109" s="8">
        <v>98</v>
      </c>
      <c r="W109" s="8">
        <v>99</v>
      </c>
      <c r="X109" s="8">
        <v>99</v>
      </c>
      <c r="Y109" s="8">
        <v>96</v>
      </c>
      <c r="Z109" s="8">
        <v>99</v>
      </c>
    </row>
    <row r="110" spans="1:26" ht="15.75" x14ac:dyDescent="0.25">
      <c r="A110" s="2">
        <v>106</v>
      </c>
      <c r="B110" s="1">
        <v>98</v>
      </c>
      <c r="C110" s="1">
        <v>96</v>
      </c>
      <c r="D110" s="1">
        <v>95</v>
      </c>
      <c r="E110" s="1">
        <v>99</v>
      </c>
      <c r="H110" s="1">
        <v>99</v>
      </c>
      <c r="I110" s="1">
        <v>99</v>
      </c>
      <c r="J110" s="1">
        <v>99</v>
      </c>
      <c r="K110" s="1" t="s">
        <v>293</v>
      </c>
      <c r="L110" s="1">
        <v>99</v>
      </c>
      <c r="M110" s="1">
        <v>98</v>
      </c>
      <c r="N110" s="1">
        <v>99</v>
      </c>
      <c r="O110" s="1">
        <v>98</v>
      </c>
      <c r="P110" s="1">
        <v>99</v>
      </c>
      <c r="Q110" s="7">
        <v>97</v>
      </c>
      <c r="R110" s="8">
        <v>95</v>
      </c>
      <c r="S110" s="8">
        <v>99</v>
      </c>
      <c r="T110" s="8">
        <v>93</v>
      </c>
      <c r="U110" s="8">
        <v>99</v>
      </c>
      <c r="V110" s="8">
        <v>98</v>
      </c>
      <c r="W110" s="8">
        <v>99</v>
      </c>
      <c r="X110" s="8">
        <v>99</v>
      </c>
      <c r="Y110" s="8">
        <v>96</v>
      </c>
      <c r="Z110" s="8">
        <v>99</v>
      </c>
    </row>
    <row r="111" spans="1:26" ht="15.75" x14ac:dyDescent="0.25">
      <c r="A111" s="2">
        <v>107</v>
      </c>
      <c r="B111" s="1">
        <v>98</v>
      </c>
      <c r="C111" s="1">
        <v>96</v>
      </c>
      <c r="D111" s="1">
        <v>95</v>
      </c>
      <c r="E111" s="1">
        <v>99</v>
      </c>
      <c r="H111" s="1">
        <v>99</v>
      </c>
      <c r="I111" s="1">
        <v>99</v>
      </c>
      <c r="J111" s="1">
        <v>99</v>
      </c>
      <c r="K111" s="1" t="s">
        <v>293</v>
      </c>
      <c r="L111" s="1">
        <v>99</v>
      </c>
      <c r="M111" s="1">
        <v>99</v>
      </c>
      <c r="N111" s="1">
        <v>99</v>
      </c>
      <c r="O111" s="1">
        <v>99</v>
      </c>
      <c r="P111" s="1">
        <v>99</v>
      </c>
      <c r="Q111" s="7">
        <v>97</v>
      </c>
      <c r="R111" s="8">
        <v>95</v>
      </c>
      <c r="S111" s="8">
        <v>99</v>
      </c>
      <c r="T111" s="8">
        <v>93</v>
      </c>
      <c r="U111" s="8">
        <v>99</v>
      </c>
      <c r="V111" s="8">
        <v>98</v>
      </c>
      <c r="W111" s="8">
        <v>99</v>
      </c>
      <c r="X111" s="8">
        <v>99</v>
      </c>
      <c r="Y111" s="8">
        <v>96</v>
      </c>
      <c r="Z111" s="8">
        <v>99</v>
      </c>
    </row>
    <row r="112" spans="1:26" ht="15.75" x14ac:dyDescent="0.25">
      <c r="A112" s="2">
        <v>108</v>
      </c>
      <c r="B112" s="1">
        <v>99</v>
      </c>
      <c r="C112" s="1">
        <v>96</v>
      </c>
      <c r="D112" s="1">
        <v>96</v>
      </c>
      <c r="E112" s="1">
        <v>99</v>
      </c>
      <c r="H112" s="1">
        <v>99</v>
      </c>
      <c r="I112" s="1">
        <v>99</v>
      </c>
      <c r="J112" s="1">
        <v>99</v>
      </c>
      <c r="K112" s="1" t="s">
        <v>293</v>
      </c>
      <c r="L112" s="1">
        <v>99</v>
      </c>
      <c r="M112" s="1">
        <v>99</v>
      </c>
      <c r="N112" s="1">
        <v>99</v>
      </c>
      <c r="O112" s="1">
        <v>99</v>
      </c>
      <c r="P112" s="1">
        <v>99</v>
      </c>
      <c r="Q112" s="7">
        <v>95</v>
      </c>
      <c r="R112" s="8">
        <v>95</v>
      </c>
      <c r="S112" s="8">
        <v>99</v>
      </c>
      <c r="T112" s="8">
        <v>94</v>
      </c>
      <c r="U112" s="8">
        <v>99</v>
      </c>
      <c r="V112" s="8">
        <v>98</v>
      </c>
      <c r="W112" s="8">
        <v>99</v>
      </c>
      <c r="X112" s="8">
        <v>99</v>
      </c>
      <c r="Y112" s="8">
        <v>97</v>
      </c>
      <c r="Z112" s="8">
        <v>99</v>
      </c>
    </row>
    <row r="113" spans="1:26" ht="15.75" x14ac:dyDescent="0.25">
      <c r="A113" s="2">
        <v>109</v>
      </c>
      <c r="B113" s="1">
        <v>99</v>
      </c>
      <c r="C113" s="1">
        <v>96</v>
      </c>
      <c r="D113" s="1">
        <v>97</v>
      </c>
      <c r="E113" s="1">
        <v>99</v>
      </c>
      <c r="H113" s="1">
        <v>99</v>
      </c>
      <c r="I113" s="1">
        <v>99</v>
      </c>
      <c r="J113" s="1">
        <v>99</v>
      </c>
      <c r="K113" s="1" t="s">
        <v>293</v>
      </c>
      <c r="L113" s="1">
        <v>99</v>
      </c>
      <c r="M113" s="1">
        <v>99</v>
      </c>
      <c r="N113" s="1">
        <v>99</v>
      </c>
      <c r="O113" s="1">
        <v>99</v>
      </c>
      <c r="P113" s="1">
        <v>99</v>
      </c>
      <c r="Q113" s="7">
        <v>99</v>
      </c>
      <c r="R113" s="8">
        <v>98</v>
      </c>
      <c r="S113" s="8">
        <v>99</v>
      </c>
      <c r="T113" s="8">
        <v>96</v>
      </c>
      <c r="U113" s="8">
        <v>99</v>
      </c>
      <c r="V113" s="8">
        <v>99</v>
      </c>
      <c r="W113" s="8">
        <v>99</v>
      </c>
      <c r="X113" s="8">
        <v>99</v>
      </c>
      <c r="Y113" s="8">
        <v>97</v>
      </c>
      <c r="Z113" s="8">
        <v>99</v>
      </c>
    </row>
    <row r="114" spans="1:26" ht="15.75" x14ac:dyDescent="0.25">
      <c r="A114" s="2">
        <v>110</v>
      </c>
      <c r="B114" s="1">
        <v>99</v>
      </c>
      <c r="C114" s="1">
        <v>98</v>
      </c>
      <c r="D114" s="1">
        <v>97</v>
      </c>
      <c r="E114" s="1">
        <v>99</v>
      </c>
      <c r="H114" s="1">
        <v>99</v>
      </c>
      <c r="I114" s="1">
        <v>99</v>
      </c>
      <c r="J114" s="1">
        <v>99</v>
      </c>
      <c r="K114" s="1" t="s">
        <v>293</v>
      </c>
      <c r="L114" s="1">
        <v>99</v>
      </c>
      <c r="M114" s="1">
        <v>99</v>
      </c>
      <c r="N114" s="1">
        <v>99</v>
      </c>
      <c r="O114" s="1">
        <v>99</v>
      </c>
      <c r="P114" s="1">
        <v>99</v>
      </c>
      <c r="Q114" s="7">
        <v>99</v>
      </c>
      <c r="R114" s="8">
        <v>98</v>
      </c>
      <c r="S114" s="8">
        <v>99</v>
      </c>
      <c r="T114" s="8">
        <v>97</v>
      </c>
      <c r="U114" s="8">
        <v>99</v>
      </c>
      <c r="V114" s="8">
        <v>99</v>
      </c>
      <c r="W114" s="8">
        <v>99</v>
      </c>
      <c r="X114" s="8">
        <v>99</v>
      </c>
      <c r="Y114" s="8">
        <v>97</v>
      </c>
      <c r="Z114" s="8">
        <v>99</v>
      </c>
    </row>
    <row r="115" spans="1:26" ht="15.75" x14ac:dyDescent="0.25">
      <c r="A115" s="2">
        <v>111</v>
      </c>
      <c r="B115" s="1">
        <v>99</v>
      </c>
      <c r="C115" s="1">
        <v>99</v>
      </c>
      <c r="D115" s="1">
        <v>98</v>
      </c>
      <c r="E115" s="1">
        <v>99</v>
      </c>
      <c r="H115" s="1">
        <v>99</v>
      </c>
      <c r="I115" s="1">
        <v>99</v>
      </c>
      <c r="J115" s="1">
        <v>99</v>
      </c>
      <c r="K115" s="1" t="s">
        <v>293</v>
      </c>
      <c r="L115" s="1">
        <v>99</v>
      </c>
      <c r="M115" s="1">
        <v>99</v>
      </c>
      <c r="N115" s="1">
        <v>99</v>
      </c>
      <c r="O115" s="1">
        <v>99</v>
      </c>
      <c r="P115" s="1">
        <v>99</v>
      </c>
      <c r="Q115" s="7">
        <v>99</v>
      </c>
      <c r="R115" s="8">
        <v>98</v>
      </c>
      <c r="S115" s="8">
        <v>99</v>
      </c>
      <c r="T115" s="8">
        <v>97</v>
      </c>
      <c r="U115" s="8">
        <v>99</v>
      </c>
      <c r="V115" s="8">
        <v>99</v>
      </c>
      <c r="W115" s="8">
        <v>99</v>
      </c>
      <c r="X115" s="8">
        <v>99</v>
      </c>
      <c r="Y115" s="8">
        <v>98</v>
      </c>
      <c r="Z115" s="8">
        <v>99</v>
      </c>
    </row>
    <row r="116" spans="1:26" ht="15.75" x14ac:dyDescent="0.25">
      <c r="A116" s="2">
        <v>112</v>
      </c>
      <c r="B116" s="1">
        <v>99</v>
      </c>
      <c r="C116" s="1">
        <v>99</v>
      </c>
      <c r="D116" s="1">
        <v>98</v>
      </c>
      <c r="E116" s="1">
        <v>99</v>
      </c>
      <c r="H116" s="1">
        <v>99</v>
      </c>
      <c r="I116" s="1">
        <v>99</v>
      </c>
      <c r="J116" s="1">
        <v>99</v>
      </c>
      <c r="K116" s="1" t="s">
        <v>293</v>
      </c>
      <c r="L116" s="1">
        <v>99</v>
      </c>
      <c r="M116" s="1">
        <v>99</v>
      </c>
      <c r="N116" s="1">
        <v>99</v>
      </c>
      <c r="O116" s="1">
        <v>99</v>
      </c>
      <c r="P116" s="1">
        <v>99</v>
      </c>
      <c r="Q116" s="7">
        <v>99</v>
      </c>
      <c r="R116" s="8">
        <v>98</v>
      </c>
      <c r="S116" s="8">
        <v>99</v>
      </c>
      <c r="T116" s="8">
        <v>97</v>
      </c>
      <c r="U116" s="8">
        <v>99</v>
      </c>
      <c r="V116" s="8">
        <v>99</v>
      </c>
      <c r="W116" s="8">
        <v>99</v>
      </c>
      <c r="X116" s="8">
        <v>99</v>
      </c>
      <c r="Y116" s="8">
        <v>98</v>
      </c>
      <c r="Z116" s="8">
        <v>99</v>
      </c>
    </row>
    <row r="117" spans="1:26" ht="15.75" x14ac:dyDescent="0.25">
      <c r="A117" s="2">
        <v>113</v>
      </c>
      <c r="B117" s="1">
        <v>99</v>
      </c>
      <c r="C117" s="1">
        <v>99</v>
      </c>
      <c r="D117" s="1">
        <v>98</v>
      </c>
      <c r="E117" s="1">
        <v>99</v>
      </c>
      <c r="H117" s="1">
        <v>99</v>
      </c>
      <c r="I117" s="1">
        <v>99</v>
      </c>
      <c r="J117" s="1">
        <v>99</v>
      </c>
      <c r="K117" s="1" t="s">
        <v>293</v>
      </c>
      <c r="L117" s="1">
        <v>99</v>
      </c>
      <c r="M117" s="1">
        <v>99</v>
      </c>
      <c r="N117" s="1">
        <v>99</v>
      </c>
      <c r="O117" s="1">
        <v>99</v>
      </c>
      <c r="P117" s="1">
        <v>99</v>
      </c>
      <c r="Q117" s="7">
        <v>99</v>
      </c>
      <c r="R117" s="8">
        <v>98</v>
      </c>
      <c r="S117" s="8">
        <v>99</v>
      </c>
      <c r="T117" s="8">
        <v>98</v>
      </c>
      <c r="U117" s="8">
        <v>99</v>
      </c>
      <c r="V117" s="8">
        <v>99</v>
      </c>
      <c r="W117" s="8">
        <v>99</v>
      </c>
      <c r="X117" s="8">
        <v>99</v>
      </c>
      <c r="Y117" s="8">
        <v>98</v>
      </c>
      <c r="Z117" s="8">
        <v>99</v>
      </c>
    </row>
    <row r="118" spans="1:26" ht="15.75" x14ac:dyDescent="0.25">
      <c r="A118" s="2">
        <v>114</v>
      </c>
      <c r="B118" s="1">
        <v>99</v>
      </c>
      <c r="C118" s="1">
        <v>99</v>
      </c>
      <c r="D118" s="1">
        <v>99</v>
      </c>
      <c r="E118" s="1">
        <v>99</v>
      </c>
      <c r="H118" s="1">
        <v>99</v>
      </c>
      <c r="I118" s="1">
        <v>99</v>
      </c>
      <c r="J118" s="1">
        <v>99</v>
      </c>
      <c r="K118" s="1" t="s">
        <v>293</v>
      </c>
      <c r="L118" s="1">
        <v>99</v>
      </c>
      <c r="M118" s="1">
        <v>99</v>
      </c>
      <c r="N118" s="1">
        <v>99</v>
      </c>
      <c r="O118" s="1">
        <v>99</v>
      </c>
      <c r="P118" s="1">
        <v>99</v>
      </c>
      <c r="Q118" s="7">
        <v>99</v>
      </c>
      <c r="R118" s="8">
        <v>99</v>
      </c>
      <c r="S118" s="8">
        <v>99</v>
      </c>
      <c r="T118" s="8">
        <v>99</v>
      </c>
      <c r="U118" s="8">
        <v>99</v>
      </c>
      <c r="V118" s="8">
        <v>99</v>
      </c>
      <c r="W118" s="8">
        <v>99</v>
      </c>
      <c r="X118" s="8">
        <v>99</v>
      </c>
      <c r="Y118" s="8">
        <v>99</v>
      </c>
      <c r="Z118" s="8">
        <v>99</v>
      </c>
    </row>
    <row r="119" spans="1:26" ht="15.75" x14ac:dyDescent="0.25">
      <c r="A119" s="2">
        <v>115</v>
      </c>
      <c r="B119" s="1">
        <v>99</v>
      </c>
      <c r="C119" s="1">
        <v>99</v>
      </c>
      <c r="D119" s="1">
        <v>99</v>
      </c>
      <c r="E119" s="1">
        <v>99</v>
      </c>
      <c r="H119" s="1">
        <v>99</v>
      </c>
      <c r="I119" s="1">
        <v>99</v>
      </c>
      <c r="J119" s="1">
        <v>99</v>
      </c>
      <c r="K119" s="1" t="s">
        <v>293</v>
      </c>
      <c r="L119" s="1">
        <v>99</v>
      </c>
      <c r="M119" s="1">
        <v>99</v>
      </c>
      <c r="N119" s="1">
        <v>99</v>
      </c>
      <c r="O119" s="1">
        <v>99</v>
      </c>
      <c r="P119" s="1">
        <v>99</v>
      </c>
      <c r="Q119" s="7">
        <v>99</v>
      </c>
      <c r="R119" s="8">
        <v>99</v>
      </c>
      <c r="S119" s="8">
        <v>99</v>
      </c>
      <c r="T119" s="8">
        <v>99</v>
      </c>
      <c r="U119" s="8">
        <v>99</v>
      </c>
      <c r="V119" s="8">
        <v>99</v>
      </c>
      <c r="W119" s="8">
        <v>99</v>
      </c>
      <c r="X119" s="8">
        <v>99</v>
      </c>
      <c r="Y119" s="8">
        <v>99</v>
      </c>
      <c r="Z119" s="8">
        <v>99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AA47"/>
  <sheetViews>
    <sheetView workbookViewId="0">
      <selection activeCell="AC27" sqref="AC27"/>
    </sheetView>
  </sheetViews>
  <sheetFormatPr baseColWidth="10" defaultColWidth="9.140625" defaultRowHeight="15" x14ac:dyDescent="0.25"/>
  <cols>
    <col min="1" max="41" width="4.7109375" customWidth="1"/>
  </cols>
  <sheetData>
    <row r="1" spans="1:27" x14ac:dyDescent="0.25">
      <c r="B1" s="182">
        <v>0</v>
      </c>
      <c r="C1" s="182"/>
      <c r="D1" s="182">
        <v>1</v>
      </c>
      <c r="E1" s="182"/>
      <c r="F1" s="182">
        <v>2</v>
      </c>
      <c r="G1" s="182"/>
      <c r="H1" s="182">
        <v>3</v>
      </c>
      <c r="I1" s="182"/>
      <c r="J1" s="182">
        <v>4</v>
      </c>
      <c r="K1" s="182"/>
      <c r="L1" s="182">
        <v>5</v>
      </c>
      <c r="M1" s="182"/>
      <c r="N1" s="182">
        <v>6</v>
      </c>
      <c r="O1" s="182"/>
      <c r="P1" s="182">
        <v>7</v>
      </c>
      <c r="Q1" s="182"/>
      <c r="R1" s="182">
        <v>8</v>
      </c>
      <c r="S1" s="182"/>
      <c r="T1" s="182">
        <v>9</v>
      </c>
      <c r="U1" s="182"/>
      <c r="V1" s="182">
        <v>10</v>
      </c>
      <c r="W1" s="182"/>
      <c r="X1" s="182">
        <v>11</v>
      </c>
      <c r="Y1" s="182"/>
      <c r="Z1" s="182">
        <v>12</v>
      </c>
      <c r="AA1" s="182"/>
    </row>
    <row r="2" spans="1:27" x14ac:dyDescent="0.25">
      <c r="B2" s="14" t="s">
        <v>374</v>
      </c>
      <c r="C2" s="14" t="s">
        <v>375</v>
      </c>
      <c r="D2" s="14" t="s">
        <v>374</v>
      </c>
      <c r="E2" s="14" t="s">
        <v>375</v>
      </c>
      <c r="F2" s="14" t="s">
        <v>374</v>
      </c>
      <c r="G2" s="14" t="s">
        <v>375</v>
      </c>
      <c r="H2" s="14" t="s">
        <v>374</v>
      </c>
      <c r="I2" s="14" t="s">
        <v>375</v>
      </c>
      <c r="J2" s="14" t="s">
        <v>374</v>
      </c>
      <c r="K2" s="14" t="s">
        <v>375</v>
      </c>
      <c r="L2" s="14" t="s">
        <v>374</v>
      </c>
      <c r="M2" s="14" t="s">
        <v>375</v>
      </c>
      <c r="N2" s="14" t="s">
        <v>374</v>
      </c>
      <c r="O2" s="14" t="s">
        <v>375</v>
      </c>
      <c r="P2" s="14" t="s">
        <v>374</v>
      </c>
      <c r="Q2" s="14" t="s">
        <v>375</v>
      </c>
      <c r="R2" s="14" t="s">
        <v>374</v>
      </c>
      <c r="S2" s="14" t="s">
        <v>375</v>
      </c>
      <c r="T2" s="14" t="s">
        <v>374</v>
      </c>
      <c r="U2" s="14" t="s">
        <v>375</v>
      </c>
      <c r="V2" s="14" t="s">
        <v>374</v>
      </c>
      <c r="W2" s="14" t="s">
        <v>375</v>
      </c>
      <c r="X2" s="14" t="s">
        <v>374</v>
      </c>
      <c r="Y2" s="14" t="s">
        <v>375</v>
      </c>
      <c r="Z2" s="14" t="s">
        <v>374</v>
      </c>
      <c r="AA2" s="14" t="s">
        <v>375</v>
      </c>
    </row>
    <row r="3" spans="1:27" x14ac:dyDescent="0.25">
      <c r="A3" s="13">
        <v>1.1000000000000001</v>
      </c>
      <c r="B3" s="14">
        <v>0</v>
      </c>
      <c r="C3" s="14">
        <v>9</v>
      </c>
      <c r="D3" s="14">
        <v>20</v>
      </c>
      <c r="E3" s="14">
        <v>22</v>
      </c>
      <c r="F3" s="14">
        <v>40</v>
      </c>
      <c r="G3" s="14">
        <v>38</v>
      </c>
      <c r="H3" s="14">
        <v>60</v>
      </c>
      <c r="I3" s="14">
        <v>55</v>
      </c>
      <c r="J3" s="14">
        <v>68</v>
      </c>
      <c r="K3" s="14">
        <v>68</v>
      </c>
      <c r="L3" s="14">
        <v>75</v>
      </c>
      <c r="M3" s="14">
        <v>80</v>
      </c>
      <c r="N3" s="14">
        <v>85</v>
      </c>
      <c r="O3" s="14">
        <v>89</v>
      </c>
      <c r="P3" s="14">
        <v>90</v>
      </c>
      <c r="Q3" s="14">
        <v>95</v>
      </c>
      <c r="R3" s="14">
        <v>95</v>
      </c>
      <c r="S3" s="14">
        <v>98</v>
      </c>
      <c r="T3" s="14">
        <v>100</v>
      </c>
      <c r="U3" s="14">
        <v>99</v>
      </c>
      <c r="V3" s="14"/>
      <c r="W3" s="14"/>
      <c r="X3" s="14"/>
      <c r="Y3" s="14"/>
      <c r="Z3" s="14"/>
      <c r="AA3" s="14"/>
    </row>
    <row r="4" spans="1:27" x14ac:dyDescent="0.25">
      <c r="A4" s="13">
        <v>1.2</v>
      </c>
      <c r="B4" s="14">
        <v>0</v>
      </c>
      <c r="C4" s="14">
        <v>3</v>
      </c>
      <c r="D4" s="14">
        <v>15</v>
      </c>
      <c r="E4" s="14">
        <v>10</v>
      </c>
      <c r="F4" s="14">
        <v>30</v>
      </c>
      <c r="G4" s="14">
        <v>20</v>
      </c>
      <c r="H4" s="14">
        <v>45</v>
      </c>
      <c r="I4" s="14">
        <v>35</v>
      </c>
      <c r="J4" s="14">
        <v>60</v>
      </c>
      <c r="K4" s="14">
        <v>48</v>
      </c>
      <c r="L4" s="14">
        <v>65</v>
      </c>
      <c r="M4" s="14">
        <v>59</v>
      </c>
      <c r="N4" s="14">
        <v>70</v>
      </c>
      <c r="O4" s="14">
        <v>71</v>
      </c>
      <c r="P4" s="14">
        <v>75</v>
      </c>
      <c r="Q4" s="14">
        <v>82</v>
      </c>
      <c r="R4" s="14">
        <v>85</v>
      </c>
      <c r="S4" s="14">
        <v>93</v>
      </c>
      <c r="T4" s="14">
        <v>100</v>
      </c>
      <c r="U4" s="14">
        <v>99</v>
      </c>
      <c r="V4" s="14"/>
      <c r="W4" s="14"/>
      <c r="X4" s="14"/>
      <c r="Y4" s="14"/>
      <c r="Z4" s="14"/>
      <c r="AA4" s="14"/>
    </row>
    <row r="5" spans="1:27" x14ac:dyDescent="0.25">
      <c r="A5" s="13">
        <v>1.3</v>
      </c>
      <c r="B5" s="14">
        <v>0</v>
      </c>
      <c r="C5" s="14">
        <v>13</v>
      </c>
      <c r="D5" s="14">
        <v>20</v>
      </c>
      <c r="E5" s="14">
        <v>27</v>
      </c>
      <c r="F5" s="14">
        <v>40</v>
      </c>
      <c r="G5" s="14">
        <v>40</v>
      </c>
      <c r="H5" s="14">
        <v>60</v>
      </c>
      <c r="I5" s="14">
        <v>51</v>
      </c>
      <c r="J5" s="14">
        <v>65</v>
      </c>
      <c r="K5" s="14">
        <v>60</v>
      </c>
      <c r="L5" s="14">
        <v>70</v>
      </c>
      <c r="M5" s="14">
        <v>69</v>
      </c>
      <c r="N5" s="14">
        <v>75</v>
      </c>
      <c r="O5" s="14">
        <v>79</v>
      </c>
      <c r="P5" s="14">
        <v>80</v>
      </c>
      <c r="Q5" s="14">
        <v>87</v>
      </c>
      <c r="R5" s="14">
        <v>85</v>
      </c>
      <c r="S5" s="14">
        <v>95</v>
      </c>
      <c r="T5" s="14">
        <v>100</v>
      </c>
      <c r="U5" s="14">
        <v>99</v>
      </c>
      <c r="V5" s="14"/>
      <c r="W5" s="14"/>
      <c r="X5" s="14"/>
      <c r="Y5" s="14"/>
      <c r="Z5" s="14"/>
      <c r="AA5" s="14"/>
    </row>
    <row r="6" spans="1:27" x14ac:dyDescent="0.25">
      <c r="A6" s="13" t="s">
        <v>299</v>
      </c>
      <c r="B6" s="14">
        <v>0</v>
      </c>
      <c r="C6" s="14">
        <v>4</v>
      </c>
      <c r="D6" s="14">
        <v>15</v>
      </c>
      <c r="E6" s="14">
        <v>11</v>
      </c>
      <c r="F6" s="14">
        <v>30</v>
      </c>
      <c r="G6" s="14">
        <v>24</v>
      </c>
      <c r="H6" s="14">
        <v>45</v>
      </c>
      <c r="I6" s="14">
        <v>37</v>
      </c>
      <c r="J6" s="14">
        <v>60</v>
      </c>
      <c r="K6" s="14">
        <v>50</v>
      </c>
      <c r="L6" s="14">
        <v>75</v>
      </c>
      <c r="M6" s="14">
        <v>63</v>
      </c>
      <c r="N6" s="14">
        <v>85</v>
      </c>
      <c r="O6" s="14">
        <v>74</v>
      </c>
      <c r="P6" s="14">
        <v>93</v>
      </c>
      <c r="Q6" s="14">
        <v>87</v>
      </c>
      <c r="R6" s="14">
        <v>100</v>
      </c>
      <c r="S6" s="14">
        <v>99</v>
      </c>
      <c r="T6" s="14"/>
      <c r="U6" s="14"/>
      <c r="V6" s="14"/>
      <c r="W6" s="14"/>
      <c r="X6" s="14"/>
      <c r="Y6" s="14"/>
      <c r="Z6" s="14"/>
      <c r="AA6" s="14"/>
    </row>
    <row r="7" spans="1:27" x14ac:dyDescent="0.25">
      <c r="A7" s="13" t="s">
        <v>301</v>
      </c>
      <c r="B7" s="14">
        <v>0</v>
      </c>
      <c r="C7" s="14">
        <v>8</v>
      </c>
      <c r="D7" s="14">
        <v>15</v>
      </c>
      <c r="E7" s="14">
        <v>20</v>
      </c>
      <c r="F7" s="14">
        <v>30</v>
      </c>
      <c r="G7" s="14">
        <v>33</v>
      </c>
      <c r="H7" s="14">
        <v>45</v>
      </c>
      <c r="I7" s="14">
        <v>45</v>
      </c>
      <c r="J7" s="14">
        <v>60</v>
      </c>
      <c r="K7" s="14">
        <v>57</v>
      </c>
      <c r="L7" s="14">
        <v>75</v>
      </c>
      <c r="M7" s="14">
        <v>69</v>
      </c>
      <c r="N7" s="14">
        <v>85</v>
      </c>
      <c r="O7" s="14">
        <v>81</v>
      </c>
      <c r="P7" s="14">
        <v>90</v>
      </c>
      <c r="Q7" s="14">
        <v>92</v>
      </c>
      <c r="R7" s="14">
        <v>95</v>
      </c>
      <c r="S7" s="14">
        <v>97</v>
      </c>
      <c r="T7" s="14">
        <v>100</v>
      </c>
      <c r="U7" s="14">
        <v>99</v>
      </c>
      <c r="V7" s="14"/>
      <c r="W7" s="14"/>
      <c r="X7" s="14"/>
      <c r="Y7" s="14"/>
      <c r="Z7" s="14"/>
      <c r="AA7" s="14"/>
    </row>
    <row r="8" spans="1:27" x14ac:dyDescent="0.25">
      <c r="A8" s="13" t="s">
        <v>303</v>
      </c>
      <c r="B8" s="14">
        <v>0</v>
      </c>
      <c r="C8" s="14">
        <v>12</v>
      </c>
      <c r="D8" s="14">
        <v>20</v>
      </c>
      <c r="E8" s="14">
        <v>25</v>
      </c>
      <c r="F8" s="14">
        <v>40</v>
      </c>
      <c r="G8" s="14">
        <v>40</v>
      </c>
      <c r="H8" s="14">
        <v>60</v>
      </c>
      <c r="I8" s="14">
        <v>53</v>
      </c>
      <c r="J8" s="14">
        <v>75</v>
      </c>
      <c r="K8" s="14">
        <v>65</v>
      </c>
      <c r="L8" s="14">
        <v>80</v>
      </c>
      <c r="M8" s="14">
        <v>74</v>
      </c>
      <c r="N8" s="14">
        <v>85</v>
      </c>
      <c r="O8" s="14">
        <v>83</v>
      </c>
      <c r="P8" s="14">
        <v>90</v>
      </c>
      <c r="Q8" s="14">
        <v>91</v>
      </c>
      <c r="R8" s="14">
        <v>95</v>
      </c>
      <c r="S8" s="14">
        <v>96</v>
      </c>
      <c r="T8" s="14">
        <v>100</v>
      </c>
      <c r="U8" s="14">
        <v>99</v>
      </c>
      <c r="V8" s="14"/>
      <c r="W8" s="14"/>
      <c r="X8" s="14"/>
      <c r="Y8" s="14"/>
      <c r="Z8" s="14"/>
      <c r="AA8" s="14"/>
    </row>
    <row r="9" spans="1:27" x14ac:dyDescent="0.25">
      <c r="A9" s="13" t="s">
        <v>305</v>
      </c>
      <c r="B9" s="14">
        <v>0</v>
      </c>
      <c r="C9" s="14">
        <v>6</v>
      </c>
      <c r="D9" s="14">
        <v>10</v>
      </c>
      <c r="E9" s="14">
        <v>12</v>
      </c>
      <c r="F9" s="14">
        <v>20</v>
      </c>
      <c r="G9" s="14">
        <v>20</v>
      </c>
      <c r="H9" s="14">
        <v>30</v>
      </c>
      <c r="I9" s="14">
        <v>28</v>
      </c>
      <c r="J9" s="14">
        <v>40</v>
      </c>
      <c r="K9" s="14">
        <v>38</v>
      </c>
      <c r="L9" s="14">
        <v>50</v>
      </c>
      <c r="M9" s="14">
        <v>48</v>
      </c>
      <c r="N9" s="14">
        <v>60</v>
      </c>
      <c r="O9" s="14">
        <v>61</v>
      </c>
      <c r="P9" s="14">
        <v>75</v>
      </c>
      <c r="Q9" s="14">
        <v>73</v>
      </c>
      <c r="R9" s="14">
        <v>85</v>
      </c>
      <c r="S9" s="14">
        <v>87</v>
      </c>
      <c r="T9" s="14">
        <v>100</v>
      </c>
      <c r="U9" s="14">
        <v>99</v>
      </c>
      <c r="V9" s="14"/>
      <c r="W9" s="14"/>
      <c r="X9" s="14"/>
      <c r="Y9" s="14"/>
      <c r="Z9" s="14"/>
      <c r="AA9" s="14"/>
    </row>
    <row r="10" spans="1:27" x14ac:dyDescent="0.25">
      <c r="A10" s="13" t="s">
        <v>306</v>
      </c>
      <c r="B10" s="14">
        <v>0</v>
      </c>
      <c r="C10" s="14">
        <v>24</v>
      </c>
      <c r="D10" s="14">
        <v>30</v>
      </c>
      <c r="E10" s="14">
        <v>41</v>
      </c>
      <c r="F10" s="14">
        <v>60</v>
      </c>
      <c r="G10" s="14">
        <v>54</v>
      </c>
      <c r="H10" s="14">
        <v>75</v>
      </c>
      <c r="I10" s="14">
        <v>65</v>
      </c>
      <c r="J10" s="14">
        <v>80</v>
      </c>
      <c r="K10" s="14">
        <v>75</v>
      </c>
      <c r="L10" s="14">
        <v>85</v>
      </c>
      <c r="M10" s="14">
        <v>83</v>
      </c>
      <c r="N10" s="14">
        <v>89</v>
      </c>
      <c r="O10" s="14">
        <v>88</v>
      </c>
      <c r="P10" s="14">
        <v>93</v>
      </c>
      <c r="Q10" s="14">
        <v>93</v>
      </c>
      <c r="R10" s="14">
        <v>96</v>
      </c>
      <c r="S10" s="14">
        <v>97</v>
      </c>
      <c r="T10" s="14">
        <v>100</v>
      </c>
      <c r="U10" s="14">
        <v>99</v>
      </c>
      <c r="V10" s="14"/>
      <c r="W10" s="14"/>
      <c r="X10" s="14"/>
      <c r="Y10" s="14"/>
      <c r="Z10" s="14"/>
      <c r="AA10" s="14"/>
    </row>
    <row r="11" spans="1:27" x14ac:dyDescent="0.25">
      <c r="A11" s="13" t="s">
        <v>307</v>
      </c>
      <c r="B11" s="14">
        <v>0</v>
      </c>
      <c r="C11" s="14">
        <v>21</v>
      </c>
      <c r="D11" s="14">
        <v>20</v>
      </c>
      <c r="E11" s="14">
        <v>35</v>
      </c>
      <c r="F11" s="14">
        <v>40</v>
      </c>
      <c r="G11" s="14">
        <v>45</v>
      </c>
      <c r="H11" s="14">
        <v>60</v>
      </c>
      <c r="I11" s="14">
        <v>51</v>
      </c>
      <c r="J11" s="14">
        <v>75</v>
      </c>
      <c r="K11" s="14">
        <v>58</v>
      </c>
      <c r="L11" s="14">
        <v>78</v>
      </c>
      <c r="M11" s="14">
        <v>64</v>
      </c>
      <c r="N11" s="14">
        <v>80</v>
      </c>
      <c r="O11" s="14">
        <v>71</v>
      </c>
      <c r="P11" s="14">
        <v>83</v>
      </c>
      <c r="Q11" s="14">
        <v>80</v>
      </c>
      <c r="R11" s="14">
        <v>85</v>
      </c>
      <c r="S11" s="14">
        <v>89</v>
      </c>
      <c r="T11" s="14">
        <v>100</v>
      </c>
      <c r="U11" s="14">
        <v>99</v>
      </c>
      <c r="V11" s="14"/>
      <c r="W11" s="14"/>
      <c r="X11" s="14"/>
      <c r="Y11" s="14"/>
      <c r="Z11" s="14"/>
      <c r="AA11" s="14"/>
    </row>
    <row r="12" spans="1:27" x14ac:dyDescent="0.25">
      <c r="A12" s="13">
        <v>3.1</v>
      </c>
      <c r="B12" s="14">
        <v>0</v>
      </c>
      <c r="C12" s="14">
        <v>6</v>
      </c>
      <c r="D12" s="14">
        <v>12</v>
      </c>
      <c r="E12" s="14">
        <v>14</v>
      </c>
      <c r="F12" s="14">
        <v>24</v>
      </c>
      <c r="G12" s="14">
        <v>23</v>
      </c>
      <c r="H12" s="14">
        <v>36</v>
      </c>
      <c r="I12" s="14">
        <v>34</v>
      </c>
      <c r="J12" s="14">
        <v>48</v>
      </c>
      <c r="K12" s="14">
        <v>49</v>
      </c>
      <c r="L12" s="14">
        <v>60</v>
      </c>
      <c r="M12" s="14">
        <v>64</v>
      </c>
      <c r="N12" s="14">
        <v>75</v>
      </c>
      <c r="O12" s="14">
        <v>77</v>
      </c>
      <c r="P12" s="14">
        <v>85</v>
      </c>
      <c r="Q12" s="14">
        <v>88</v>
      </c>
      <c r="R12" s="14">
        <v>93</v>
      </c>
      <c r="S12" s="14">
        <v>97</v>
      </c>
      <c r="T12" s="14">
        <v>100</v>
      </c>
      <c r="U12" s="14">
        <v>99</v>
      </c>
      <c r="V12" s="14"/>
      <c r="W12" s="14"/>
      <c r="X12" s="14"/>
      <c r="Y12" s="14"/>
      <c r="Z12" s="14"/>
      <c r="AA12" s="14"/>
    </row>
    <row r="13" spans="1:27" x14ac:dyDescent="0.25">
      <c r="A13" s="13">
        <v>3.2</v>
      </c>
      <c r="B13" s="14">
        <v>0</v>
      </c>
      <c r="C13" s="14">
        <v>7</v>
      </c>
      <c r="D13" s="14">
        <v>20</v>
      </c>
      <c r="E13" s="14">
        <v>21</v>
      </c>
      <c r="F13" s="14">
        <v>40</v>
      </c>
      <c r="G13" s="14">
        <v>41</v>
      </c>
      <c r="H13" s="14">
        <v>60</v>
      </c>
      <c r="I13" s="14">
        <v>61</v>
      </c>
      <c r="J13" s="14">
        <v>75</v>
      </c>
      <c r="K13" s="14">
        <v>79</v>
      </c>
      <c r="L13" s="14">
        <v>85</v>
      </c>
      <c r="M13" s="14">
        <v>90</v>
      </c>
      <c r="N13" s="14">
        <v>93</v>
      </c>
      <c r="O13" s="14">
        <v>97</v>
      </c>
      <c r="P13" s="14">
        <v>100</v>
      </c>
      <c r="Q13" s="14">
        <v>99</v>
      </c>
      <c r="R13" s="14"/>
      <c r="S13" s="14"/>
      <c r="T13" s="14"/>
      <c r="U13" s="14"/>
      <c r="V13" s="14"/>
      <c r="W13" s="14"/>
      <c r="X13" s="14"/>
      <c r="Y13" s="14"/>
      <c r="Z13" s="14"/>
      <c r="AA13" s="14"/>
    </row>
    <row r="14" spans="1:27" x14ac:dyDescent="0.25">
      <c r="A14" s="13">
        <v>3.3</v>
      </c>
      <c r="B14" s="14">
        <v>0</v>
      </c>
      <c r="C14" s="14">
        <v>10</v>
      </c>
      <c r="D14" s="14">
        <v>15</v>
      </c>
      <c r="E14" s="14">
        <v>22</v>
      </c>
      <c r="F14" s="14">
        <v>30</v>
      </c>
      <c r="G14" s="14">
        <v>35</v>
      </c>
      <c r="H14" s="14">
        <v>45</v>
      </c>
      <c r="I14" s="14">
        <v>46</v>
      </c>
      <c r="J14" s="14">
        <v>60</v>
      </c>
      <c r="K14" s="14">
        <v>58</v>
      </c>
      <c r="L14" s="14">
        <v>75</v>
      </c>
      <c r="M14" s="14">
        <v>70</v>
      </c>
      <c r="N14" s="14">
        <v>85</v>
      </c>
      <c r="O14" s="14">
        <v>80</v>
      </c>
      <c r="P14" s="14">
        <v>90</v>
      </c>
      <c r="Q14" s="14">
        <v>88</v>
      </c>
      <c r="R14" s="14">
        <v>95</v>
      </c>
      <c r="S14" s="14">
        <v>97</v>
      </c>
      <c r="T14" s="14">
        <v>100</v>
      </c>
      <c r="U14" s="14">
        <v>99</v>
      </c>
      <c r="V14" s="14"/>
      <c r="W14" s="14"/>
      <c r="X14" s="14"/>
      <c r="Y14" s="14"/>
      <c r="Z14" s="14"/>
      <c r="AA14" s="14"/>
    </row>
    <row r="15" spans="1:27" x14ac:dyDescent="0.25">
      <c r="A15" s="13" t="s">
        <v>314</v>
      </c>
      <c r="B15" s="14">
        <v>0</v>
      </c>
      <c r="C15" s="14">
        <v>31</v>
      </c>
      <c r="D15" s="14">
        <v>60</v>
      </c>
      <c r="E15" s="14">
        <v>54</v>
      </c>
      <c r="F15" s="14">
        <v>68</v>
      </c>
      <c r="G15" s="14">
        <v>70</v>
      </c>
      <c r="H15" s="14">
        <v>75</v>
      </c>
      <c r="I15" s="14">
        <v>81</v>
      </c>
      <c r="J15" s="14">
        <v>85</v>
      </c>
      <c r="K15" s="14">
        <v>89</v>
      </c>
      <c r="L15" s="14">
        <v>90</v>
      </c>
      <c r="M15" s="14">
        <v>95</v>
      </c>
      <c r="N15" s="14">
        <v>95</v>
      </c>
      <c r="O15" s="14">
        <v>98</v>
      </c>
      <c r="P15" s="14">
        <v>100</v>
      </c>
      <c r="Q15" s="14">
        <v>99</v>
      </c>
      <c r="R15" s="14"/>
      <c r="S15" s="14"/>
      <c r="T15" s="14"/>
      <c r="U15" s="14"/>
      <c r="V15" s="14"/>
      <c r="W15" s="14"/>
      <c r="X15" s="14"/>
      <c r="Y15" s="14"/>
      <c r="Z15" s="14"/>
      <c r="AA15" s="14"/>
    </row>
    <row r="16" spans="1:27" x14ac:dyDescent="0.25">
      <c r="A16" s="13" t="s">
        <v>315</v>
      </c>
      <c r="B16" s="14">
        <v>0</v>
      </c>
      <c r="C16" s="14">
        <v>7</v>
      </c>
      <c r="D16" s="14">
        <v>15</v>
      </c>
      <c r="E16" s="14">
        <v>15</v>
      </c>
      <c r="F16" s="14">
        <v>30</v>
      </c>
      <c r="G16" s="14">
        <v>25</v>
      </c>
      <c r="H16" s="14">
        <v>45</v>
      </c>
      <c r="I16" s="14">
        <v>35</v>
      </c>
      <c r="J16" s="14">
        <v>60</v>
      </c>
      <c r="K16" s="14">
        <v>47</v>
      </c>
      <c r="L16" s="14">
        <v>65</v>
      </c>
      <c r="M16" s="14">
        <v>58</v>
      </c>
      <c r="N16" s="14">
        <v>70</v>
      </c>
      <c r="O16" s="14">
        <v>68</v>
      </c>
      <c r="P16" s="14">
        <v>75</v>
      </c>
      <c r="Q16" s="14">
        <v>80</v>
      </c>
      <c r="R16" s="14">
        <v>85</v>
      </c>
      <c r="S16" s="14">
        <v>91</v>
      </c>
      <c r="T16" s="14">
        <v>93</v>
      </c>
      <c r="U16" s="14">
        <v>98</v>
      </c>
      <c r="V16" s="14">
        <v>100</v>
      </c>
      <c r="W16" s="14">
        <v>99</v>
      </c>
      <c r="X16" s="14"/>
      <c r="Y16" s="14"/>
      <c r="Z16" s="14"/>
      <c r="AA16" s="14"/>
    </row>
    <row r="17" spans="1:27" x14ac:dyDescent="0.25">
      <c r="A17" s="13" t="s">
        <v>316</v>
      </c>
      <c r="B17" s="14">
        <v>0</v>
      </c>
      <c r="C17" s="14">
        <v>5</v>
      </c>
      <c r="D17" s="14">
        <v>12</v>
      </c>
      <c r="E17" s="14">
        <v>15</v>
      </c>
      <c r="F17" s="14">
        <v>24</v>
      </c>
      <c r="G17" s="14">
        <v>25</v>
      </c>
      <c r="H17" s="14">
        <v>36</v>
      </c>
      <c r="I17" s="14">
        <v>34</v>
      </c>
      <c r="J17" s="14">
        <v>48</v>
      </c>
      <c r="K17" s="14">
        <v>43</v>
      </c>
      <c r="L17" s="14">
        <v>60</v>
      </c>
      <c r="M17" s="14">
        <v>52</v>
      </c>
      <c r="N17" s="14">
        <v>64</v>
      </c>
      <c r="O17" s="14">
        <v>60</v>
      </c>
      <c r="P17" s="14">
        <v>68</v>
      </c>
      <c r="Q17" s="14">
        <v>68</v>
      </c>
      <c r="R17" s="14">
        <v>75</v>
      </c>
      <c r="S17" s="14">
        <v>81</v>
      </c>
      <c r="T17" s="14">
        <v>75</v>
      </c>
      <c r="U17" s="14">
        <v>81</v>
      </c>
      <c r="V17" s="14">
        <v>85</v>
      </c>
      <c r="W17" s="14">
        <v>90</v>
      </c>
      <c r="X17" s="14">
        <v>93</v>
      </c>
      <c r="Y17" s="14">
        <v>96</v>
      </c>
      <c r="Z17" s="14">
        <v>100</v>
      </c>
      <c r="AA17" s="14">
        <v>99</v>
      </c>
    </row>
    <row r="18" spans="1:27" x14ac:dyDescent="0.25">
      <c r="A18" s="13" t="s">
        <v>320</v>
      </c>
      <c r="B18" s="14">
        <v>0</v>
      </c>
      <c r="C18" s="14">
        <v>11</v>
      </c>
      <c r="D18" s="14">
        <v>20</v>
      </c>
      <c r="E18" s="14">
        <v>27</v>
      </c>
      <c r="F18" s="14">
        <v>40</v>
      </c>
      <c r="G18" s="14">
        <v>41</v>
      </c>
      <c r="H18" s="14">
        <v>60</v>
      </c>
      <c r="I18" s="14">
        <v>52</v>
      </c>
      <c r="J18" s="14">
        <v>64</v>
      </c>
      <c r="K18" s="14">
        <v>61</v>
      </c>
      <c r="L18" s="14">
        <v>68</v>
      </c>
      <c r="M18" s="14">
        <v>71</v>
      </c>
      <c r="N18" s="14">
        <v>71</v>
      </c>
      <c r="O18" s="14">
        <v>78</v>
      </c>
      <c r="P18" s="14">
        <v>75</v>
      </c>
      <c r="Q18" s="14">
        <v>90</v>
      </c>
      <c r="R18" s="14"/>
      <c r="S18" s="14"/>
      <c r="T18" s="14"/>
      <c r="U18" s="14"/>
      <c r="V18" s="14"/>
      <c r="W18" s="14"/>
      <c r="X18" s="14"/>
      <c r="Y18" s="14"/>
      <c r="Z18" s="14"/>
      <c r="AA18" s="14"/>
    </row>
    <row r="19" spans="1:27" x14ac:dyDescent="0.25">
      <c r="A19" s="13" t="s">
        <v>321</v>
      </c>
      <c r="B19" s="14">
        <v>0</v>
      </c>
      <c r="C19" s="14">
        <v>7</v>
      </c>
      <c r="D19" s="14">
        <v>20</v>
      </c>
      <c r="E19" s="14">
        <v>22</v>
      </c>
      <c r="F19" s="14">
        <v>40</v>
      </c>
      <c r="G19" s="14">
        <v>36</v>
      </c>
      <c r="H19" s="14">
        <v>60</v>
      </c>
      <c r="I19" s="14">
        <v>46</v>
      </c>
      <c r="J19" s="14">
        <v>65</v>
      </c>
      <c r="K19" s="14">
        <v>59</v>
      </c>
      <c r="L19" s="14">
        <v>70</v>
      </c>
      <c r="M19" s="14">
        <v>73</v>
      </c>
      <c r="N19" s="14">
        <v>75</v>
      </c>
      <c r="O19" s="14">
        <v>86</v>
      </c>
      <c r="P19" s="14">
        <v>85</v>
      </c>
      <c r="Q19" s="14">
        <v>95</v>
      </c>
      <c r="R19" s="14">
        <v>100</v>
      </c>
      <c r="S19" s="14">
        <v>99</v>
      </c>
      <c r="T19" s="14">
        <v>100</v>
      </c>
      <c r="U19" s="14">
        <v>99</v>
      </c>
      <c r="V19" s="14"/>
      <c r="W19" s="14"/>
      <c r="X19" s="14"/>
      <c r="Y19" s="14"/>
      <c r="Z19" s="14"/>
      <c r="AA19" s="14"/>
    </row>
    <row r="20" spans="1:27" x14ac:dyDescent="0.25">
      <c r="A20" s="13" t="s">
        <v>322</v>
      </c>
      <c r="B20" s="14">
        <v>0</v>
      </c>
      <c r="C20" s="14">
        <v>7</v>
      </c>
      <c r="D20" s="14">
        <v>15</v>
      </c>
      <c r="E20" s="14">
        <v>17</v>
      </c>
      <c r="F20" s="14">
        <v>30</v>
      </c>
      <c r="G20" s="14">
        <v>29</v>
      </c>
      <c r="H20" s="14">
        <v>45</v>
      </c>
      <c r="I20" s="14">
        <v>43</v>
      </c>
      <c r="J20" s="14">
        <v>60</v>
      </c>
      <c r="K20" s="14">
        <v>56</v>
      </c>
      <c r="L20" s="14">
        <v>68</v>
      </c>
      <c r="M20" s="14">
        <v>69</v>
      </c>
      <c r="N20" s="14">
        <v>75</v>
      </c>
      <c r="O20" s="14">
        <v>84</v>
      </c>
      <c r="P20" s="14">
        <v>85</v>
      </c>
      <c r="Q20" s="14">
        <v>95</v>
      </c>
      <c r="R20" s="14"/>
      <c r="S20" s="14"/>
      <c r="T20" s="14"/>
      <c r="U20" s="14"/>
      <c r="V20" s="14"/>
      <c r="W20" s="14"/>
      <c r="X20" s="14"/>
      <c r="Y20" s="14"/>
      <c r="Z20" s="14"/>
      <c r="AA20" s="14"/>
    </row>
    <row r="21" spans="1:27" x14ac:dyDescent="0.25">
      <c r="A21" s="13">
        <v>5.0999999999999996</v>
      </c>
      <c r="B21" s="14">
        <v>0</v>
      </c>
      <c r="C21" s="14">
        <v>26</v>
      </c>
      <c r="D21" s="14">
        <v>60</v>
      </c>
      <c r="E21" s="14">
        <v>47</v>
      </c>
      <c r="F21" s="14">
        <v>65</v>
      </c>
      <c r="G21" s="14">
        <v>64</v>
      </c>
      <c r="H21" s="14">
        <v>70</v>
      </c>
      <c r="I21" s="14">
        <v>76</v>
      </c>
      <c r="J21" s="14">
        <v>75</v>
      </c>
      <c r="K21" s="14">
        <v>84</v>
      </c>
      <c r="L21" s="14">
        <v>80</v>
      </c>
      <c r="M21" s="14">
        <v>90</v>
      </c>
      <c r="N21" s="14">
        <v>85</v>
      </c>
      <c r="O21" s="14">
        <v>95</v>
      </c>
      <c r="P21" s="14">
        <v>90</v>
      </c>
      <c r="Q21" s="14">
        <v>98</v>
      </c>
      <c r="R21" s="14">
        <v>100</v>
      </c>
      <c r="S21" s="14">
        <v>99</v>
      </c>
      <c r="T21" s="14">
        <v>100</v>
      </c>
      <c r="U21" s="14">
        <v>99</v>
      </c>
      <c r="V21" s="14"/>
      <c r="W21" s="14"/>
      <c r="X21" s="14"/>
      <c r="Y21" s="14"/>
      <c r="Z21" s="14"/>
      <c r="AA21" s="14"/>
    </row>
    <row r="22" spans="1:27" x14ac:dyDescent="0.25">
      <c r="A22" s="13">
        <v>5.2</v>
      </c>
      <c r="B22" s="14">
        <v>0</v>
      </c>
      <c r="C22" s="14">
        <v>6</v>
      </c>
      <c r="D22" s="14">
        <v>15</v>
      </c>
      <c r="E22" s="14">
        <v>18</v>
      </c>
      <c r="F22" s="14">
        <v>30</v>
      </c>
      <c r="G22" s="14">
        <v>31</v>
      </c>
      <c r="H22" s="14">
        <v>45</v>
      </c>
      <c r="I22" s="14">
        <v>40</v>
      </c>
      <c r="J22" s="14">
        <v>60</v>
      </c>
      <c r="K22" s="14">
        <v>52</v>
      </c>
      <c r="L22" s="14">
        <v>64</v>
      </c>
      <c r="M22" s="14">
        <v>61</v>
      </c>
      <c r="N22" s="14">
        <v>68</v>
      </c>
      <c r="O22" s="14">
        <v>71</v>
      </c>
      <c r="P22" s="14">
        <v>71</v>
      </c>
      <c r="Q22" s="14">
        <v>78</v>
      </c>
      <c r="R22" s="14">
        <v>85</v>
      </c>
      <c r="S22" s="14">
        <v>86</v>
      </c>
      <c r="T22" s="14">
        <v>85</v>
      </c>
      <c r="U22" s="14">
        <v>96</v>
      </c>
      <c r="V22" s="14">
        <v>100</v>
      </c>
      <c r="W22" s="14">
        <v>99</v>
      </c>
      <c r="X22" s="14"/>
      <c r="Y22" s="14"/>
      <c r="Z22" s="14"/>
      <c r="AA22" s="14"/>
    </row>
    <row r="23" spans="1:27" x14ac:dyDescent="0.25">
      <c r="A23" s="13">
        <v>5.3</v>
      </c>
      <c r="B23" s="14">
        <v>0</v>
      </c>
      <c r="C23" s="14">
        <v>26</v>
      </c>
      <c r="D23" s="14">
        <v>60</v>
      </c>
      <c r="E23" s="14">
        <v>50</v>
      </c>
      <c r="F23" s="14">
        <v>65</v>
      </c>
      <c r="G23" s="14">
        <v>69</v>
      </c>
      <c r="H23" s="14">
        <v>70</v>
      </c>
      <c r="I23" s="14">
        <v>80</v>
      </c>
      <c r="J23" s="14">
        <v>75</v>
      </c>
      <c r="K23" s="14">
        <v>90</v>
      </c>
      <c r="L23" s="14">
        <v>85</v>
      </c>
      <c r="M23" s="14">
        <v>96</v>
      </c>
      <c r="N23" s="14">
        <v>90</v>
      </c>
      <c r="O23" s="14">
        <v>99</v>
      </c>
      <c r="P23" s="14">
        <v>95</v>
      </c>
      <c r="Q23" s="14">
        <v>99</v>
      </c>
      <c r="R23" s="14"/>
      <c r="S23" s="14"/>
      <c r="T23" s="14"/>
      <c r="U23" s="14"/>
      <c r="V23" s="14"/>
      <c r="W23" s="14"/>
      <c r="X23" s="14"/>
      <c r="Y23" s="14"/>
      <c r="Z23" s="14"/>
      <c r="AA23" s="14"/>
    </row>
    <row r="24" spans="1:27" x14ac:dyDescent="0.25">
      <c r="A24" s="13" t="s">
        <v>329</v>
      </c>
      <c r="B24" s="14">
        <v>0</v>
      </c>
      <c r="C24" s="14">
        <v>21</v>
      </c>
      <c r="D24" s="14">
        <v>60</v>
      </c>
      <c r="E24" s="14">
        <v>47</v>
      </c>
      <c r="F24" s="14">
        <v>65</v>
      </c>
      <c r="G24" s="14">
        <v>65</v>
      </c>
      <c r="H24" s="14">
        <v>70</v>
      </c>
      <c r="I24" s="14">
        <v>79</v>
      </c>
      <c r="J24" s="14">
        <v>75</v>
      </c>
      <c r="K24" s="14">
        <v>88</v>
      </c>
      <c r="L24" s="14">
        <v>85</v>
      </c>
      <c r="M24" s="14">
        <v>94</v>
      </c>
      <c r="N24" s="14">
        <v>90</v>
      </c>
      <c r="O24" s="14">
        <v>98</v>
      </c>
      <c r="P24" s="14">
        <v>95</v>
      </c>
      <c r="Q24" s="14">
        <v>99</v>
      </c>
      <c r="R24" s="14"/>
      <c r="S24" s="14"/>
      <c r="T24" s="14"/>
      <c r="U24" s="14"/>
      <c r="V24" s="14"/>
      <c r="W24" s="14"/>
      <c r="X24" s="14"/>
      <c r="Y24" s="14"/>
      <c r="Z24" s="14"/>
      <c r="AA24" s="14"/>
    </row>
    <row r="25" spans="1:27" x14ac:dyDescent="0.25">
      <c r="A25" s="13" t="s">
        <v>330</v>
      </c>
      <c r="B25" s="14">
        <v>0</v>
      </c>
      <c r="C25" s="14">
        <v>16</v>
      </c>
      <c r="D25" s="14">
        <v>30</v>
      </c>
      <c r="E25" s="14">
        <v>37</v>
      </c>
      <c r="F25" s="14">
        <v>60</v>
      </c>
      <c r="G25" s="14">
        <v>60</v>
      </c>
      <c r="H25" s="14">
        <v>65</v>
      </c>
      <c r="I25" s="14">
        <v>76</v>
      </c>
      <c r="J25" s="14">
        <v>70</v>
      </c>
      <c r="K25" s="14">
        <v>86</v>
      </c>
      <c r="L25" s="14">
        <v>75</v>
      </c>
      <c r="M25" s="14">
        <v>93</v>
      </c>
      <c r="N25" s="14">
        <v>85</v>
      </c>
      <c r="O25" s="14">
        <v>97</v>
      </c>
      <c r="P25" s="14">
        <v>89</v>
      </c>
      <c r="Q25" s="14">
        <v>99</v>
      </c>
      <c r="R25" s="14">
        <v>96</v>
      </c>
      <c r="S25" s="14">
        <v>99</v>
      </c>
      <c r="T25" s="14">
        <v>96</v>
      </c>
      <c r="U25" s="14">
        <v>99</v>
      </c>
      <c r="V25" s="14">
        <v>100</v>
      </c>
      <c r="W25" s="14">
        <v>99</v>
      </c>
      <c r="X25" s="14"/>
      <c r="Y25" s="14"/>
      <c r="Z25" s="14"/>
      <c r="AA25" s="14"/>
    </row>
    <row r="26" spans="1:27" x14ac:dyDescent="0.25">
      <c r="A26" s="13" t="s">
        <v>331</v>
      </c>
      <c r="B26" s="14">
        <v>0</v>
      </c>
      <c r="C26" s="14">
        <v>27</v>
      </c>
      <c r="D26" s="14">
        <v>60</v>
      </c>
      <c r="E26" s="14">
        <v>48</v>
      </c>
      <c r="F26" s="14">
        <v>64</v>
      </c>
      <c r="G26" s="14">
        <v>71</v>
      </c>
      <c r="H26" s="14">
        <v>68</v>
      </c>
      <c r="I26" s="14">
        <v>81</v>
      </c>
      <c r="J26" s="14">
        <v>71</v>
      </c>
      <c r="K26" s="14">
        <v>87</v>
      </c>
      <c r="L26" s="14">
        <v>75</v>
      </c>
      <c r="M26" s="14">
        <v>90</v>
      </c>
      <c r="N26" s="14">
        <v>80</v>
      </c>
      <c r="O26" s="14">
        <v>93</v>
      </c>
      <c r="P26" s="14">
        <v>85</v>
      </c>
      <c r="Q26" s="14">
        <v>96</v>
      </c>
      <c r="R26" s="14">
        <v>95</v>
      </c>
      <c r="S26" s="14">
        <v>99</v>
      </c>
      <c r="T26" s="14">
        <v>95</v>
      </c>
      <c r="U26" s="14">
        <v>99</v>
      </c>
      <c r="V26" s="14">
        <v>100</v>
      </c>
      <c r="W26" s="14">
        <v>99</v>
      </c>
      <c r="X26" s="14"/>
      <c r="Y26" s="14"/>
      <c r="Z26" s="14"/>
      <c r="AA26" s="14"/>
    </row>
    <row r="27" spans="1:27" x14ac:dyDescent="0.25">
      <c r="A27" s="13" t="s">
        <v>335</v>
      </c>
      <c r="B27" s="14">
        <v>0</v>
      </c>
      <c r="C27" s="14">
        <v>11</v>
      </c>
      <c r="D27" s="14">
        <v>20</v>
      </c>
      <c r="E27" s="14">
        <v>26</v>
      </c>
      <c r="F27" s="14">
        <v>40</v>
      </c>
      <c r="G27" s="14">
        <v>42</v>
      </c>
      <c r="H27" s="14">
        <v>60</v>
      </c>
      <c r="I27" s="14">
        <v>55</v>
      </c>
      <c r="J27" s="14">
        <v>64</v>
      </c>
      <c r="K27" s="14">
        <v>70</v>
      </c>
      <c r="L27" s="14">
        <v>68</v>
      </c>
      <c r="M27" s="14">
        <v>81</v>
      </c>
      <c r="N27" s="14">
        <v>71</v>
      </c>
      <c r="O27" s="14">
        <v>87</v>
      </c>
      <c r="P27" s="14">
        <v>75</v>
      </c>
      <c r="Q27" s="14">
        <v>93</v>
      </c>
      <c r="R27" s="14">
        <v>90</v>
      </c>
      <c r="S27" s="14">
        <v>99</v>
      </c>
      <c r="T27" s="14">
        <v>90</v>
      </c>
      <c r="U27" s="14">
        <v>99</v>
      </c>
      <c r="V27" s="14">
        <v>95</v>
      </c>
      <c r="W27" s="14">
        <v>99</v>
      </c>
      <c r="X27" s="14">
        <v>100</v>
      </c>
      <c r="Y27" s="14">
        <v>99</v>
      </c>
      <c r="Z27" s="14"/>
      <c r="AA27" s="14"/>
    </row>
    <row r="28" spans="1:27" x14ac:dyDescent="0.25">
      <c r="A28" s="13" t="s">
        <v>336</v>
      </c>
      <c r="B28" s="14">
        <v>0</v>
      </c>
      <c r="C28" s="14">
        <v>22</v>
      </c>
      <c r="D28" s="14">
        <v>60</v>
      </c>
      <c r="E28" s="14">
        <v>43</v>
      </c>
      <c r="F28" s="14">
        <v>64</v>
      </c>
      <c r="G28" s="14">
        <v>63</v>
      </c>
      <c r="H28" s="14">
        <v>68</v>
      </c>
      <c r="I28" s="14">
        <v>77</v>
      </c>
      <c r="J28" s="14">
        <v>71</v>
      </c>
      <c r="K28" s="14">
        <v>88</v>
      </c>
      <c r="L28" s="14">
        <v>75</v>
      </c>
      <c r="M28" s="14">
        <v>95</v>
      </c>
      <c r="N28" s="14">
        <v>85</v>
      </c>
      <c r="O28" s="14">
        <v>99</v>
      </c>
      <c r="P28" s="14">
        <v>100</v>
      </c>
      <c r="Q28" s="14">
        <v>99</v>
      </c>
      <c r="R28" s="14"/>
      <c r="S28" s="14"/>
      <c r="T28" s="14"/>
      <c r="U28" s="14"/>
      <c r="V28" s="14"/>
      <c r="W28" s="14"/>
      <c r="X28" s="14"/>
      <c r="Y28" s="14"/>
      <c r="Z28" s="14"/>
      <c r="AA28" s="14"/>
    </row>
    <row r="29" spans="1:27" x14ac:dyDescent="0.25">
      <c r="A29" s="13" t="s">
        <v>337</v>
      </c>
      <c r="B29" s="14">
        <v>0</v>
      </c>
      <c r="C29" s="14">
        <v>25</v>
      </c>
      <c r="D29" s="14">
        <v>60</v>
      </c>
      <c r="E29" s="14">
        <v>47</v>
      </c>
      <c r="F29" s="14">
        <v>64</v>
      </c>
      <c r="G29" s="14">
        <v>60</v>
      </c>
      <c r="H29" s="14">
        <v>68</v>
      </c>
      <c r="I29" s="14">
        <v>71</v>
      </c>
      <c r="J29" s="14">
        <v>71</v>
      </c>
      <c r="K29" s="14">
        <v>80</v>
      </c>
      <c r="L29" s="14">
        <v>75</v>
      </c>
      <c r="M29" s="14">
        <v>89</v>
      </c>
      <c r="N29" s="14">
        <v>85</v>
      </c>
      <c r="O29" s="14">
        <v>97</v>
      </c>
      <c r="P29" s="14">
        <v>100</v>
      </c>
      <c r="Q29" s="14">
        <v>99</v>
      </c>
      <c r="R29" s="14"/>
      <c r="S29" s="14"/>
      <c r="T29" s="14"/>
      <c r="U29" s="14"/>
      <c r="V29" s="14"/>
      <c r="W29" s="14"/>
      <c r="X29" s="14"/>
      <c r="Y29" s="14"/>
      <c r="Z29" s="14"/>
      <c r="AA29" s="14"/>
    </row>
    <row r="30" spans="1:27" x14ac:dyDescent="0.25">
      <c r="A30" s="13">
        <v>7.1</v>
      </c>
      <c r="B30" s="14">
        <v>0</v>
      </c>
      <c r="C30" s="14">
        <v>1</v>
      </c>
      <c r="D30" s="14">
        <v>12</v>
      </c>
      <c r="E30" s="14">
        <v>6</v>
      </c>
      <c r="F30" s="14">
        <v>24</v>
      </c>
      <c r="G30" s="14">
        <v>16</v>
      </c>
      <c r="H30" s="14">
        <v>36</v>
      </c>
      <c r="I30" s="14">
        <v>26</v>
      </c>
      <c r="J30" s="14">
        <v>48</v>
      </c>
      <c r="K30" s="14">
        <v>45</v>
      </c>
      <c r="L30" s="14">
        <v>60</v>
      </c>
      <c r="M30" s="14">
        <v>61</v>
      </c>
      <c r="N30" s="14">
        <v>75</v>
      </c>
      <c r="O30" s="14">
        <v>75</v>
      </c>
      <c r="P30" s="14">
        <v>85</v>
      </c>
      <c r="Q30" s="14">
        <v>88</v>
      </c>
      <c r="R30" s="14">
        <v>100</v>
      </c>
      <c r="S30" s="14">
        <v>99</v>
      </c>
      <c r="T30" s="14"/>
      <c r="U30" s="14"/>
      <c r="V30" s="14"/>
      <c r="W30" s="14"/>
      <c r="X30" s="14"/>
      <c r="Y30" s="14"/>
      <c r="Z30" s="14"/>
      <c r="AA30" s="14"/>
    </row>
    <row r="31" spans="1:27" x14ac:dyDescent="0.25">
      <c r="A31" s="13">
        <v>7.2</v>
      </c>
      <c r="B31" s="14">
        <v>0</v>
      </c>
      <c r="C31" s="14">
        <v>2</v>
      </c>
      <c r="D31" s="14">
        <v>9</v>
      </c>
      <c r="E31" s="14">
        <v>7</v>
      </c>
      <c r="F31" s="14">
        <v>17</v>
      </c>
      <c r="G31" s="14">
        <v>14</v>
      </c>
      <c r="H31" s="14">
        <v>26</v>
      </c>
      <c r="I31" s="14">
        <v>22</v>
      </c>
      <c r="J31" s="14">
        <v>34</v>
      </c>
      <c r="K31" s="14">
        <v>29</v>
      </c>
      <c r="L31" s="14">
        <v>43</v>
      </c>
      <c r="M31" s="14">
        <v>39</v>
      </c>
      <c r="N31" s="14">
        <v>51</v>
      </c>
      <c r="O31" s="14">
        <v>49</v>
      </c>
      <c r="P31" s="14">
        <v>60</v>
      </c>
      <c r="Q31" s="14">
        <v>59</v>
      </c>
      <c r="R31" s="14">
        <v>75</v>
      </c>
      <c r="S31" s="14">
        <v>69</v>
      </c>
      <c r="T31" s="14">
        <v>80</v>
      </c>
      <c r="U31" s="14">
        <v>80</v>
      </c>
      <c r="V31" s="14">
        <v>85</v>
      </c>
      <c r="W31" s="14">
        <v>89</v>
      </c>
      <c r="X31" s="14">
        <v>93</v>
      </c>
      <c r="Y31" s="14">
        <v>95</v>
      </c>
      <c r="Z31" s="14">
        <v>100</v>
      </c>
      <c r="AA31" s="14">
        <v>99</v>
      </c>
    </row>
    <row r="32" spans="1:27" x14ac:dyDescent="0.25">
      <c r="A32" s="13">
        <v>7.3</v>
      </c>
      <c r="B32" s="14">
        <v>0</v>
      </c>
      <c r="C32" s="14">
        <v>1</v>
      </c>
      <c r="D32" s="14">
        <v>9</v>
      </c>
      <c r="E32" s="14">
        <v>1</v>
      </c>
      <c r="F32" s="14">
        <v>17</v>
      </c>
      <c r="G32" s="14">
        <v>3</v>
      </c>
      <c r="H32" s="14">
        <v>26</v>
      </c>
      <c r="I32" s="14">
        <v>6</v>
      </c>
      <c r="J32" s="14">
        <v>34</v>
      </c>
      <c r="K32" s="14">
        <v>11</v>
      </c>
      <c r="L32" s="14">
        <v>43</v>
      </c>
      <c r="M32" s="14">
        <v>19</v>
      </c>
      <c r="N32" s="14">
        <v>51</v>
      </c>
      <c r="O32" s="14">
        <v>36</v>
      </c>
      <c r="P32" s="14">
        <v>60</v>
      </c>
      <c r="Q32" s="14">
        <v>56</v>
      </c>
      <c r="R32" s="14">
        <v>75</v>
      </c>
      <c r="S32" s="14">
        <v>81</v>
      </c>
      <c r="T32" s="14">
        <v>85</v>
      </c>
      <c r="U32" s="14">
        <v>99</v>
      </c>
      <c r="V32" s="14"/>
      <c r="W32" s="14"/>
      <c r="X32" s="14"/>
      <c r="Y32" s="14"/>
      <c r="Z32" s="14"/>
      <c r="AA32" s="14"/>
    </row>
    <row r="33" spans="1:27" x14ac:dyDescent="0.25">
      <c r="A33" s="13" t="s">
        <v>344</v>
      </c>
      <c r="B33" s="14">
        <v>0</v>
      </c>
      <c r="C33" s="14">
        <v>13</v>
      </c>
      <c r="D33" s="14">
        <v>20</v>
      </c>
      <c r="E33" s="14">
        <v>28</v>
      </c>
      <c r="F33" s="14">
        <v>40</v>
      </c>
      <c r="G33" s="14">
        <v>43</v>
      </c>
      <c r="H33" s="14">
        <v>60</v>
      </c>
      <c r="I33" s="14">
        <v>55</v>
      </c>
      <c r="J33" s="14">
        <v>68</v>
      </c>
      <c r="K33" s="14">
        <v>66</v>
      </c>
      <c r="L33" s="14">
        <v>75</v>
      </c>
      <c r="M33" s="14">
        <v>79</v>
      </c>
      <c r="N33" s="14">
        <v>80</v>
      </c>
      <c r="O33" s="14">
        <v>88</v>
      </c>
      <c r="P33" s="14">
        <v>85</v>
      </c>
      <c r="Q33" s="14">
        <v>94</v>
      </c>
      <c r="R33" s="14">
        <v>93</v>
      </c>
      <c r="S33" s="14">
        <v>98</v>
      </c>
      <c r="T33" s="14">
        <v>100</v>
      </c>
      <c r="U33" s="14">
        <v>99</v>
      </c>
      <c r="V33" s="14"/>
      <c r="W33" s="14"/>
      <c r="X33" s="14"/>
      <c r="Y33" s="14"/>
      <c r="Z33" s="14"/>
      <c r="AA33" s="14"/>
    </row>
    <row r="34" spans="1:27" x14ac:dyDescent="0.25">
      <c r="A34" s="13" t="s">
        <v>345</v>
      </c>
      <c r="B34" s="14">
        <v>0</v>
      </c>
      <c r="C34" s="14">
        <v>6</v>
      </c>
      <c r="D34" s="14">
        <v>15</v>
      </c>
      <c r="E34" s="14">
        <v>15</v>
      </c>
      <c r="F34" s="14">
        <v>30</v>
      </c>
      <c r="G34" s="14">
        <v>24</v>
      </c>
      <c r="H34" s="14">
        <v>45</v>
      </c>
      <c r="I34" s="14">
        <v>36</v>
      </c>
      <c r="J34" s="14">
        <v>60</v>
      </c>
      <c r="K34" s="14">
        <v>47</v>
      </c>
      <c r="L34" s="14">
        <v>65</v>
      </c>
      <c r="M34" s="14">
        <v>58</v>
      </c>
      <c r="N34" s="14">
        <v>70</v>
      </c>
      <c r="O34" s="14">
        <v>68</v>
      </c>
      <c r="P34" s="14">
        <v>75</v>
      </c>
      <c r="Q34" s="14">
        <v>78</v>
      </c>
      <c r="R34" s="14">
        <v>80</v>
      </c>
      <c r="S34" s="14">
        <v>86</v>
      </c>
      <c r="T34" s="14">
        <v>85</v>
      </c>
      <c r="U34" s="14">
        <v>93</v>
      </c>
      <c r="V34" s="14">
        <v>93</v>
      </c>
      <c r="W34" s="14">
        <v>98</v>
      </c>
      <c r="X34" s="14">
        <v>100</v>
      </c>
      <c r="Y34" s="14">
        <v>99</v>
      </c>
      <c r="Z34" s="14"/>
      <c r="AA34" s="14"/>
    </row>
    <row r="35" spans="1:27" x14ac:dyDescent="0.25">
      <c r="A35" s="13" t="s">
        <v>346</v>
      </c>
      <c r="B35" s="14">
        <v>0</v>
      </c>
      <c r="C35" s="14">
        <v>15</v>
      </c>
      <c r="D35" s="14">
        <v>20</v>
      </c>
      <c r="E35" s="14">
        <v>32</v>
      </c>
      <c r="F35" s="14">
        <v>40</v>
      </c>
      <c r="G35" s="14">
        <v>44</v>
      </c>
      <c r="H35" s="14">
        <v>60</v>
      </c>
      <c r="I35" s="14">
        <v>55</v>
      </c>
      <c r="J35" s="14">
        <v>65</v>
      </c>
      <c r="K35" s="14">
        <v>63</v>
      </c>
      <c r="L35" s="14">
        <v>70</v>
      </c>
      <c r="M35" s="14">
        <v>72</v>
      </c>
      <c r="N35" s="14">
        <v>75</v>
      </c>
      <c r="O35" s="14">
        <v>80</v>
      </c>
      <c r="P35" s="14">
        <v>80</v>
      </c>
      <c r="Q35" s="14">
        <v>85</v>
      </c>
      <c r="R35" s="14">
        <v>85</v>
      </c>
      <c r="S35" s="14">
        <v>91</v>
      </c>
      <c r="T35" s="14">
        <v>93</v>
      </c>
      <c r="U35" s="14">
        <v>96</v>
      </c>
      <c r="V35" s="14">
        <v>100</v>
      </c>
      <c r="W35" s="14">
        <v>99</v>
      </c>
      <c r="X35" s="14"/>
      <c r="Y35" s="14"/>
      <c r="Z35" s="14"/>
      <c r="AA35" s="14"/>
    </row>
    <row r="36" spans="1:27" x14ac:dyDescent="0.25">
      <c r="A36" s="13" t="s">
        <v>350</v>
      </c>
      <c r="B36" s="14">
        <v>0</v>
      </c>
      <c r="C36" s="14">
        <v>9</v>
      </c>
      <c r="D36" s="14">
        <v>15</v>
      </c>
      <c r="E36" s="14">
        <v>18</v>
      </c>
      <c r="F36" s="14">
        <v>30</v>
      </c>
      <c r="G36" s="14">
        <v>32</v>
      </c>
      <c r="H36" s="14">
        <v>45</v>
      </c>
      <c r="I36" s="14">
        <v>44</v>
      </c>
      <c r="J36" s="14">
        <v>60</v>
      </c>
      <c r="K36" s="14">
        <v>53</v>
      </c>
      <c r="L36" s="14">
        <v>64</v>
      </c>
      <c r="M36" s="14">
        <v>64</v>
      </c>
      <c r="N36" s="14">
        <v>68</v>
      </c>
      <c r="O36" s="14">
        <v>71</v>
      </c>
      <c r="P36" s="14">
        <v>71</v>
      </c>
      <c r="Q36" s="14">
        <v>79</v>
      </c>
      <c r="R36" s="14">
        <v>75</v>
      </c>
      <c r="S36" s="14">
        <v>85</v>
      </c>
      <c r="T36" s="14">
        <v>80</v>
      </c>
      <c r="U36" s="14">
        <v>90</v>
      </c>
      <c r="V36" s="14">
        <v>85</v>
      </c>
      <c r="W36" s="14">
        <v>95</v>
      </c>
      <c r="X36" s="14">
        <v>93</v>
      </c>
      <c r="Y36" s="14">
        <v>98</v>
      </c>
      <c r="Z36" s="14">
        <v>100</v>
      </c>
      <c r="AA36" s="14">
        <v>99</v>
      </c>
    </row>
    <row r="37" spans="1:27" x14ac:dyDescent="0.25">
      <c r="A37" s="13" t="s">
        <v>351</v>
      </c>
      <c r="B37" s="14">
        <v>0</v>
      </c>
      <c r="C37" s="14">
        <v>13</v>
      </c>
      <c r="D37" s="14">
        <v>20</v>
      </c>
      <c r="E37" s="14">
        <v>25</v>
      </c>
      <c r="F37" s="14">
        <v>40</v>
      </c>
      <c r="G37" s="14">
        <v>37</v>
      </c>
      <c r="H37" s="14">
        <v>60</v>
      </c>
      <c r="I37" s="14">
        <v>49</v>
      </c>
      <c r="J37" s="14">
        <v>65</v>
      </c>
      <c r="K37" s="14">
        <v>60</v>
      </c>
      <c r="L37" s="14">
        <v>70</v>
      </c>
      <c r="M37" s="14">
        <v>71</v>
      </c>
      <c r="N37" s="14">
        <v>75</v>
      </c>
      <c r="O37" s="14">
        <v>82</v>
      </c>
      <c r="P37" s="14">
        <v>80</v>
      </c>
      <c r="Q37" s="14">
        <v>91</v>
      </c>
      <c r="R37" s="14">
        <v>85</v>
      </c>
      <c r="S37" s="14">
        <v>97</v>
      </c>
      <c r="T37" s="14">
        <v>100</v>
      </c>
      <c r="U37" s="14">
        <v>99</v>
      </c>
      <c r="V37" s="14"/>
      <c r="W37" s="14"/>
      <c r="X37" s="14"/>
      <c r="Y37" s="14"/>
      <c r="Z37" s="14"/>
      <c r="AA37" s="14"/>
    </row>
    <row r="38" spans="1:27" x14ac:dyDescent="0.25">
      <c r="A38" s="13" t="s">
        <v>352</v>
      </c>
      <c r="B38" s="14">
        <v>0</v>
      </c>
      <c r="C38" s="14">
        <v>7</v>
      </c>
      <c r="D38" s="14">
        <v>12</v>
      </c>
      <c r="E38" s="14">
        <v>17</v>
      </c>
      <c r="F38" s="14">
        <v>24</v>
      </c>
      <c r="G38" s="14">
        <v>23</v>
      </c>
      <c r="H38" s="14">
        <v>36</v>
      </c>
      <c r="I38" s="14">
        <v>33</v>
      </c>
      <c r="J38" s="14">
        <v>48</v>
      </c>
      <c r="K38" s="14">
        <v>44</v>
      </c>
      <c r="L38" s="14">
        <v>60</v>
      </c>
      <c r="M38" s="14">
        <v>54</v>
      </c>
      <c r="N38" s="14">
        <v>65</v>
      </c>
      <c r="O38" s="14">
        <v>64</v>
      </c>
      <c r="P38" s="14">
        <v>70</v>
      </c>
      <c r="Q38" s="14">
        <v>75</v>
      </c>
      <c r="R38" s="14">
        <v>75</v>
      </c>
      <c r="S38" s="14">
        <v>89</v>
      </c>
      <c r="T38" s="14">
        <v>85</v>
      </c>
      <c r="U38" s="14">
        <v>99</v>
      </c>
      <c r="V38" s="14"/>
      <c r="W38" s="14"/>
      <c r="X38" s="14"/>
      <c r="Y38" s="14"/>
      <c r="Z38" s="14"/>
      <c r="AA38" s="14"/>
    </row>
    <row r="39" spans="1:27" x14ac:dyDescent="0.25">
      <c r="A39" s="13" t="s">
        <v>376</v>
      </c>
      <c r="B39" s="14">
        <v>0</v>
      </c>
      <c r="C39" s="14">
        <v>7</v>
      </c>
      <c r="D39" s="14">
        <v>15</v>
      </c>
      <c r="E39" s="14">
        <v>16</v>
      </c>
      <c r="F39" s="14">
        <v>30</v>
      </c>
      <c r="G39" s="14">
        <v>26</v>
      </c>
      <c r="H39" s="14">
        <v>45</v>
      </c>
      <c r="I39" s="14">
        <v>35</v>
      </c>
      <c r="J39" s="14">
        <v>60</v>
      </c>
      <c r="K39" s="14">
        <v>46</v>
      </c>
      <c r="L39" s="14">
        <v>65</v>
      </c>
      <c r="M39" s="14">
        <v>56</v>
      </c>
      <c r="N39" s="14">
        <v>70</v>
      </c>
      <c r="O39" s="14">
        <v>66</v>
      </c>
      <c r="P39" s="14">
        <v>75</v>
      </c>
      <c r="Q39" s="14">
        <v>79</v>
      </c>
      <c r="R39" s="14">
        <v>85</v>
      </c>
      <c r="S39" s="14">
        <v>90</v>
      </c>
      <c r="T39" s="14">
        <v>100</v>
      </c>
      <c r="U39" s="14">
        <v>99</v>
      </c>
      <c r="V39" s="14"/>
      <c r="W39" s="14"/>
      <c r="X39" s="14"/>
      <c r="Y39" s="14"/>
      <c r="Z39" s="14"/>
      <c r="AA39" s="14"/>
    </row>
    <row r="40" spans="1:27" x14ac:dyDescent="0.25">
      <c r="A40" s="13" t="s">
        <v>377</v>
      </c>
      <c r="B40" s="14">
        <v>0</v>
      </c>
      <c r="C40" s="14">
        <v>12</v>
      </c>
      <c r="D40" s="14">
        <v>20</v>
      </c>
      <c r="E40" s="14">
        <v>27</v>
      </c>
      <c r="F40" s="14">
        <v>40</v>
      </c>
      <c r="G40" s="14">
        <v>38</v>
      </c>
      <c r="H40" s="14">
        <v>60</v>
      </c>
      <c r="I40" s="14">
        <v>47</v>
      </c>
      <c r="J40" s="14">
        <v>63</v>
      </c>
      <c r="K40" s="14">
        <v>57</v>
      </c>
      <c r="L40" s="14">
        <v>66</v>
      </c>
      <c r="M40" s="14">
        <v>65</v>
      </c>
      <c r="N40" s="14">
        <v>69</v>
      </c>
      <c r="O40" s="14">
        <v>73</v>
      </c>
      <c r="P40" s="14">
        <v>72</v>
      </c>
      <c r="Q40" s="14">
        <v>81</v>
      </c>
      <c r="R40" s="14">
        <v>75</v>
      </c>
      <c r="S40" s="14">
        <v>87</v>
      </c>
      <c r="T40" s="14">
        <v>85</v>
      </c>
      <c r="U40" s="14">
        <v>93</v>
      </c>
      <c r="V40" s="14">
        <v>93</v>
      </c>
      <c r="W40" s="14">
        <v>98</v>
      </c>
      <c r="X40" s="14">
        <v>100</v>
      </c>
      <c r="Y40" s="14">
        <v>99</v>
      </c>
      <c r="Z40" s="14"/>
      <c r="AA40" s="14"/>
    </row>
    <row r="41" spans="1:27" x14ac:dyDescent="0.25">
      <c r="A41" s="13" t="s">
        <v>378</v>
      </c>
      <c r="B41" s="14">
        <v>0</v>
      </c>
      <c r="C41" s="14">
        <v>17</v>
      </c>
      <c r="D41" s="14">
        <v>30</v>
      </c>
      <c r="E41" s="14">
        <v>32</v>
      </c>
      <c r="F41" s="14">
        <v>60</v>
      </c>
      <c r="G41" s="14">
        <v>46</v>
      </c>
      <c r="H41" s="14">
        <v>64</v>
      </c>
      <c r="I41" s="14">
        <v>58</v>
      </c>
      <c r="J41" s="14">
        <v>68</v>
      </c>
      <c r="K41" s="14">
        <v>69</v>
      </c>
      <c r="L41" s="14">
        <v>71</v>
      </c>
      <c r="M41" s="14">
        <v>77</v>
      </c>
      <c r="N41" s="14">
        <v>75</v>
      </c>
      <c r="O41" s="14">
        <v>84</v>
      </c>
      <c r="P41" s="14">
        <v>80</v>
      </c>
      <c r="Q41" s="14">
        <v>90</v>
      </c>
      <c r="R41" s="14">
        <v>85</v>
      </c>
      <c r="S41" s="14">
        <v>95</v>
      </c>
      <c r="T41" s="14">
        <v>90</v>
      </c>
      <c r="U41" s="14">
        <v>98</v>
      </c>
      <c r="V41" s="14">
        <v>95</v>
      </c>
      <c r="W41" s="14">
        <v>99</v>
      </c>
      <c r="X41" s="14">
        <v>100</v>
      </c>
      <c r="Y41" s="14">
        <v>99</v>
      </c>
      <c r="Z41" s="14"/>
      <c r="AA41" s="14"/>
    </row>
    <row r="42" spans="1:27" x14ac:dyDescent="0.25">
      <c r="A42" s="13" t="s">
        <v>379</v>
      </c>
      <c r="B42" s="14">
        <v>0</v>
      </c>
      <c r="C42" s="14">
        <v>20</v>
      </c>
      <c r="D42" s="14">
        <v>20</v>
      </c>
      <c r="E42" s="14">
        <v>35</v>
      </c>
      <c r="F42" s="14">
        <v>40</v>
      </c>
      <c r="G42" s="14">
        <v>45</v>
      </c>
      <c r="H42" s="14">
        <v>60</v>
      </c>
      <c r="I42" s="14">
        <v>52</v>
      </c>
      <c r="J42" s="14">
        <v>65</v>
      </c>
      <c r="K42" s="14">
        <v>61</v>
      </c>
      <c r="L42" s="14">
        <v>70</v>
      </c>
      <c r="M42" s="14">
        <v>69</v>
      </c>
      <c r="N42" s="14">
        <v>75</v>
      </c>
      <c r="O42" s="14">
        <v>78</v>
      </c>
      <c r="P42" s="14">
        <v>85</v>
      </c>
      <c r="Q42" s="14">
        <v>89</v>
      </c>
      <c r="R42" s="14">
        <v>100</v>
      </c>
      <c r="S42" s="14">
        <v>99</v>
      </c>
      <c r="T42" s="14"/>
      <c r="U42" s="14"/>
      <c r="V42" s="14"/>
      <c r="W42" s="14"/>
      <c r="X42" s="14"/>
      <c r="Y42" s="14"/>
      <c r="Z42" s="14"/>
      <c r="AA42" s="14"/>
    </row>
    <row r="43" spans="1:27" x14ac:dyDescent="0.25">
      <c r="A43" s="13" t="s">
        <v>380</v>
      </c>
      <c r="B43" s="14">
        <v>0</v>
      </c>
      <c r="C43" s="14">
        <v>10</v>
      </c>
      <c r="D43" s="14">
        <v>20</v>
      </c>
      <c r="E43" s="14">
        <v>24</v>
      </c>
      <c r="F43" s="14">
        <v>40</v>
      </c>
      <c r="G43" s="14">
        <v>38</v>
      </c>
      <c r="H43" s="14">
        <v>60</v>
      </c>
      <c r="I43" s="14">
        <v>52</v>
      </c>
      <c r="J43" s="14">
        <v>65</v>
      </c>
      <c r="K43" s="14">
        <v>63</v>
      </c>
      <c r="L43" s="14">
        <v>70</v>
      </c>
      <c r="M43" s="14">
        <v>71</v>
      </c>
      <c r="N43" s="14">
        <v>75</v>
      </c>
      <c r="O43" s="14">
        <v>79</v>
      </c>
      <c r="P43" s="14">
        <v>85</v>
      </c>
      <c r="Q43" s="14">
        <v>85</v>
      </c>
      <c r="R43" s="14">
        <v>89</v>
      </c>
      <c r="S43" s="14">
        <v>90</v>
      </c>
      <c r="T43" s="14">
        <v>93</v>
      </c>
      <c r="U43" s="14">
        <v>94</v>
      </c>
      <c r="V43" s="14">
        <v>96</v>
      </c>
      <c r="W43" s="14">
        <v>99</v>
      </c>
      <c r="X43" s="14">
        <v>100</v>
      </c>
      <c r="Y43" s="14">
        <v>99</v>
      </c>
      <c r="Z43" s="14"/>
      <c r="AA43" s="14"/>
    </row>
    <row r="44" spans="1:27" x14ac:dyDescent="0.25">
      <c r="A44" s="13" t="s">
        <v>381</v>
      </c>
      <c r="B44" s="14">
        <v>0</v>
      </c>
      <c r="C44" s="14">
        <v>16</v>
      </c>
      <c r="D44" s="14">
        <v>20</v>
      </c>
      <c r="E44" s="14">
        <v>31</v>
      </c>
      <c r="F44" s="14">
        <v>40</v>
      </c>
      <c r="G44" s="14">
        <v>44</v>
      </c>
      <c r="H44" s="14">
        <v>60</v>
      </c>
      <c r="I44" s="14">
        <v>54</v>
      </c>
      <c r="J44" s="14">
        <v>65</v>
      </c>
      <c r="K44" s="14">
        <v>64</v>
      </c>
      <c r="L44" s="14">
        <v>70</v>
      </c>
      <c r="M44" s="14">
        <v>73</v>
      </c>
      <c r="N44" s="14">
        <v>75</v>
      </c>
      <c r="O44" s="14">
        <v>82</v>
      </c>
      <c r="P44" s="14">
        <v>85</v>
      </c>
      <c r="Q44" s="14">
        <v>88</v>
      </c>
      <c r="R44" s="14">
        <v>90</v>
      </c>
      <c r="S44" s="14">
        <v>93</v>
      </c>
      <c r="T44" s="14">
        <v>95</v>
      </c>
      <c r="U44" s="14">
        <v>98</v>
      </c>
      <c r="V44" s="14">
        <v>100</v>
      </c>
      <c r="W44" s="14">
        <v>99</v>
      </c>
      <c r="X44" s="14"/>
      <c r="Y44" s="14"/>
      <c r="Z44" s="14"/>
      <c r="AA44" s="14"/>
    </row>
    <row r="45" spans="1:27" x14ac:dyDescent="0.25">
      <c r="A45" s="13" t="s">
        <v>382</v>
      </c>
      <c r="B45" s="14">
        <v>0</v>
      </c>
      <c r="C45" s="14">
        <v>12</v>
      </c>
      <c r="D45" s="14">
        <v>20</v>
      </c>
      <c r="E45" s="14">
        <v>28</v>
      </c>
      <c r="F45" s="14">
        <v>40</v>
      </c>
      <c r="G45" s="14">
        <v>41</v>
      </c>
      <c r="H45" s="14">
        <v>60</v>
      </c>
      <c r="I45" s="14">
        <v>57</v>
      </c>
      <c r="J45" s="14">
        <v>68</v>
      </c>
      <c r="K45" s="14">
        <v>70</v>
      </c>
      <c r="L45" s="14">
        <v>75</v>
      </c>
      <c r="M45" s="14">
        <v>81</v>
      </c>
      <c r="N45" s="14">
        <v>85</v>
      </c>
      <c r="O45" s="14">
        <v>89</v>
      </c>
      <c r="P45" s="14">
        <v>90</v>
      </c>
      <c r="Q45" s="14">
        <v>96</v>
      </c>
      <c r="R45" s="14">
        <v>95</v>
      </c>
      <c r="S45" s="14">
        <v>99</v>
      </c>
      <c r="T45" s="14">
        <v>100</v>
      </c>
      <c r="U45" s="14">
        <v>99</v>
      </c>
      <c r="V45" s="14"/>
      <c r="W45" s="14"/>
      <c r="X45" s="14"/>
      <c r="Y45" s="14"/>
      <c r="Z45" s="14"/>
      <c r="AA45" s="14"/>
    </row>
    <row r="46" spans="1:27" x14ac:dyDescent="0.25">
      <c r="A46" s="13" t="s">
        <v>383</v>
      </c>
      <c r="B46" s="14">
        <v>0</v>
      </c>
      <c r="C46" s="14">
        <v>18</v>
      </c>
      <c r="D46" s="14">
        <v>30</v>
      </c>
      <c r="E46" s="14">
        <v>32</v>
      </c>
      <c r="F46" s="14">
        <v>60</v>
      </c>
      <c r="G46" s="14">
        <v>50</v>
      </c>
      <c r="H46" s="14">
        <v>68</v>
      </c>
      <c r="I46" s="14">
        <v>66</v>
      </c>
      <c r="J46" s="14">
        <v>75</v>
      </c>
      <c r="K46" s="14">
        <v>80</v>
      </c>
      <c r="L46" s="14">
        <v>85</v>
      </c>
      <c r="M46" s="14">
        <v>91</v>
      </c>
      <c r="N46" s="14">
        <v>93</v>
      </c>
      <c r="O46" s="14">
        <v>97</v>
      </c>
      <c r="P46" s="14">
        <v>100</v>
      </c>
      <c r="Q46" s="14">
        <v>99</v>
      </c>
      <c r="R46" s="14"/>
      <c r="S46" s="14"/>
      <c r="T46" s="14"/>
      <c r="U46" s="14"/>
      <c r="V46" s="14"/>
      <c r="W46" s="14"/>
      <c r="X46" s="14"/>
      <c r="Y46" s="14"/>
      <c r="Z46" s="14"/>
      <c r="AA46" s="14"/>
    </row>
    <row r="47" spans="1:27" x14ac:dyDescent="0.25">
      <c r="A47" s="13" t="s">
        <v>384</v>
      </c>
      <c r="B47" s="14">
        <v>0</v>
      </c>
      <c r="C47" s="14">
        <v>20</v>
      </c>
      <c r="D47" s="14">
        <v>30</v>
      </c>
      <c r="E47" s="14">
        <v>36</v>
      </c>
      <c r="F47" s="14">
        <v>60</v>
      </c>
      <c r="G47" s="14">
        <v>53</v>
      </c>
      <c r="H47" s="14">
        <v>68</v>
      </c>
      <c r="I47" s="14">
        <v>65</v>
      </c>
      <c r="J47" s="14">
        <v>75</v>
      </c>
      <c r="K47" s="14">
        <v>76</v>
      </c>
      <c r="L47" s="14">
        <v>80</v>
      </c>
      <c r="M47" s="14">
        <v>85</v>
      </c>
      <c r="N47" s="14">
        <v>85</v>
      </c>
      <c r="O47" s="14">
        <v>96</v>
      </c>
      <c r="P47" s="14">
        <v>89</v>
      </c>
      <c r="Q47" s="14">
        <v>96</v>
      </c>
      <c r="R47" s="14">
        <v>93</v>
      </c>
      <c r="S47" s="14">
        <v>98</v>
      </c>
      <c r="T47" s="14">
        <v>96</v>
      </c>
      <c r="U47" s="14">
        <v>99</v>
      </c>
      <c r="V47" s="14">
        <v>100</v>
      </c>
      <c r="W47" s="14">
        <v>99</v>
      </c>
      <c r="X47" s="14"/>
      <c r="Y47" s="14"/>
      <c r="Z47" s="14"/>
      <c r="AA47" s="14"/>
    </row>
  </sheetData>
  <mergeCells count="13">
    <mergeCell ref="Z1:AA1"/>
    <mergeCell ref="N1:O1"/>
    <mergeCell ref="P1:Q1"/>
    <mergeCell ref="R1:S1"/>
    <mergeCell ref="T1:U1"/>
    <mergeCell ref="V1:W1"/>
    <mergeCell ref="X1:Y1"/>
    <mergeCell ref="L1:M1"/>
    <mergeCell ref="B1:C1"/>
    <mergeCell ref="D1:E1"/>
    <mergeCell ref="F1:G1"/>
    <mergeCell ref="H1:I1"/>
    <mergeCell ref="J1:K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APLICACION</vt:lpstr>
      <vt:lpstr>RESULTADOS </vt:lpstr>
      <vt:lpstr>FACETAS GROSSMAN Y RESPUESTAS S</vt:lpstr>
      <vt:lpstr>Interpretacion</vt:lpstr>
      <vt:lpstr>Interpretacion!Área_de_impresión</vt:lpstr>
      <vt:lpstr>'RESULTADOS '!Área_de_impresión</vt:lpstr>
      <vt:lpstr>TABLAPD</vt:lpstr>
      <vt:lpstr>TABLAPER</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Aldo Fernandez</dc:creator>
  <cp:keywords/>
  <dc:description/>
  <cp:lastModifiedBy>PJUDICIAL</cp:lastModifiedBy>
  <cp:lastPrinted>2023-03-17T14:43:01Z</cp:lastPrinted>
  <dcterms:created xsi:type="dcterms:W3CDTF">2019-06-29T00:09:19Z</dcterms:created>
  <dcterms:modified xsi:type="dcterms:W3CDTF">2023-03-22T20:17:56Z</dcterms:modified>
  <cp:category/>
</cp:coreProperties>
</file>